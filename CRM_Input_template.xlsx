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sindhuja_pathivada_bain_com/Documents/CRM tool/"/>
    </mc:Choice>
  </mc:AlternateContent>
  <xr:revisionPtr revIDLastSave="28" documentId="13_ncr:1_{F156B05C-2FDE-4F39-8A09-B57890B55E20}" xr6:coauthVersionLast="47" xr6:coauthVersionMax="47" xr10:uidLastSave="{5AAAAFA2-444E-40E8-93A1-2B1C72BD173E}"/>
  <bookViews>
    <workbookView xWindow="-110" yWindow="-110" windowWidth="19420" windowHeight="11500" tabRatio="500" firstSheet="3" activeTab="4" xr2:uid="{00000000-000D-0000-FFFF-FFFF00000000}"/>
  </bookViews>
  <sheets>
    <sheet name="Index" sheetId="1" r:id="rId1"/>
    <sheet name="Input sheet&gt;&gt;" sheetId="2" r:id="rId2"/>
    <sheet name="Input Contact Information" sheetId="3" r:id="rId3"/>
    <sheet name="Auto populate sheets&gt;&gt;" sheetId="4" r:id="rId4"/>
    <sheet name="Accounts Overview" sheetId="5" r:id="rId5"/>
    <sheet name="Contacts Overview" sheetId="6" r:id="rId6"/>
    <sheet name="Engagements Overview" sheetId="7" r:id="rId7"/>
    <sheet name="Appendix&gt;&gt;" sheetId="8" r:id="rId8"/>
    <sheet name="Bain_POCs" sheetId="9" r:id="rId9"/>
    <sheet name="Methodology" sheetId="10" r:id="rId10"/>
  </sheets>
  <definedNames>
    <definedName name="Accounts_IDList">OFFSET(#REF!,0,0,COUNTA(#REF!)-1,1)</definedName>
    <definedName name="Accounts_NameList">OFFSET(#REF!,0,0,COUNTA(#REF!)-1,1)</definedName>
    <definedName name="BainPoC_FullNames">OFFSET(Bain_POCs!$A$2,0,0,COUNTA(Bain_POCs!$A:$A)-1,1)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0" i="7" l="1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W200" i="3"/>
  <c r="U200" i="3" s="1"/>
  <c r="V200" i="3" s="1"/>
  <c r="S200" i="3"/>
  <c r="T200" i="3" s="1"/>
  <c r="M200" i="3"/>
  <c r="W199" i="3"/>
  <c r="U199" i="3" s="1"/>
  <c r="V199" i="3" s="1"/>
  <c r="S199" i="3"/>
  <c r="T199" i="3" s="1"/>
  <c r="M199" i="3"/>
  <c r="W198" i="3"/>
  <c r="U198" i="3" s="1"/>
  <c r="V198" i="3" s="1"/>
  <c r="S198" i="3"/>
  <c r="T198" i="3" s="1"/>
  <c r="M198" i="3"/>
  <c r="W197" i="3"/>
  <c r="U197" i="3" s="1"/>
  <c r="V197" i="3" s="1"/>
  <c r="S197" i="3"/>
  <c r="T197" i="3" s="1"/>
  <c r="M197" i="3"/>
  <c r="W196" i="3"/>
  <c r="U196" i="3" s="1"/>
  <c r="V196" i="3" s="1"/>
  <c r="S196" i="3"/>
  <c r="T196" i="3" s="1"/>
  <c r="M196" i="3"/>
  <c r="W195" i="3"/>
  <c r="U195" i="3"/>
  <c r="V195" i="3" s="1"/>
  <c r="S195" i="3"/>
  <c r="T195" i="3" s="1"/>
  <c r="M195" i="3"/>
  <c r="W194" i="3"/>
  <c r="U194" i="3"/>
  <c r="V194" i="3" s="1"/>
  <c r="S194" i="3"/>
  <c r="T194" i="3" s="1"/>
  <c r="M194" i="3"/>
  <c r="W193" i="3"/>
  <c r="U193" i="3" s="1"/>
  <c r="V193" i="3" s="1"/>
  <c r="T193" i="3"/>
  <c r="S193" i="3"/>
  <c r="M193" i="3"/>
  <c r="W192" i="3"/>
  <c r="U192" i="3" s="1"/>
  <c r="V192" i="3" s="1"/>
  <c r="S192" i="3"/>
  <c r="T192" i="3" s="1"/>
  <c r="M192" i="3"/>
  <c r="W191" i="3"/>
  <c r="U191" i="3"/>
  <c r="V191" i="3" s="1"/>
  <c r="S191" i="3"/>
  <c r="T191" i="3" s="1"/>
  <c r="M191" i="3"/>
  <c r="W190" i="3"/>
  <c r="U190" i="3" s="1"/>
  <c r="V190" i="3" s="1"/>
  <c r="S190" i="3"/>
  <c r="T190" i="3" s="1"/>
  <c r="M190" i="3"/>
  <c r="W189" i="3"/>
  <c r="U189" i="3"/>
  <c r="V189" i="3" s="1"/>
  <c r="S189" i="3"/>
  <c r="T189" i="3" s="1"/>
  <c r="M189" i="3"/>
  <c r="W188" i="3"/>
  <c r="U188" i="3"/>
  <c r="V188" i="3" s="1"/>
  <c r="S188" i="3"/>
  <c r="T188" i="3" s="1"/>
  <c r="M188" i="3"/>
  <c r="W187" i="3"/>
  <c r="U187" i="3"/>
  <c r="V187" i="3" s="1"/>
  <c r="S187" i="3"/>
  <c r="T187" i="3" s="1"/>
  <c r="M187" i="3"/>
  <c r="W186" i="3"/>
  <c r="U186" i="3"/>
  <c r="V186" i="3" s="1"/>
  <c r="S186" i="3"/>
  <c r="T186" i="3" s="1"/>
  <c r="M186" i="3"/>
  <c r="W185" i="3"/>
  <c r="U185" i="3" s="1"/>
  <c r="V185" i="3" s="1"/>
  <c r="S185" i="3"/>
  <c r="T185" i="3" s="1"/>
  <c r="M185" i="3"/>
  <c r="W184" i="3"/>
  <c r="U184" i="3"/>
  <c r="V184" i="3" s="1"/>
  <c r="S184" i="3"/>
  <c r="T184" i="3" s="1"/>
  <c r="M184" i="3"/>
  <c r="W183" i="3"/>
  <c r="U183" i="3" s="1"/>
  <c r="V183" i="3" s="1"/>
  <c r="S183" i="3"/>
  <c r="T183" i="3" s="1"/>
  <c r="M183" i="3"/>
  <c r="W182" i="3"/>
  <c r="U182" i="3" s="1"/>
  <c r="V182" i="3" s="1"/>
  <c r="S182" i="3"/>
  <c r="T182" i="3" s="1"/>
  <c r="M182" i="3"/>
  <c r="W181" i="3"/>
  <c r="U181" i="3" s="1"/>
  <c r="V181" i="3" s="1"/>
  <c r="S181" i="3"/>
  <c r="T181" i="3" s="1"/>
  <c r="M181" i="3"/>
  <c r="W180" i="3"/>
  <c r="U180" i="3"/>
  <c r="V180" i="3" s="1"/>
  <c r="S180" i="3"/>
  <c r="T180" i="3" s="1"/>
  <c r="M180" i="3"/>
  <c r="W179" i="3"/>
  <c r="U179" i="3"/>
  <c r="V179" i="3" s="1"/>
  <c r="S179" i="3"/>
  <c r="T179" i="3" s="1"/>
  <c r="M179" i="3"/>
  <c r="W178" i="3"/>
  <c r="U178" i="3" s="1"/>
  <c r="V178" i="3" s="1"/>
  <c r="S178" i="3"/>
  <c r="T178" i="3" s="1"/>
  <c r="M178" i="3"/>
  <c r="W177" i="3"/>
  <c r="U177" i="3"/>
  <c r="V177" i="3" s="1"/>
  <c r="S177" i="3"/>
  <c r="T177" i="3" s="1"/>
  <c r="M177" i="3"/>
  <c r="W176" i="3"/>
  <c r="U176" i="3" s="1"/>
  <c r="V176" i="3"/>
  <c r="S176" i="3"/>
  <c r="T176" i="3" s="1"/>
  <c r="M176" i="3"/>
  <c r="W175" i="3"/>
  <c r="U175" i="3"/>
  <c r="V175" i="3" s="1"/>
  <c r="S175" i="3"/>
  <c r="T175" i="3" s="1"/>
  <c r="M175" i="3"/>
  <c r="W174" i="3"/>
  <c r="U174" i="3"/>
  <c r="V174" i="3" s="1"/>
  <c r="S174" i="3"/>
  <c r="T174" i="3" s="1"/>
  <c r="M174" i="3"/>
  <c r="W173" i="3"/>
  <c r="U173" i="3"/>
  <c r="V173" i="3" s="1"/>
  <c r="S173" i="3"/>
  <c r="T173" i="3" s="1"/>
  <c r="M173" i="3"/>
  <c r="W172" i="3"/>
  <c r="U172" i="3"/>
  <c r="V172" i="3" s="1"/>
  <c r="S172" i="3"/>
  <c r="T172" i="3" s="1"/>
  <c r="M172" i="3"/>
  <c r="W171" i="3"/>
  <c r="U171" i="3" s="1"/>
  <c r="V171" i="3" s="1"/>
  <c r="S171" i="3"/>
  <c r="T171" i="3" s="1"/>
  <c r="M171" i="3"/>
  <c r="W170" i="3"/>
  <c r="U170" i="3" s="1"/>
  <c r="V170" i="3" s="1"/>
  <c r="T170" i="3"/>
  <c r="S170" i="3"/>
  <c r="M170" i="3"/>
  <c r="W169" i="3"/>
  <c r="U169" i="3" s="1"/>
  <c r="V169" i="3" s="1"/>
  <c r="S169" i="3"/>
  <c r="T169" i="3" s="1"/>
  <c r="M169" i="3"/>
  <c r="W168" i="3"/>
  <c r="U168" i="3" s="1"/>
  <c r="V168" i="3" s="1"/>
  <c r="S168" i="3"/>
  <c r="T168" i="3" s="1"/>
  <c r="M168" i="3"/>
  <c r="W167" i="3"/>
  <c r="U167" i="3" s="1"/>
  <c r="V167" i="3" s="1"/>
  <c r="S167" i="3"/>
  <c r="T167" i="3" s="1"/>
  <c r="M167" i="3"/>
  <c r="W166" i="3"/>
  <c r="U166" i="3"/>
  <c r="V166" i="3" s="1"/>
  <c r="S166" i="3"/>
  <c r="T166" i="3" s="1"/>
  <c r="M166" i="3"/>
  <c r="W165" i="3"/>
  <c r="U165" i="3"/>
  <c r="V165" i="3" s="1"/>
  <c r="S165" i="3"/>
  <c r="T165" i="3" s="1"/>
  <c r="M165" i="3"/>
  <c r="W164" i="3"/>
  <c r="U164" i="3" s="1"/>
  <c r="V164" i="3" s="1"/>
  <c r="S164" i="3"/>
  <c r="T164" i="3" s="1"/>
  <c r="M164" i="3"/>
  <c r="W163" i="3"/>
  <c r="U163" i="3"/>
  <c r="V163" i="3" s="1"/>
  <c r="S163" i="3"/>
  <c r="T163" i="3" s="1"/>
  <c r="M163" i="3"/>
  <c r="W162" i="3"/>
  <c r="U162" i="3"/>
  <c r="V162" i="3" s="1"/>
  <c r="S162" i="3"/>
  <c r="T162" i="3" s="1"/>
  <c r="M162" i="3"/>
  <c r="W161" i="3"/>
  <c r="U161" i="3" s="1"/>
  <c r="V161" i="3" s="1"/>
  <c r="S161" i="3"/>
  <c r="T161" i="3" s="1"/>
  <c r="M161" i="3"/>
  <c r="W160" i="3"/>
  <c r="U160" i="3"/>
  <c r="V160" i="3" s="1"/>
  <c r="S160" i="3"/>
  <c r="T160" i="3" s="1"/>
  <c r="M160" i="3"/>
  <c r="W159" i="3"/>
  <c r="U159" i="3"/>
  <c r="V159" i="3" s="1"/>
  <c r="S159" i="3"/>
  <c r="T159" i="3" s="1"/>
  <c r="M159" i="3"/>
  <c r="W158" i="3"/>
  <c r="U158" i="3"/>
  <c r="V158" i="3" s="1"/>
  <c r="S158" i="3"/>
  <c r="T158" i="3" s="1"/>
  <c r="M158" i="3"/>
  <c r="W157" i="3"/>
  <c r="U157" i="3" s="1"/>
  <c r="V157" i="3" s="1"/>
  <c r="S157" i="3"/>
  <c r="T157" i="3" s="1"/>
  <c r="M157" i="3"/>
  <c r="W156" i="3"/>
  <c r="U156" i="3" s="1"/>
  <c r="V156" i="3" s="1"/>
  <c r="S156" i="3"/>
  <c r="T156" i="3" s="1"/>
  <c r="M156" i="3"/>
  <c r="W155" i="3"/>
  <c r="U155" i="3"/>
  <c r="V155" i="3" s="1"/>
  <c r="S155" i="3"/>
  <c r="T155" i="3" s="1"/>
  <c r="M155" i="3"/>
  <c r="W154" i="3"/>
  <c r="U154" i="3"/>
  <c r="V154" i="3" s="1"/>
  <c r="S154" i="3"/>
  <c r="T154" i="3" s="1"/>
  <c r="M154" i="3"/>
  <c r="W153" i="3"/>
  <c r="U153" i="3"/>
  <c r="V153" i="3" s="1"/>
  <c r="S153" i="3"/>
  <c r="T153" i="3" s="1"/>
  <c r="M153" i="3"/>
  <c r="W152" i="3"/>
  <c r="U152" i="3"/>
  <c r="V152" i="3" s="1"/>
  <c r="S152" i="3"/>
  <c r="T152" i="3" s="1"/>
  <c r="M152" i="3"/>
  <c r="W151" i="3"/>
  <c r="U151" i="3" s="1"/>
  <c r="V151" i="3" s="1"/>
  <c r="S151" i="3"/>
  <c r="T151" i="3" s="1"/>
  <c r="M151" i="3"/>
  <c r="W150" i="3"/>
  <c r="U150" i="3" s="1"/>
  <c r="V150" i="3" s="1"/>
  <c r="S150" i="3"/>
  <c r="T150" i="3" s="1"/>
  <c r="M150" i="3"/>
  <c r="W149" i="3"/>
  <c r="U149" i="3"/>
  <c r="V149" i="3" s="1"/>
  <c r="S149" i="3"/>
  <c r="T149" i="3" s="1"/>
  <c r="M149" i="3"/>
  <c r="W148" i="3"/>
  <c r="U148" i="3" s="1"/>
  <c r="V148" i="3"/>
  <c r="S148" i="3"/>
  <c r="T148" i="3" s="1"/>
  <c r="M148" i="3"/>
  <c r="W147" i="3"/>
  <c r="U147" i="3" s="1"/>
  <c r="V147" i="3" s="1"/>
  <c r="S147" i="3"/>
  <c r="T147" i="3" s="1"/>
  <c r="M147" i="3"/>
  <c r="W146" i="3"/>
  <c r="U146" i="3"/>
  <c r="V146" i="3" s="1"/>
  <c r="S146" i="3"/>
  <c r="T146" i="3" s="1"/>
  <c r="M146" i="3"/>
  <c r="W145" i="3"/>
  <c r="U145" i="3"/>
  <c r="V145" i="3" s="1"/>
  <c r="S145" i="3"/>
  <c r="T145" i="3" s="1"/>
  <c r="M145" i="3"/>
  <c r="W144" i="3"/>
  <c r="U144" i="3"/>
  <c r="V144" i="3" s="1"/>
  <c r="S144" i="3"/>
  <c r="T144" i="3" s="1"/>
  <c r="M144" i="3"/>
  <c r="W143" i="3"/>
  <c r="U143" i="3" s="1"/>
  <c r="V143" i="3" s="1"/>
  <c r="S143" i="3"/>
  <c r="T143" i="3" s="1"/>
  <c r="M143" i="3"/>
  <c r="W142" i="3"/>
  <c r="U142" i="3"/>
  <c r="V142" i="3" s="1"/>
  <c r="S142" i="3"/>
  <c r="T142" i="3" s="1"/>
  <c r="M142" i="3"/>
  <c r="W141" i="3"/>
  <c r="U141" i="3" s="1"/>
  <c r="V141" i="3" s="1"/>
  <c r="S141" i="3"/>
  <c r="T141" i="3" s="1"/>
  <c r="M141" i="3"/>
  <c r="W140" i="3"/>
  <c r="U140" i="3"/>
  <c r="V140" i="3" s="1"/>
  <c r="S140" i="3"/>
  <c r="T140" i="3" s="1"/>
  <c r="M140" i="3"/>
  <c r="W139" i="3"/>
  <c r="U139" i="3" s="1"/>
  <c r="V139" i="3" s="1"/>
  <c r="S139" i="3"/>
  <c r="T139" i="3" s="1"/>
  <c r="M139" i="3"/>
  <c r="W138" i="3"/>
  <c r="U138" i="3"/>
  <c r="V138" i="3" s="1"/>
  <c r="S138" i="3"/>
  <c r="T138" i="3" s="1"/>
  <c r="M138" i="3"/>
  <c r="W137" i="3"/>
  <c r="U137" i="3" s="1"/>
  <c r="V137" i="3" s="1"/>
  <c r="S137" i="3"/>
  <c r="T137" i="3" s="1"/>
  <c r="M137" i="3"/>
  <c r="W136" i="3"/>
  <c r="U136" i="3" s="1"/>
  <c r="V136" i="3" s="1"/>
  <c r="S136" i="3"/>
  <c r="T136" i="3" s="1"/>
  <c r="M136" i="3"/>
  <c r="W135" i="3"/>
  <c r="U135" i="3" s="1"/>
  <c r="V135" i="3" s="1"/>
  <c r="S135" i="3"/>
  <c r="T135" i="3" s="1"/>
  <c r="M135" i="3"/>
  <c r="W134" i="3"/>
  <c r="U134" i="3"/>
  <c r="V134" i="3" s="1"/>
  <c r="S134" i="3"/>
  <c r="T134" i="3" s="1"/>
  <c r="M134" i="3"/>
  <c r="W133" i="3"/>
  <c r="U133" i="3"/>
  <c r="V133" i="3" s="1"/>
  <c r="S133" i="3"/>
  <c r="T133" i="3" s="1"/>
  <c r="M133" i="3"/>
  <c r="W132" i="3"/>
  <c r="V132" i="3"/>
  <c r="U132" i="3"/>
  <c r="S132" i="3"/>
  <c r="T132" i="3" s="1"/>
  <c r="M132" i="3"/>
  <c r="W131" i="3"/>
  <c r="U131" i="3"/>
  <c r="V131" i="3" s="1"/>
  <c r="S131" i="3"/>
  <c r="T131" i="3" s="1"/>
  <c r="M131" i="3"/>
  <c r="W130" i="3"/>
  <c r="U130" i="3" s="1"/>
  <c r="V130" i="3" s="1"/>
  <c r="S130" i="3"/>
  <c r="T130" i="3" s="1"/>
  <c r="M130" i="3"/>
  <c r="W129" i="3"/>
  <c r="U129" i="3" s="1"/>
  <c r="V129" i="3" s="1"/>
  <c r="S129" i="3"/>
  <c r="T129" i="3" s="1"/>
  <c r="M129" i="3"/>
  <c r="W128" i="3"/>
  <c r="U128" i="3" s="1"/>
  <c r="V128" i="3" s="1"/>
  <c r="S128" i="3"/>
  <c r="T128" i="3" s="1"/>
  <c r="M128" i="3"/>
  <c r="W127" i="3"/>
  <c r="U127" i="3"/>
  <c r="V127" i="3" s="1"/>
  <c r="S127" i="3"/>
  <c r="T127" i="3" s="1"/>
  <c r="M127" i="3"/>
  <c r="W126" i="3"/>
  <c r="U126" i="3" s="1"/>
  <c r="V126" i="3" s="1"/>
  <c r="S126" i="3"/>
  <c r="T126" i="3" s="1"/>
  <c r="M126" i="3"/>
  <c r="W125" i="3"/>
  <c r="U125" i="3" s="1"/>
  <c r="V125" i="3" s="1"/>
  <c r="S125" i="3"/>
  <c r="T125" i="3" s="1"/>
  <c r="M125" i="3"/>
  <c r="W124" i="3"/>
  <c r="U124" i="3"/>
  <c r="V124" i="3" s="1"/>
  <c r="S124" i="3"/>
  <c r="T124" i="3" s="1"/>
  <c r="M124" i="3"/>
  <c r="W123" i="3"/>
  <c r="U123" i="3"/>
  <c r="V123" i="3" s="1"/>
  <c r="S123" i="3"/>
  <c r="T123" i="3" s="1"/>
  <c r="M123" i="3"/>
  <c r="W122" i="3"/>
  <c r="U122" i="3" s="1"/>
  <c r="V122" i="3" s="1"/>
  <c r="S122" i="3"/>
  <c r="T122" i="3" s="1"/>
  <c r="M122" i="3"/>
  <c r="W121" i="3"/>
  <c r="U121" i="3" s="1"/>
  <c r="V121" i="3" s="1"/>
  <c r="S121" i="3"/>
  <c r="T121" i="3" s="1"/>
  <c r="M121" i="3"/>
  <c r="W120" i="3"/>
  <c r="U120" i="3"/>
  <c r="V120" i="3" s="1"/>
  <c r="S120" i="3"/>
  <c r="T120" i="3" s="1"/>
  <c r="M120" i="3"/>
  <c r="W119" i="3"/>
  <c r="U119" i="3"/>
  <c r="V119" i="3" s="1"/>
  <c r="S119" i="3"/>
  <c r="T119" i="3" s="1"/>
  <c r="M119" i="3"/>
  <c r="W118" i="3"/>
  <c r="U118" i="3" s="1"/>
  <c r="V118" i="3" s="1"/>
  <c r="S118" i="3"/>
  <c r="T118" i="3" s="1"/>
  <c r="M118" i="3"/>
  <c r="W117" i="3"/>
  <c r="U117" i="3"/>
  <c r="V117" i="3" s="1"/>
  <c r="S117" i="3"/>
  <c r="T117" i="3" s="1"/>
  <c r="M117" i="3"/>
  <c r="W116" i="3"/>
  <c r="U116" i="3" s="1"/>
  <c r="V116" i="3" s="1"/>
  <c r="S116" i="3"/>
  <c r="T116" i="3" s="1"/>
  <c r="M116" i="3"/>
  <c r="W115" i="3"/>
  <c r="U115" i="3" s="1"/>
  <c r="V115" i="3" s="1"/>
  <c r="S115" i="3"/>
  <c r="T115" i="3" s="1"/>
  <c r="M115" i="3"/>
  <c r="W114" i="3"/>
  <c r="U114" i="3" s="1"/>
  <c r="V114" i="3" s="1"/>
  <c r="S114" i="3"/>
  <c r="T114" i="3" s="1"/>
  <c r="M114" i="3"/>
  <c r="W113" i="3"/>
  <c r="U113" i="3"/>
  <c r="V113" i="3" s="1"/>
  <c r="S113" i="3"/>
  <c r="T113" i="3" s="1"/>
  <c r="M113" i="3"/>
  <c r="W112" i="3"/>
  <c r="U112" i="3" s="1"/>
  <c r="V112" i="3" s="1"/>
  <c r="S112" i="3"/>
  <c r="T112" i="3" s="1"/>
  <c r="M112" i="3"/>
  <c r="W111" i="3"/>
  <c r="U111" i="3"/>
  <c r="V111" i="3" s="1"/>
  <c r="S111" i="3"/>
  <c r="T111" i="3" s="1"/>
  <c r="M111" i="3"/>
  <c r="W110" i="3"/>
  <c r="U110" i="3"/>
  <c r="V110" i="3" s="1"/>
  <c r="S110" i="3"/>
  <c r="T110" i="3" s="1"/>
  <c r="M110" i="3"/>
  <c r="W109" i="3"/>
  <c r="U109" i="3" s="1"/>
  <c r="V109" i="3" s="1"/>
  <c r="S109" i="3"/>
  <c r="T109" i="3" s="1"/>
  <c r="M109" i="3"/>
  <c r="W108" i="3"/>
  <c r="U108" i="3" s="1"/>
  <c r="V108" i="3" s="1"/>
  <c r="S108" i="3"/>
  <c r="T108" i="3" s="1"/>
  <c r="M108" i="3"/>
  <c r="W107" i="3"/>
  <c r="U107" i="3"/>
  <c r="V107" i="3" s="1"/>
  <c r="S107" i="3"/>
  <c r="T107" i="3" s="1"/>
  <c r="M107" i="3"/>
  <c r="W106" i="3"/>
  <c r="U106" i="3" s="1"/>
  <c r="V106" i="3" s="1"/>
  <c r="S106" i="3"/>
  <c r="T106" i="3" s="1"/>
  <c r="M106" i="3"/>
  <c r="W105" i="3"/>
  <c r="U105" i="3"/>
  <c r="V105" i="3" s="1"/>
  <c r="S105" i="3"/>
  <c r="T105" i="3" s="1"/>
  <c r="M105" i="3"/>
  <c r="W104" i="3"/>
  <c r="U104" i="3"/>
  <c r="V104" i="3" s="1"/>
  <c r="S104" i="3"/>
  <c r="T104" i="3" s="1"/>
  <c r="M104" i="3"/>
  <c r="W103" i="3"/>
  <c r="U103" i="3"/>
  <c r="V103" i="3" s="1"/>
  <c r="S103" i="3"/>
  <c r="T103" i="3" s="1"/>
  <c r="M103" i="3"/>
  <c r="W102" i="3"/>
  <c r="U102" i="3"/>
  <c r="V102" i="3" s="1"/>
  <c r="S102" i="3"/>
  <c r="T102" i="3" s="1"/>
  <c r="M102" i="3"/>
  <c r="W101" i="3"/>
  <c r="U101" i="3" s="1"/>
  <c r="V101" i="3" s="1"/>
  <c r="S101" i="3"/>
  <c r="T101" i="3" s="1"/>
  <c r="M101" i="3"/>
  <c r="W100" i="3"/>
  <c r="U100" i="3"/>
  <c r="V100" i="3" s="1"/>
  <c r="S100" i="3"/>
  <c r="T100" i="3" s="1"/>
  <c r="M100" i="3"/>
  <c r="W99" i="3"/>
  <c r="U99" i="3" s="1"/>
  <c r="V99" i="3" s="1"/>
  <c r="S99" i="3"/>
  <c r="T99" i="3" s="1"/>
  <c r="M99" i="3"/>
  <c r="W98" i="3"/>
  <c r="U98" i="3" s="1"/>
  <c r="V98" i="3" s="1"/>
  <c r="S98" i="3"/>
  <c r="T98" i="3" s="1"/>
  <c r="M98" i="3"/>
  <c r="W97" i="3"/>
  <c r="U97" i="3" s="1"/>
  <c r="V97" i="3" s="1"/>
  <c r="S97" i="3"/>
  <c r="T97" i="3" s="1"/>
  <c r="M97" i="3"/>
  <c r="W96" i="3"/>
  <c r="U96" i="3"/>
  <c r="V96" i="3" s="1"/>
  <c r="S96" i="3"/>
  <c r="T96" i="3" s="1"/>
  <c r="M96" i="3"/>
  <c r="W95" i="3"/>
  <c r="U95" i="3"/>
  <c r="V95" i="3" s="1"/>
  <c r="S95" i="3"/>
  <c r="T95" i="3" s="1"/>
  <c r="M95" i="3"/>
  <c r="W94" i="3"/>
  <c r="U94" i="3" s="1"/>
  <c r="V94" i="3" s="1"/>
  <c r="S94" i="3"/>
  <c r="T94" i="3" s="1"/>
  <c r="M94" i="3"/>
  <c r="W93" i="3"/>
  <c r="U93" i="3"/>
  <c r="V93" i="3" s="1"/>
  <c r="S93" i="3"/>
  <c r="T93" i="3" s="1"/>
  <c r="M93" i="3"/>
  <c r="W92" i="3"/>
  <c r="U92" i="3" s="1"/>
  <c r="V92" i="3" s="1"/>
  <c r="S92" i="3"/>
  <c r="T92" i="3" s="1"/>
  <c r="M92" i="3"/>
  <c r="W91" i="3"/>
  <c r="U91" i="3"/>
  <c r="V91" i="3" s="1"/>
  <c r="S91" i="3"/>
  <c r="T91" i="3" s="1"/>
  <c r="M91" i="3"/>
  <c r="W90" i="3"/>
  <c r="U90" i="3"/>
  <c r="V90" i="3" s="1"/>
  <c r="S90" i="3"/>
  <c r="T90" i="3" s="1"/>
  <c r="M90" i="3"/>
  <c r="W89" i="3"/>
  <c r="U89" i="3"/>
  <c r="V89" i="3" s="1"/>
  <c r="S89" i="3"/>
  <c r="T89" i="3" s="1"/>
  <c r="M89" i="3"/>
  <c r="W88" i="3"/>
  <c r="U88" i="3" s="1"/>
  <c r="V88" i="3" s="1"/>
  <c r="S88" i="3"/>
  <c r="T88" i="3" s="1"/>
  <c r="M88" i="3"/>
  <c r="W87" i="3"/>
  <c r="U87" i="3" s="1"/>
  <c r="V87" i="3" s="1"/>
  <c r="S87" i="3"/>
  <c r="T87" i="3" s="1"/>
  <c r="M87" i="3"/>
  <c r="W86" i="3"/>
  <c r="U86" i="3"/>
  <c r="V86" i="3" s="1"/>
  <c r="S86" i="3"/>
  <c r="T86" i="3" s="1"/>
  <c r="M86" i="3"/>
  <c r="W85" i="3"/>
  <c r="U85" i="3" s="1"/>
  <c r="V85" i="3" s="1"/>
  <c r="S85" i="3"/>
  <c r="T85" i="3" s="1"/>
  <c r="M85" i="3"/>
  <c r="W84" i="3"/>
  <c r="U84" i="3"/>
  <c r="V84" i="3" s="1"/>
  <c r="S84" i="3"/>
  <c r="T84" i="3" s="1"/>
  <c r="M84" i="3"/>
  <c r="W83" i="3"/>
  <c r="U83" i="3" s="1"/>
  <c r="V83" i="3" s="1"/>
  <c r="S83" i="3"/>
  <c r="T83" i="3" s="1"/>
  <c r="M83" i="3"/>
  <c r="W82" i="3"/>
  <c r="U82" i="3"/>
  <c r="V82" i="3" s="1"/>
  <c r="S82" i="3"/>
  <c r="T82" i="3" s="1"/>
  <c r="M82" i="3"/>
  <c r="W81" i="3"/>
  <c r="U81" i="3"/>
  <c r="V81" i="3" s="1"/>
  <c r="S81" i="3"/>
  <c r="T81" i="3" s="1"/>
  <c r="M81" i="3"/>
  <c r="W80" i="3"/>
  <c r="U80" i="3" s="1"/>
  <c r="V80" i="3" s="1"/>
  <c r="S80" i="3"/>
  <c r="T80" i="3" s="1"/>
  <c r="M80" i="3"/>
  <c r="W79" i="3"/>
  <c r="U79" i="3"/>
  <c r="V79" i="3" s="1"/>
  <c r="S79" i="3"/>
  <c r="T79" i="3" s="1"/>
  <c r="M79" i="3"/>
  <c r="W78" i="3"/>
  <c r="U78" i="3"/>
  <c r="V78" i="3" s="1"/>
  <c r="S78" i="3"/>
  <c r="T78" i="3" s="1"/>
  <c r="M78" i="3"/>
  <c r="W77" i="3"/>
  <c r="U77" i="3" s="1"/>
  <c r="V77" i="3" s="1"/>
  <c r="S77" i="3"/>
  <c r="T77" i="3" s="1"/>
  <c r="M77" i="3"/>
  <c r="W76" i="3"/>
  <c r="U76" i="3"/>
  <c r="V76" i="3" s="1"/>
  <c r="S76" i="3"/>
  <c r="T76" i="3" s="1"/>
  <c r="M76" i="3"/>
  <c r="W75" i="3"/>
  <c r="U75" i="3"/>
  <c r="V75" i="3" s="1"/>
  <c r="S75" i="3"/>
  <c r="T75" i="3" s="1"/>
  <c r="M75" i="3"/>
  <c r="W74" i="3"/>
  <c r="U74" i="3"/>
  <c r="V74" i="3" s="1"/>
  <c r="S74" i="3"/>
  <c r="T74" i="3" s="1"/>
  <c r="M74" i="3"/>
  <c r="W73" i="3"/>
  <c r="U73" i="3" s="1"/>
  <c r="V73" i="3" s="1"/>
  <c r="S73" i="3"/>
  <c r="T73" i="3" s="1"/>
  <c r="M73" i="3"/>
  <c r="W72" i="3"/>
  <c r="U72" i="3"/>
  <c r="V72" i="3" s="1"/>
  <c r="S72" i="3"/>
  <c r="T72" i="3" s="1"/>
  <c r="M72" i="3"/>
  <c r="W71" i="3"/>
  <c r="U71" i="3"/>
  <c r="V71" i="3" s="1"/>
  <c r="S71" i="3"/>
  <c r="T71" i="3" s="1"/>
  <c r="M71" i="3"/>
  <c r="W70" i="3"/>
  <c r="U70" i="3"/>
  <c r="V70" i="3" s="1"/>
  <c r="S70" i="3"/>
  <c r="T70" i="3" s="1"/>
  <c r="M70" i="3"/>
  <c r="W69" i="3"/>
  <c r="U69" i="3" s="1"/>
  <c r="V69" i="3" s="1"/>
  <c r="S69" i="3"/>
  <c r="T69" i="3" s="1"/>
  <c r="M69" i="3"/>
  <c r="W68" i="3"/>
  <c r="U68" i="3"/>
  <c r="V68" i="3" s="1"/>
  <c r="S68" i="3"/>
  <c r="T68" i="3" s="1"/>
  <c r="M68" i="3"/>
  <c r="W67" i="3"/>
  <c r="U67" i="3"/>
  <c r="V67" i="3" s="1"/>
  <c r="S67" i="3"/>
  <c r="T67" i="3" s="1"/>
  <c r="M67" i="3"/>
  <c r="W66" i="3"/>
  <c r="U66" i="3" s="1"/>
  <c r="V66" i="3" s="1"/>
  <c r="S66" i="3"/>
  <c r="T66" i="3" s="1"/>
  <c r="M66" i="3"/>
  <c r="W65" i="3"/>
  <c r="U65" i="3" s="1"/>
  <c r="V65" i="3" s="1"/>
  <c r="S65" i="3"/>
  <c r="T65" i="3" s="1"/>
  <c r="M65" i="3"/>
  <c r="W64" i="3"/>
  <c r="U64" i="3"/>
  <c r="V64" i="3" s="1"/>
  <c r="S64" i="3"/>
  <c r="T64" i="3" s="1"/>
  <c r="M64" i="3"/>
  <c r="W63" i="3"/>
  <c r="U63" i="3"/>
  <c r="V63" i="3" s="1"/>
  <c r="S63" i="3"/>
  <c r="T63" i="3" s="1"/>
  <c r="M63" i="3"/>
  <c r="W62" i="3"/>
  <c r="U62" i="3"/>
  <c r="V62" i="3" s="1"/>
  <c r="S62" i="3"/>
  <c r="T62" i="3" s="1"/>
  <c r="M62" i="3"/>
  <c r="W61" i="3"/>
  <c r="U61" i="3"/>
  <c r="V61" i="3" s="1"/>
  <c r="S61" i="3"/>
  <c r="T61" i="3" s="1"/>
  <c r="M61" i="3"/>
  <c r="W60" i="3"/>
  <c r="U60" i="3" s="1"/>
  <c r="V60" i="3" s="1"/>
  <c r="S60" i="3"/>
  <c r="T60" i="3" s="1"/>
  <c r="M60" i="3"/>
  <c r="W59" i="3"/>
  <c r="U59" i="3" s="1"/>
  <c r="V59" i="3" s="1"/>
  <c r="S59" i="3"/>
  <c r="T59" i="3" s="1"/>
  <c r="M59" i="3"/>
  <c r="W58" i="3"/>
  <c r="U58" i="3"/>
  <c r="V58" i="3" s="1"/>
  <c r="S58" i="3"/>
  <c r="T58" i="3" s="1"/>
  <c r="M58" i="3"/>
  <c r="W57" i="3"/>
  <c r="U57" i="3"/>
  <c r="V57" i="3" s="1"/>
  <c r="S57" i="3"/>
  <c r="T57" i="3" s="1"/>
  <c r="M57" i="3"/>
  <c r="W56" i="3"/>
  <c r="U56" i="3" s="1"/>
  <c r="V56" i="3" s="1"/>
  <c r="S56" i="3"/>
  <c r="T56" i="3" s="1"/>
  <c r="M56" i="3"/>
  <c r="W55" i="3"/>
  <c r="U55" i="3"/>
  <c r="V55" i="3" s="1"/>
  <c r="S55" i="3"/>
  <c r="T55" i="3" s="1"/>
  <c r="M55" i="3"/>
  <c r="W54" i="3"/>
  <c r="U54" i="3"/>
  <c r="V54" i="3" s="1"/>
  <c r="S54" i="3"/>
  <c r="T54" i="3" s="1"/>
  <c r="M54" i="3"/>
  <c r="W53" i="3"/>
  <c r="U53" i="3"/>
  <c r="V53" i="3" s="1"/>
  <c r="S53" i="3"/>
  <c r="T53" i="3" s="1"/>
  <c r="M53" i="3"/>
  <c r="W52" i="3"/>
  <c r="U52" i="3" s="1"/>
  <c r="V52" i="3" s="1"/>
  <c r="S52" i="3"/>
  <c r="T52" i="3" s="1"/>
  <c r="M52" i="3"/>
  <c r="W51" i="3"/>
  <c r="U51" i="3" s="1"/>
  <c r="V51" i="3"/>
  <c r="S51" i="3"/>
  <c r="T51" i="3" s="1"/>
  <c r="M51" i="3"/>
  <c r="W50" i="3"/>
  <c r="U50" i="3"/>
  <c r="V50" i="3" s="1"/>
  <c r="S50" i="3"/>
  <c r="T50" i="3" s="1"/>
  <c r="M50" i="3"/>
  <c r="W49" i="3"/>
  <c r="U49" i="3"/>
  <c r="V49" i="3" s="1"/>
  <c r="S49" i="3"/>
  <c r="T49" i="3" s="1"/>
  <c r="M49" i="3"/>
  <c r="W48" i="3"/>
  <c r="U48" i="3" s="1"/>
  <c r="V48" i="3" s="1"/>
  <c r="S48" i="3"/>
  <c r="T48" i="3" s="1"/>
  <c r="M48" i="3"/>
  <c r="W47" i="3"/>
  <c r="U47" i="3" s="1"/>
  <c r="V47" i="3" s="1"/>
  <c r="S47" i="3"/>
  <c r="T47" i="3" s="1"/>
  <c r="M47" i="3"/>
  <c r="W46" i="3"/>
  <c r="U46" i="3"/>
  <c r="S46" i="3"/>
  <c r="T46" i="3" s="1"/>
  <c r="M46" i="3"/>
  <c r="W45" i="3"/>
  <c r="S45" i="3"/>
  <c r="T45" i="3" s="1"/>
  <c r="M45" i="3"/>
  <c r="W44" i="3"/>
  <c r="S44" i="3"/>
  <c r="T44" i="3" s="1"/>
  <c r="M44" i="3"/>
  <c r="W43" i="3"/>
  <c r="S43" i="3"/>
  <c r="M43" i="3"/>
  <c r="W42" i="3"/>
  <c r="T42" i="3"/>
  <c r="S42" i="3"/>
  <c r="M42" i="3"/>
  <c r="W41" i="3"/>
  <c r="S41" i="3"/>
  <c r="T41" i="3" s="1"/>
  <c r="M41" i="3"/>
  <c r="W40" i="3"/>
  <c r="S40" i="3"/>
  <c r="M40" i="3"/>
  <c r="W39" i="3"/>
  <c r="U39" i="3" s="1"/>
  <c r="S39" i="3"/>
  <c r="T39" i="3" s="1"/>
  <c r="M39" i="3"/>
  <c r="W38" i="3"/>
  <c r="S38" i="3"/>
  <c r="T38" i="3" s="1"/>
  <c r="M38" i="3"/>
  <c r="W37" i="3"/>
  <c r="S37" i="3"/>
  <c r="M37" i="3"/>
  <c r="W36" i="3"/>
  <c r="S36" i="3"/>
  <c r="T36" i="3" s="1"/>
  <c r="M36" i="3"/>
  <c r="W35" i="3"/>
  <c r="U35" i="3" s="1"/>
  <c r="T35" i="3"/>
  <c r="S35" i="3"/>
  <c r="M35" i="3"/>
  <c r="W34" i="3"/>
  <c r="S34" i="3"/>
  <c r="T34" i="3" s="1"/>
  <c r="M34" i="3"/>
  <c r="W33" i="3"/>
  <c r="S33" i="3"/>
  <c r="T33" i="3" s="1"/>
  <c r="M33" i="3"/>
  <c r="W32" i="3"/>
  <c r="S32" i="3"/>
  <c r="T32" i="3" s="1"/>
  <c r="M32" i="3"/>
  <c r="W31" i="3"/>
  <c r="S31" i="3"/>
  <c r="M31" i="3"/>
  <c r="W30" i="3"/>
  <c r="U30" i="3" s="1"/>
  <c r="T30" i="3"/>
  <c r="S30" i="3"/>
  <c r="M30" i="3"/>
  <c r="W29" i="3"/>
  <c r="S29" i="3"/>
  <c r="T29" i="3" s="1"/>
  <c r="M29" i="3"/>
  <c r="W28" i="3"/>
  <c r="S28" i="3"/>
  <c r="T28" i="3" s="1"/>
  <c r="M28" i="3"/>
  <c r="W27" i="3"/>
  <c r="S27" i="3"/>
  <c r="T27" i="3" s="1"/>
  <c r="M27" i="3"/>
  <c r="W26" i="3"/>
  <c r="S26" i="3"/>
  <c r="M26" i="3"/>
  <c r="W25" i="3"/>
  <c r="S25" i="3"/>
  <c r="T25" i="3" s="1"/>
  <c r="M25" i="3"/>
  <c r="W24" i="3"/>
  <c r="S24" i="3"/>
  <c r="T24" i="3" s="1"/>
  <c r="M24" i="3"/>
  <c r="W23" i="3"/>
  <c r="S23" i="3"/>
  <c r="M23" i="3"/>
  <c r="W22" i="3"/>
  <c r="S22" i="3"/>
  <c r="T22" i="3" s="1"/>
  <c r="M22" i="3"/>
  <c r="W21" i="3"/>
  <c r="S21" i="3"/>
  <c r="T21" i="3" s="1"/>
  <c r="M21" i="3"/>
  <c r="W20" i="3"/>
  <c r="S20" i="3"/>
  <c r="M20" i="3"/>
  <c r="W19" i="3"/>
  <c r="U19" i="3"/>
  <c r="S19" i="3"/>
  <c r="T19" i="3" s="1"/>
  <c r="M19" i="3"/>
  <c r="W18" i="3"/>
  <c r="T18" i="3"/>
  <c r="S18" i="3"/>
  <c r="M18" i="3"/>
  <c r="W17" i="3"/>
  <c r="S17" i="3"/>
  <c r="M17" i="3"/>
  <c r="W16" i="3"/>
  <c r="S16" i="3"/>
  <c r="T16" i="3" s="1"/>
  <c r="M16" i="3"/>
  <c r="W15" i="3"/>
  <c r="S15" i="3"/>
  <c r="T15" i="3" s="1"/>
  <c r="M15" i="3"/>
  <c r="W14" i="3"/>
  <c r="S14" i="3"/>
  <c r="M14" i="3"/>
  <c r="W13" i="3"/>
  <c r="S13" i="3"/>
  <c r="T13" i="3" s="1"/>
  <c r="M13" i="3"/>
  <c r="W12" i="3"/>
  <c r="S12" i="3"/>
  <c r="T12" i="3" s="1"/>
  <c r="M12" i="3"/>
  <c r="W11" i="3"/>
  <c r="S11" i="3"/>
  <c r="M11" i="3"/>
  <c r="W10" i="3"/>
  <c r="S10" i="3"/>
  <c r="T10" i="3" s="1"/>
  <c r="M10" i="3"/>
  <c r="W9" i="3"/>
  <c r="S9" i="3"/>
  <c r="T9" i="3" s="1"/>
  <c r="M9" i="3"/>
  <c r="W8" i="3"/>
  <c r="S8" i="3"/>
  <c r="M8" i="3"/>
  <c r="W7" i="3"/>
  <c r="S7" i="3"/>
  <c r="T7" i="3" s="1"/>
  <c r="M7" i="3"/>
  <c r="W6" i="3"/>
  <c r="U6" i="3"/>
  <c r="T6" i="3"/>
  <c r="S6" i="3"/>
  <c r="M6" i="3"/>
  <c r="W5" i="3"/>
  <c r="S5" i="3"/>
  <c r="M5" i="3"/>
  <c r="W4" i="3"/>
  <c r="S4" i="3"/>
  <c r="T4" i="3" s="1"/>
  <c r="M4" i="3"/>
  <c r="W3" i="3"/>
  <c r="U9" i="3" s="1"/>
  <c r="S3" i="3"/>
  <c r="T3" i="3" s="1"/>
  <c r="M3" i="3"/>
  <c r="W2" i="3"/>
  <c r="V2" i="3"/>
  <c r="U2" i="3"/>
  <c r="S2" i="3"/>
  <c r="M2" i="3"/>
  <c r="U41" i="3" l="1"/>
  <c r="U7" i="3"/>
  <c r="V7" i="3" s="1"/>
  <c r="U8" i="3"/>
  <c r="U18" i="3"/>
  <c r="U15" i="3"/>
  <c r="U25" i="3"/>
  <c r="U34" i="3"/>
  <c r="T31" i="3"/>
  <c r="T26" i="3"/>
  <c r="T23" i="3"/>
  <c r="T20" i="3"/>
  <c r="T2" i="3"/>
  <c r="D2" i="7"/>
  <c r="C2" i="7"/>
  <c r="D5" i="7"/>
  <c r="C4" i="7"/>
  <c r="C5" i="6"/>
  <c r="B4" i="6"/>
  <c r="C2" i="6"/>
  <c r="C3" i="6"/>
  <c r="B2" i="6"/>
  <c r="U12" i="3"/>
  <c r="U22" i="3"/>
  <c r="U4" i="3"/>
  <c r="V4" i="3" s="1"/>
  <c r="T14" i="3"/>
  <c r="U27" i="3"/>
  <c r="U37" i="3"/>
  <c r="T5" i="3"/>
  <c r="U40" i="3"/>
  <c r="U23" i="3"/>
  <c r="T37" i="3"/>
  <c r="U14" i="3"/>
  <c r="V14" i="3" s="1"/>
  <c r="U31" i="3"/>
  <c r="T43" i="3"/>
  <c r="U3" i="3"/>
  <c r="V3" i="3" s="1"/>
  <c r="U42" i="3"/>
  <c r="U5" i="3"/>
  <c r="V5" i="3" s="1"/>
  <c r="U44" i="3"/>
  <c r="U26" i="3"/>
  <c r="U13" i="3"/>
  <c r="U33" i="3"/>
  <c r="U43" i="3"/>
  <c r="T40" i="3"/>
  <c r="U10" i="3"/>
  <c r="V10" i="3" s="1"/>
  <c r="U20" i="3"/>
  <c r="U36" i="3"/>
  <c r="U16" i="3"/>
  <c r="V16" i="3" s="1"/>
  <c r="T11" i="3"/>
  <c r="U28" i="3"/>
  <c r="U38" i="3"/>
  <c r="T17" i="3"/>
  <c r="U32" i="3"/>
  <c r="U11" i="3"/>
  <c r="U17" i="3"/>
  <c r="T8" i="3"/>
  <c r="U21" i="3"/>
  <c r="U29" i="3"/>
  <c r="U45" i="3"/>
  <c r="U24" i="3"/>
  <c r="V24" i="3" s="1"/>
  <c r="V21" i="3" l="1"/>
  <c r="V43" i="3"/>
  <c r="V40" i="3"/>
  <c r="C5" i="7"/>
  <c r="D3" i="7"/>
  <c r="V33" i="3"/>
  <c r="V23" i="3"/>
  <c r="V13" i="3"/>
  <c r="B90" i="5"/>
  <c r="B97" i="5"/>
  <c r="B99" i="5"/>
  <c r="B84" i="5"/>
  <c r="B71" i="5"/>
  <c r="B56" i="5"/>
  <c r="B43" i="5"/>
  <c r="B28" i="5"/>
  <c r="B14" i="5"/>
  <c r="B5" i="5"/>
  <c r="B94" i="5"/>
  <c r="B81" i="5"/>
  <c r="B66" i="5"/>
  <c r="B53" i="5"/>
  <c r="B38" i="5"/>
  <c r="B23" i="5"/>
  <c r="B7" i="5"/>
  <c r="B91" i="5"/>
  <c r="B76" i="5"/>
  <c r="B63" i="5"/>
  <c r="B48" i="5"/>
  <c r="B35" i="5"/>
  <c r="B16" i="5"/>
  <c r="B9" i="5"/>
  <c r="B85" i="5"/>
  <c r="B69" i="5"/>
  <c r="B30" i="5"/>
  <c r="B18" i="5"/>
  <c r="B15" i="5"/>
  <c r="B77" i="5"/>
  <c r="B61" i="5"/>
  <c r="B8" i="5"/>
  <c r="B83" i="5"/>
  <c r="B74" i="5"/>
  <c r="B67" i="5"/>
  <c r="B51" i="5"/>
  <c r="B25" i="5"/>
  <c r="B80" i="5"/>
  <c r="B73" i="5"/>
  <c r="B64" i="5"/>
  <c r="B57" i="5"/>
  <c r="B41" i="5"/>
  <c r="B13" i="5"/>
  <c r="B2" i="5"/>
  <c r="W3" i="6" s="1"/>
  <c r="B98" i="5"/>
  <c r="B86" i="5"/>
  <c r="B70" i="5"/>
  <c r="B54" i="5"/>
  <c r="B47" i="5"/>
  <c r="B31" i="5"/>
  <c r="B22" i="5"/>
  <c r="B19" i="5"/>
  <c r="B96" i="5"/>
  <c r="B59" i="5"/>
  <c r="B49" i="5"/>
  <c r="B44" i="5"/>
  <c r="B39" i="5"/>
  <c r="B34" i="5"/>
  <c r="B29" i="5"/>
  <c r="B20" i="5"/>
  <c r="B79" i="5"/>
  <c r="B24" i="5"/>
  <c r="B10" i="5"/>
  <c r="B6" i="5"/>
  <c r="B33" i="5"/>
  <c r="B95" i="5"/>
  <c r="B78" i="5"/>
  <c r="B68" i="5"/>
  <c r="B58" i="5"/>
  <c r="B37" i="5"/>
  <c r="B88" i="5"/>
  <c r="B27" i="5"/>
  <c r="B100" i="5"/>
  <c r="B93" i="5"/>
  <c r="B82" i="5"/>
  <c r="B72" i="5"/>
  <c r="B62" i="5"/>
  <c r="B52" i="5"/>
  <c r="B42" i="5"/>
  <c r="B32" i="5"/>
  <c r="B4" i="5"/>
  <c r="B87" i="5"/>
  <c r="B92" i="5"/>
  <c r="B46" i="5"/>
  <c r="B36" i="5"/>
  <c r="B21" i="5"/>
  <c r="B12" i="5"/>
  <c r="B89" i="5"/>
  <c r="B17" i="5"/>
  <c r="B3" i="5"/>
  <c r="B50" i="5"/>
  <c r="B45" i="5"/>
  <c r="B11" i="5"/>
  <c r="B60" i="5"/>
  <c r="B26" i="5"/>
  <c r="B55" i="5"/>
  <c r="B65" i="5"/>
  <c r="B75" i="5"/>
  <c r="B40" i="5"/>
  <c r="V11" i="3"/>
  <c r="V26" i="3"/>
  <c r="V27" i="3"/>
  <c r="V2" i="6"/>
  <c r="E2" i="6" s="1"/>
  <c r="A2" i="6"/>
  <c r="A4" i="6"/>
  <c r="V29" i="3"/>
  <c r="V32" i="3"/>
  <c r="V44" i="3"/>
  <c r="V41" i="3"/>
  <c r="C3" i="7"/>
  <c r="V39" i="3"/>
  <c r="V45" i="3"/>
  <c r="V37" i="3"/>
  <c r="V38" i="3"/>
  <c r="V42" i="3"/>
  <c r="V19" i="3"/>
  <c r="D17" i="7"/>
  <c r="D4" i="7"/>
  <c r="P4" i="7" s="1"/>
  <c r="J4" i="7" s="1"/>
  <c r="V6" i="3"/>
  <c r="D135" i="7" s="1"/>
  <c r="R135" i="7" s="1"/>
  <c r="V17" i="3"/>
  <c r="V28" i="3"/>
  <c r="C4" i="6"/>
  <c r="V4" i="6" s="1"/>
  <c r="B3" i="6"/>
  <c r="V22" i="3"/>
  <c r="B5" i="6"/>
  <c r="B2" i="7"/>
  <c r="A2" i="7"/>
  <c r="P2" i="7"/>
  <c r="J2" i="7" s="1"/>
  <c r="V34" i="3"/>
  <c r="V30" i="3"/>
  <c r="V12" i="3"/>
  <c r="B4" i="7"/>
  <c r="A4" i="7"/>
  <c r="V25" i="3"/>
  <c r="V46" i="3"/>
  <c r="V15" i="3"/>
  <c r="V36" i="3"/>
  <c r="V31" i="3"/>
  <c r="V18" i="3"/>
  <c r="V35" i="3"/>
  <c r="V20" i="3"/>
  <c r="V8" i="3"/>
  <c r="D68" i="7" s="1"/>
  <c r="R68" i="7" s="1"/>
  <c r="V9" i="3"/>
  <c r="F2" i="6" l="1"/>
  <c r="R2" i="7"/>
  <c r="H2" i="7" s="1"/>
  <c r="W2" i="6"/>
  <c r="U2" i="6"/>
  <c r="T2" i="6"/>
  <c r="F2" i="7"/>
  <c r="G4" i="6"/>
  <c r="P4" i="6"/>
  <c r="Q4" i="6" s="1"/>
  <c r="T4" i="6"/>
  <c r="O4" i="6"/>
  <c r="O2" i="6"/>
  <c r="F4" i="7"/>
  <c r="P2" i="6"/>
  <c r="Q2" i="6" s="1"/>
  <c r="I2" i="6"/>
  <c r="J2" i="6"/>
  <c r="R4" i="7"/>
  <c r="H4" i="7" s="1"/>
  <c r="H2" i="6"/>
  <c r="X2" i="6"/>
  <c r="N2" i="6"/>
  <c r="R3" i="7"/>
  <c r="H3" i="7" s="1"/>
  <c r="G2" i="6"/>
  <c r="R17" i="7"/>
  <c r="K2" i="6"/>
  <c r="W4" i="6"/>
  <c r="L4" i="6" s="1"/>
  <c r="M2" i="6"/>
  <c r="K4" i="7"/>
  <c r="K2" i="7"/>
  <c r="C154" i="6"/>
  <c r="W154" i="6" s="1"/>
  <c r="C113" i="6"/>
  <c r="W113" i="6" s="1"/>
  <c r="D88" i="7"/>
  <c r="R88" i="7" s="1"/>
  <c r="B39" i="6"/>
  <c r="C75" i="7"/>
  <c r="C75" i="6"/>
  <c r="W75" i="6" s="1"/>
  <c r="B169" i="6"/>
  <c r="C91" i="7"/>
  <c r="D141" i="7"/>
  <c r="R141" i="7" s="1"/>
  <c r="B142" i="6"/>
  <c r="B8" i="6"/>
  <c r="C119" i="6"/>
  <c r="W119" i="6" s="1"/>
  <c r="H24" i="5"/>
  <c r="M24" i="5"/>
  <c r="K24" i="5"/>
  <c r="J24" i="5"/>
  <c r="L24" i="5"/>
  <c r="A24" i="5"/>
  <c r="D180" i="7"/>
  <c r="R180" i="7" s="1"/>
  <c r="O2" i="7"/>
  <c r="C96" i="6"/>
  <c r="W96" i="6" s="1"/>
  <c r="B27" i="6"/>
  <c r="D167" i="7"/>
  <c r="R167" i="7" s="1"/>
  <c r="C72" i="6"/>
  <c r="W72" i="6" s="1"/>
  <c r="B149" i="6"/>
  <c r="C162" i="6"/>
  <c r="W162" i="6" s="1"/>
  <c r="D119" i="7"/>
  <c r="R119" i="7" s="1"/>
  <c r="J17" i="5"/>
  <c r="H17" i="5"/>
  <c r="A17" i="5"/>
  <c r="O4" i="7"/>
  <c r="D175" i="7"/>
  <c r="R175" i="7" s="1"/>
  <c r="C103" i="7"/>
  <c r="C49" i="7"/>
  <c r="B58" i="6"/>
  <c r="C86" i="6"/>
  <c r="W86" i="6" s="1"/>
  <c r="D161" i="7"/>
  <c r="R161" i="7" s="1"/>
  <c r="D146" i="7"/>
  <c r="R146" i="7" s="1"/>
  <c r="D46" i="7"/>
  <c r="R46" i="7" s="1"/>
  <c r="C55" i="6"/>
  <c r="W55" i="6" s="1"/>
  <c r="D30" i="7"/>
  <c r="R30" i="7" s="1"/>
  <c r="B176" i="6"/>
  <c r="C82" i="6"/>
  <c r="W82" i="6" s="1"/>
  <c r="C133" i="7"/>
  <c r="C173" i="6"/>
  <c r="W173" i="6" s="1"/>
  <c r="B70" i="6"/>
  <c r="F4" i="6"/>
  <c r="C186" i="7"/>
  <c r="C56" i="7"/>
  <c r="C145" i="6"/>
  <c r="W145" i="6" s="1"/>
  <c r="C144" i="6"/>
  <c r="W144" i="6" s="1"/>
  <c r="L2" i="6"/>
  <c r="L89" i="5"/>
  <c r="K89" i="5"/>
  <c r="J89" i="5"/>
  <c r="M89" i="5"/>
  <c r="A89" i="5"/>
  <c r="H89" i="5"/>
  <c r="L93" i="5"/>
  <c r="K93" i="5"/>
  <c r="J93" i="5"/>
  <c r="M93" i="5"/>
  <c r="H93" i="5"/>
  <c r="A93" i="5"/>
  <c r="M20" i="5"/>
  <c r="L20" i="5"/>
  <c r="H20" i="5"/>
  <c r="A20" i="5"/>
  <c r="K20" i="5"/>
  <c r="J20" i="5"/>
  <c r="K86" i="5"/>
  <c r="J86" i="5"/>
  <c r="H86" i="5"/>
  <c r="M86" i="5"/>
  <c r="L86" i="5"/>
  <c r="A86" i="5"/>
  <c r="A8" i="5"/>
  <c r="J8" i="5"/>
  <c r="H8" i="5"/>
  <c r="L91" i="5"/>
  <c r="K91" i="5"/>
  <c r="J91" i="5"/>
  <c r="M91" i="5"/>
  <c r="H91" i="5"/>
  <c r="A91" i="5"/>
  <c r="A84" i="5"/>
  <c r="M84" i="5"/>
  <c r="L84" i="5"/>
  <c r="K84" i="5"/>
  <c r="H84" i="5"/>
  <c r="J84" i="5"/>
  <c r="C120" i="7"/>
  <c r="C172" i="7"/>
  <c r="B102" i="6"/>
  <c r="B123" i="6"/>
  <c r="C154" i="7"/>
  <c r="D64" i="7"/>
  <c r="R64" i="7" s="1"/>
  <c r="A5" i="7"/>
  <c r="B5" i="7"/>
  <c r="P5" i="7"/>
  <c r="F5" i="7" s="1"/>
  <c r="B171" i="6"/>
  <c r="D20" i="7"/>
  <c r="R20" i="7" s="1"/>
  <c r="D173" i="7"/>
  <c r="R173" i="7" s="1"/>
  <c r="A3" i="5"/>
  <c r="J3" i="5"/>
  <c r="H3" i="5"/>
  <c r="D23" i="7"/>
  <c r="R23" i="7" s="1"/>
  <c r="C61" i="6"/>
  <c r="W61" i="6" s="1"/>
  <c r="B90" i="6"/>
  <c r="B62" i="6"/>
  <c r="R5" i="7"/>
  <c r="H5" i="7" s="1"/>
  <c r="C162" i="7"/>
  <c r="B190" i="6"/>
  <c r="B195" i="6"/>
  <c r="B55" i="6"/>
  <c r="C95" i="6"/>
  <c r="W95" i="6" s="1"/>
  <c r="C126" i="7"/>
  <c r="C89" i="7"/>
  <c r="B181" i="6"/>
  <c r="C52" i="6"/>
  <c r="W52" i="6" s="1"/>
  <c r="C129" i="7"/>
  <c r="B185" i="6"/>
  <c r="B165" i="6"/>
  <c r="C198" i="7"/>
  <c r="D6" i="7"/>
  <c r="R6" i="7" s="1"/>
  <c r="B183" i="6"/>
  <c r="C140" i="6"/>
  <c r="W140" i="6" s="1"/>
  <c r="I4" i="6"/>
  <c r="C187" i="7"/>
  <c r="C57" i="7"/>
  <c r="C111" i="6"/>
  <c r="W111" i="6" s="1"/>
  <c r="C43" i="6"/>
  <c r="W43" i="6" s="1"/>
  <c r="J12" i="5"/>
  <c r="H12" i="5"/>
  <c r="A12" i="5"/>
  <c r="H100" i="5"/>
  <c r="A100" i="5"/>
  <c r="L100" i="5"/>
  <c r="M100" i="5"/>
  <c r="K100" i="5"/>
  <c r="J100" i="5"/>
  <c r="L29" i="5"/>
  <c r="K29" i="5"/>
  <c r="J29" i="5"/>
  <c r="H29" i="5"/>
  <c r="A29" i="5"/>
  <c r="M29" i="5"/>
  <c r="M98" i="5"/>
  <c r="K98" i="5"/>
  <c r="J98" i="5"/>
  <c r="H98" i="5"/>
  <c r="A98" i="5"/>
  <c r="L98" i="5"/>
  <c r="L61" i="5"/>
  <c r="K61" i="5"/>
  <c r="J61" i="5"/>
  <c r="A61" i="5"/>
  <c r="H61" i="5"/>
  <c r="M61" i="5"/>
  <c r="H7" i="5"/>
  <c r="A7" i="5"/>
  <c r="J7" i="5"/>
  <c r="L99" i="5"/>
  <c r="K99" i="5"/>
  <c r="J99" i="5"/>
  <c r="A99" i="5"/>
  <c r="M99" i="5"/>
  <c r="H99" i="5"/>
  <c r="C128" i="7"/>
  <c r="B170" i="6"/>
  <c r="B76" i="6"/>
  <c r="B28" i="6"/>
  <c r="D136" i="7"/>
  <c r="R136" i="7" s="1"/>
  <c r="D122" i="7"/>
  <c r="R122" i="7" s="1"/>
  <c r="C79" i="6"/>
  <c r="W79" i="6" s="1"/>
  <c r="B17" i="6"/>
  <c r="B45" i="6"/>
  <c r="V5" i="6"/>
  <c r="N5" i="6" s="1"/>
  <c r="A5" i="6"/>
  <c r="Q2" i="7"/>
  <c r="B75" i="6"/>
  <c r="C74" i="6"/>
  <c r="W74" i="6" s="1"/>
  <c r="C94" i="7"/>
  <c r="C136" i="7"/>
  <c r="A74" i="5"/>
  <c r="H74" i="5"/>
  <c r="M74" i="5"/>
  <c r="L74" i="5"/>
  <c r="K74" i="5"/>
  <c r="J74" i="5"/>
  <c r="C61" i="7"/>
  <c r="B168" i="6"/>
  <c r="B137" i="6"/>
  <c r="C155" i="7"/>
  <c r="C68" i="6"/>
  <c r="W68" i="6" s="1"/>
  <c r="B97" i="6"/>
  <c r="U4" i="6"/>
  <c r="D105" i="7"/>
  <c r="R105" i="7" s="1"/>
  <c r="C155" i="6"/>
  <c r="W155" i="6" s="1"/>
  <c r="W5" i="6"/>
  <c r="Q4" i="7"/>
  <c r="D133" i="7"/>
  <c r="R133" i="7" s="1"/>
  <c r="C115" i="7"/>
  <c r="B144" i="6"/>
  <c r="D193" i="7"/>
  <c r="R193" i="7" s="1"/>
  <c r="C88" i="6"/>
  <c r="W88" i="6" s="1"/>
  <c r="C199" i="7"/>
  <c r="C145" i="7"/>
  <c r="C143" i="6"/>
  <c r="W143" i="6" s="1"/>
  <c r="C198" i="6"/>
  <c r="W198" i="6" s="1"/>
  <c r="D128" i="7"/>
  <c r="R128" i="7" s="1"/>
  <c r="C10" i="7"/>
  <c r="C168" i="6"/>
  <c r="W168" i="6" s="1"/>
  <c r="B59" i="6"/>
  <c r="D159" i="7"/>
  <c r="R159" i="7" s="1"/>
  <c r="C29" i="7"/>
  <c r="C156" i="6"/>
  <c r="W156" i="6" s="1"/>
  <c r="C56" i="6"/>
  <c r="W56" i="6" s="1"/>
  <c r="J4" i="6"/>
  <c r="D137" i="7"/>
  <c r="R137" i="7" s="1"/>
  <c r="C163" i="6"/>
  <c r="W163" i="6" s="1"/>
  <c r="B111" i="6"/>
  <c r="L21" i="5"/>
  <c r="K21" i="5"/>
  <c r="A21" i="5"/>
  <c r="H21" i="5"/>
  <c r="M21" i="5"/>
  <c r="J21" i="5"/>
  <c r="L27" i="5"/>
  <c r="K27" i="5"/>
  <c r="M27" i="5"/>
  <c r="A27" i="5"/>
  <c r="J27" i="5"/>
  <c r="H27" i="5"/>
  <c r="M34" i="5"/>
  <c r="L34" i="5"/>
  <c r="K34" i="5"/>
  <c r="J34" i="5"/>
  <c r="H34" i="5"/>
  <c r="A34" i="5"/>
  <c r="J2" i="5"/>
  <c r="H2" i="5"/>
  <c r="A2" i="5"/>
  <c r="D3" i="6" s="1"/>
  <c r="L77" i="5"/>
  <c r="K77" i="5"/>
  <c r="J77" i="5"/>
  <c r="A77" i="5"/>
  <c r="M77" i="5"/>
  <c r="H77" i="5"/>
  <c r="L23" i="5"/>
  <c r="K23" i="5"/>
  <c r="H23" i="5"/>
  <c r="A23" i="5"/>
  <c r="M23" i="5"/>
  <c r="J23" i="5"/>
  <c r="L97" i="5"/>
  <c r="K97" i="5"/>
  <c r="J97" i="5"/>
  <c r="M97" i="5"/>
  <c r="H97" i="5"/>
  <c r="A97" i="5"/>
  <c r="C108" i="7"/>
  <c r="C188" i="6"/>
  <c r="W188" i="6" s="1"/>
  <c r="C37" i="7"/>
  <c r="C81" i="6"/>
  <c r="W81" i="6" s="1"/>
  <c r="D117" i="7"/>
  <c r="R117" i="7" s="1"/>
  <c r="D132" i="7"/>
  <c r="R132" i="7" s="1"/>
  <c r="C89" i="6"/>
  <c r="W89" i="6" s="1"/>
  <c r="B52" i="6"/>
  <c r="D189" i="7"/>
  <c r="R189" i="7" s="1"/>
  <c r="C186" i="6"/>
  <c r="W186" i="6" s="1"/>
  <c r="D55" i="7"/>
  <c r="R55" i="7" s="1"/>
  <c r="C10" i="6"/>
  <c r="W10" i="6" s="1"/>
  <c r="B140" i="6"/>
  <c r="D60" i="7"/>
  <c r="R60" i="7" s="1"/>
  <c r="C44" i="6"/>
  <c r="W44" i="6" s="1"/>
  <c r="K54" i="5"/>
  <c r="J54" i="5"/>
  <c r="H54" i="5"/>
  <c r="M54" i="5"/>
  <c r="L54" i="5"/>
  <c r="A54" i="5"/>
  <c r="C98" i="7"/>
  <c r="G4" i="7"/>
  <c r="C125" i="7"/>
  <c r="C19" i="7"/>
  <c r="G2" i="7"/>
  <c r="B143" i="6"/>
  <c r="B34" i="6"/>
  <c r="C66" i="6"/>
  <c r="W66" i="6" s="1"/>
  <c r="D150" i="7"/>
  <c r="R150" i="7" s="1"/>
  <c r="C184" i="6"/>
  <c r="W184" i="6" s="1"/>
  <c r="C142" i="6"/>
  <c r="W142" i="6" s="1"/>
  <c r="C31" i="6"/>
  <c r="W31" i="6" s="1"/>
  <c r="D166" i="7"/>
  <c r="R166" i="7" s="1"/>
  <c r="D31" i="7"/>
  <c r="R31" i="7" s="1"/>
  <c r="C134" i="6"/>
  <c r="W134" i="6" s="1"/>
  <c r="C65" i="6"/>
  <c r="W65" i="6" s="1"/>
  <c r="D162" i="7"/>
  <c r="R162" i="7" s="1"/>
  <c r="C60" i="7"/>
  <c r="C126" i="6"/>
  <c r="W126" i="6" s="1"/>
  <c r="B53" i="6"/>
  <c r="H4" i="6"/>
  <c r="K4" i="6"/>
  <c r="C130" i="7"/>
  <c r="B184" i="6"/>
  <c r="C94" i="6"/>
  <c r="W94" i="6" s="1"/>
  <c r="B41" i="6"/>
  <c r="L40" i="5"/>
  <c r="K40" i="5"/>
  <c r="J40" i="5"/>
  <c r="A40" i="5"/>
  <c r="H40" i="5"/>
  <c r="M40" i="5"/>
  <c r="L36" i="5"/>
  <c r="M36" i="5"/>
  <c r="K36" i="5"/>
  <c r="J36" i="5"/>
  <c r="A36" i="5"/>
  <c r="H36" i="5"/>
  <c r="M88" i="5"/>
  <c r="L88" i="5"/>
  <c r="K88" i="5"/>
  <c r="J88" i="5"/>
  <c r="H88" i="5"/>
  <c r="A88" i="5"/>
  <c r="L39" i="5"/>
  <c r="K39" i="5"/>
  <c r="J39" i="5"/>
  <c r="H39" i="5"/>
  <c r="A39" i="5"/>
  <c r="M39" i="5"/>
  <c r="J13" i="5"/>
  <c r="H13" i="5"/>
  <c r="A13" i="5"/>
  <c r="H15" i="5"/>
  <c r="A15" i="5"/>
  <c r="J15" i="5"/>
  <c r="H38" i="5"/>
  <c r="A38" i="5"/>
  <c r="K38" i="5"/>
  <c r="J38" i="5"/>
  <c r="L38" i="5"/>
  <c r="M38" i="5"/>
  <c r="L90" i="5"/>
  <c r="K90" i="5"/>
  <c r="J90" i="5"/>
  <c r="H90" i="5"/>
  <c r="M90" i="5"/>
  <c r="A90" i="5"/>
  <c r="D27" i="7"/>
  <c r="R27" i="7" s="1"/>
  <c r="C77" i="7"/>
  <c r="B151" i="6"/>
  <c r="B7" i="6"/>
  <c r="C117" i="7"/>
  <c r="B163" i="6"/>
  <c r="B69" i="6"/>
  <c r="D70" i="7"/>
  <c r="R70" i="7" s="1"/>
  <c r="C114" i="6"/>
  <c r="W114" i="6" s="1"/>
  <c r="D48" i="7"/>
  <c r="R48" i="7" s="1"/>
  <c r="C144" i="7"/>
  <c r="C78" i="6"/>
  <c r="W78" i="6" s="1"/>
  <c r="C63" i="7"/>
  <c r="C166" i="6"/>
  <c r="W166" i="6" s="1"/>
  <c r="B38" i="6"/>
  <c r="D115" i="7"/>
  <c r="R115" i="7" s="1"/>
  <c r="B164" i="6"/>
  <c r="C35" i="6"/>
  <c r="W35" i="6" s="1"/>
  <c r="C122" i="7"/>
  <c r="D42" i="7"/>
  <c r="R42" i="7" s="1"/>
  <c r="C47" i="7"/>
  <c r="L75" i="5"/>
  <c r="K75" i="5"/>
  <c r="J75" i="5"/>
  <c r="H75" i="5"/>
  <c r="M75" i="5"/>
  <c r="A75" i="5"/>
  <c r="L44" i="5"/>
  <c r="K44" i="5"/>
  <c r="J44" i="5"/>
  <c r="H44" i="5"/>
  <c r="M44" i="5"/>
  <c r="A44" i="5"/>
  <c r="J18" i="5"/>
  <c r="H18" i="5"/>
  <c r="A18" i="5"/>
  <c r="C62" i="7"/>
  <c r="B87" i="6"/>
  <c r="B187" i="6"/>
  <c r="C150" i="7"/>
  <c r="V3" i="6"/>
  <c r="P3" i="6" s="1"/>
  <c r="Q3" i="6" s="1"/>
  <c r="F3" i="6"/>
  <c r="A3" i="6"/>
  <c r="L3" i="6"/>
  <c r="C123" i="6"/>
  <c r="W123" i="6" s="1"/>
  <c r="C134" i="7"/>
  <c r="D121" i="7"/>
  <c r="R121" i="7" s="1"/>
  <c r="C7" i="7"/>
  <c r="D186" i="7"/>
  <c r="R186" i="7" s="1"/>
  <c r="B161" i="6"/>
  <c r="C171" i="6"/>
  <c r="W171" i="6" s="1"/>
  <c r="C100" i="7"/>
  <c r="B180" i="6"/>
  <c r="C42" i="6"/>
  <c r="W42" i="6" s="1"/>
  <c r="L65" i="5"/>
  <c r="K65" i="5"/>
  <c r="J65" i="5"/>
  <c r="M65" i="5"/>
  <c r="H65" i="5"/>
  <c r="A65" i="5"/>
  <c r="K58" i="5"/>
  <c r="J58" i="5"/>
  <c r="H58" i="5"/>
  <c r="L58" i="5"/>
  <c r="A58" i="5"/>
  <c r="M58" i="5"/>
  <c r="L49" i="5"/>
  <c r="K49" i="5"/>
  <c r="J49" i="5"/>
  <c r="M49" i="5"/>
  <c r="H49" i="5"/>
  <c r="A49" i="5"/>
  <c r="L57" i="5"/>
  <c r="K57" i="5"/>
  <c r="J57" i="5"/>
  <c r="M57" i="5"/>
  <c r="H57" i="5"/>
  <c r="A57" i="5"/>
  <c r="H66" i="5"/>
  <c r="A66" i="5"/>
  <c r="M66" i="5"/>
  <c r="L66" i="5"/>
  <c r="K66" i="5"/>
  <c r="J66" i="5"/>
  <c r="D100" i="7"/>
  <c r="R100" i="7" s="1"/>
  <c r="C88" i="7"/>
  <c r="D8" i="7"/>
  <c r="R8" i="7" s="1"/>
  <c r="C67" i="6"/>
  <c r="W67" i="6" s="1"/>
  <c r="C189" i="7"/>
  <c r="C70" i="7"/>
  <c r="C147" i="6"/>
  <c r="W147" i="6" s="1"/>
  <c r="B166" i="6"/>
  <c r="D181" i="7"/>
  <c r="R181" i="7" s="1"/>
  <c r="C87" i="7"/>
  <c r="B120" i="6"/>
  <c r="B85" i="6"/>
  <c r="D62" i="7"/>
  <c r="R62" i="7" s="1"/>
  <c r="B103" i="6"/>
  <c r="B81" i="6"/>
  <c r="C119" i="7"/>
  <c r="C85" i="7"/>
  <c r="C131" i="6"/>
  <c r="W131" i="6" s="1"/>
  <c r="B193" i="6"/>
  <c r="D200" i="7"/>
  <c r="R200" i="7" s="1"/>
  <c r="C68" i="7"/>
  <c r="B114" i="6"/>
  <c r="B46" i="6"/>
  <c r="C76" i="7"/>
  <c r="D59" i="7"/>
  <c r="R59" i="7" s="1"/>
  <c r="B99" i="6"/>
  <c r="L55" i="5"/>
  <c r="K55" i="5"/>
  <c r="J55" i="5"/>
  <c r="M55" i="5"/>
  <c r="H55" i="5"/>
  <c r="A55" i="5"/>
  <c r="L87" i="5"/>
  <c r="K87" i="5"/>
  <c r="J87" i="5"/>
  <c r="H87" i="5"/>
  <c r="A87" i="5"/>
  <c r="M87" i="5"/>
  <c r="L68" i="5"/>
  <c r="K68" i="5"/>
  <c r="J68" i="5"/>
  <c r="H68" i="5"/>
  <c r="A68" i="5"/>
  <c r="M68" i="5"/>
  <c r="L59" i="5"/>
  <c r="K59" i="5"/>
  <c r="J59" i="5"/>
  <c r="H59" i="5"/>
  <c r="M59" i="5"/>
  <c r="A59" i="5"/>
  <c r="J64" i="5"/>
  <c r="H64" i="5"/>
  <c r="A64" i="5"/>
  <c r="M64" i="5"/>
  <c r="L64" i="5"/>
  <c r="K64" i="5"/>
  <c r="L69" i="5"/>
  <c r="K69" i="5"/>
  <c r="J69" i="5"/>
  <c r="M69" i="5"/>
  <c r="H69" i="5"/>
  <c r="A69" i="5"/>
  <c r="L81" i="5"/>
  <c r="K81" i="5"/>
  <c r="J81" i="5"/>
  <c r="H81" i="5"/>
  <c r="A81" i="5"/>
  <c r="M81" i="5"/>
  <c r="B35" i="6"/>
  <c r="C153" i="7"/>
  <c r="C146" i="6"/>
  <c r="W146" i="6" s="1"/>
  <c r="C40" i="6"/>
  <c r="W40" i="6" s="1"/>
  <c r="C29" i="6"/>
  <c r="W29" i="6" s="1"/>
  <c r="C55" i="7"/>
  <c r="C43" i="7"/>
  <c r="C83" i="6"/>
  <c r="W83" i="6" s="1"/>
  <c r="B74" i="6"/>
  <c r="C191" i="6"/>
  <c r="W191" i="6" s="1"/>
  <c r="C148" i="6"/>
  <c r="W148" i="6" s="1"/>
  <c r="B191" i="6"/>
  <c r="C200" i="6"/>
  <c r="W200" i="6" s="1"/>
  <c r="B82" i="6"/>
  <c r="D35" i="7"/>
  <c r="R35" i="7" s="1"/>
  <c r="A46" i="5"/>
  <c r="K46" i="5"/>
  <c r="M46" i="5"/>
  <c r="L46" i="5"/>
  <c r="J46" i="5"/>
  <c r="H46" i="5"/>
  <c r="L41" i="5"/>
  <c r="K41" i="5"/>
  <c r="J41" i="5"/>
  <c r="M41" i="5"/>
  <c r="H41" i="5"/>
  <c r="A41" i="5"/>
  <c r="C181" i="6"/>
  <c r="W181" i="6" s="1"/>
  <c r="C73" i="7"/>
  <c r="B51" i="6"/>
  <c r="C169" i="7"/>
  <c r="D74" i="7"/>
  <c r="R74" i="7" s="1"/>
  <c r="C48" i="6"/>
  <c r="W48" i="6" s="1"/>
  <c r="C178" i="6"/>
  <c r="W178" i="6" s="1"/>
  <c r="D41" i="7"/>
  <c r="R41" i="7" s="1"/>
  <c r="K92" i="5"/>
  <c r="H92" i="5"/>
  <c r="M92" i="5"/>
  <c r="L92" i="5"/>
  <c r="A92" i="5"/>
  <c r="J92" i="5"/>
  <c r="K30" i="5"/>
  <c r="J30" i="5"/>
  <c r="H30" i="5"/>
  <c r="L30" i="5"/>
  <c r="M30" i="5"/>
  <c r="A30" i="5"/>
  <c r="D69" i="7"/>
  <c r="R69" i="7" s="1"/>
  <c r="C17" i="7"/>
  <c r="C130" i="6"/>
  <c r="W130" i="6" s="1"/>
  <c r="C22" i="6"/>
  <c r="W22" i="6" s="1"/>
  <c r="D118" i="7"/>
  <c r="R118" i="7" s="1"/>
  <c r="B117" i="6"/>
  <c r="C18" i="6"/>
  <c r="W18" i="6" s="1"/>
  <c r="C195" i="7"/>
  <c r="C86" i="7"/>
  <c r="B131" i="6"/>
  <c r="B14" i="6"/>
  <c r="C170" i="6"/>
  <c r="W170" i="6" s="1"/>
  <c r="A26" i="5"/>
  <c r="M26" i="5"/>
  <c r="L26" i="5"/>
  <c r="K26" i="5"/>
  <c r="H26" i="5"/>
  <c r="J26" i="5"/>
  <c r="M78" i="5"/>
  <c r="L78" i="5"/>
  <c r="K78" i="5"/>
  <c r="H78" i="5"/>
  <c r="A78" i="5"/>
  <c r="J78" i="5"/>
  <c r="L73" i="5"/>
  <c r="K73" i="5"/>
  <c r="J73" i="5"/>
  <c r="M73" i="5"/>
  <c r="H73" i="5"/>
  <c r="A73" i="5"/>
  <c r="L94" i="5"/>
  <c r="H94" i="5"/>
  <c r="A94" i="5"/>
  <c r="M94" i="5"/>
  <c r="K94" i="5"/>
  <c r="J94" i="5"/>
  <c r="D198" i="7"/>
  <c r="R198" i="7" s="1"/>
  <c r="B162" i="6"/>
  <c r="B61" i="6"/>
  <c r="D90" i="7"/>
  <c r="R90" i="7" s="1"/>
  <c r="B65" i="6"/>
  <c r="D101" i="7"/>
  <c r="R101" i="7" s="1"/>
  <c r="C185" i="6"/>
  <c r="W185" i="6" s="1"/>
  <c r="B29" i="6"/>
  <c r="B98" i="6"/>
  <c r="C150" i="6"/>
  <c r="W150" i="6" s="1"/>
  <c r="C157" i="7"/>
  <c r="C152" i="6"/>
  <c r="W152" i="6" s="1"/>
  <c r="B22" i="6"/>
  <c r="C87" i="6"/>
  <c r="W87" i="6" s="1"/>
  <c r="D144" i="7"/>
  <c r="R144" i="7" s="1"/>
  <c r="C177" i="6"/>
  <c r="W177" i="6" s="1"/>
  <c r="C125" i="6"/>
  <c r="W125" i="6" s="1"/>
  <c r="B160" i="6"/>
  <c r="C137" i="7"/>
  <c r="C24" i="7"/>
  <c r="C116" i="6"/>
  <c r="W116" i="6" s="1"/>
  <c r="B116" i="6"/>
  <c r="E4" i="6"/>
  <c r="N4" i="6"/>
  <c r="C193" i="7"/>
  <c r="B157" i="6"/>
  <c r="C54" i="6"/>
  <c r="W54" i="6" s="1"/>
  <c r="M60" i="5"/>
  <c r="L60" i="5"/>
  <c r="K60" i="5"/>
  <c r="J60" i="5"/>
  <c r="H60" i="5"/>
  <c r="A60" i="5"/>
  <c r="M32" i="5"/>
  <c r="L32" i="5"/>
  <c r="A32" i="5"/>
  <c r="K32" i="5"/>
  <c r="J32" i="5"/>
  <c r="H32" i="5"/>
  <c r="L95" i="5"/>
  <c r="K95" i="5"/>
  <c r="J95" i="5"/>
  <c r="A95" i="5"/>
  <c r="H95" i="5"/>
  <c r="M95" i="5"/>
  <c r="L19" i="5"/>
  <c r="K19" i="5"/>
  <c r="M19" i="5"/>
  <c r="J19" i="5"/>
  <c r="H19" i="5"/>
  <c r="A19" i="5"/>
  <c r="J80" i="5"/>
  <c r="H80" i="5"/>
  <c r="A80" i="5"/>
  <c r="M80" i="5"/>
  <c r="L80" i="5"/>
  <c r="K80" i="5"/>
  <c r="J9" i="5"/>
  <c r="H9" i="5"/>
  <c r="A9" i="5"/>
  <c r="A5" i="5"/>
  <c r="J5" i="5"/>
  <c r="H5" i="5"/>
  <c r="C177" i="7"/>
  <c r="D185" i="7"/>
  <c r="R185" i="7" s="1"/>
  <c r="D18" i="7"/>
  <c r="R18" i="7" s="1"/>
  <c r="B127" i="6"/>
  <c r="C59" i="6"/>
  <c r="W59" i="6" s="1"/>
  <c r="C146" i="7"/>
  <c r="C139" i="6"/>
  <c r="W139" i="6" s="1"/>
  <c r="C33" i="6"/>
  <c r="W33" i="6" s="1"/>
  <c r="B25" i="6"/>
  <c r="C171" i="7"/>
  <c r="D49" i="7"/>
  <c r="R49" i="7" s="1"/>
  <c r="C183" i="7"/>
  <c r="B192" i="6"/>
  <c r="C141" i="6"/>
  <c r="W141" i="6" s="1"/>
  <c r="B196" i="6"/>
  <c r="B128" i="6"/>
  <c r="C165" i="7"/>
  <c r="D126" i="7"/>
  <c r="R126" i="7" s="1"/>
  <c r="C151" i="6"/>
  <c r="W151" i="6" s="1"/>
  <c r="L37" i="5"/>
  <c r="K37" i="5"/>
  <c r="J37" i="5"/>
  <c r="M37" i="5"/>
  <c r="H37" i="5"/>
  <c r="A37" i="5"/>
  <c r="L53" i="5"/>
  <c r="K53" i="5"/>
  <c r="J53" i="5"/>
  <c r="H53" i="5"/>
  <c r="A53" i="5"/>
  <c r="M53" i="5"/>
  <c r="C45" i="7"/>
  <c r="C149" i="6"/>
  <c r="W149" i="6" s="1"/>
  <c r="D107" i="7"/>
  <c r="R107" i="7" s="1"/>
  <c r="C77" i="6"/>
  <c r="W77" i="6" s="1"/>
  <c r="B124" i="6"/>
  <c r="D81" i="7"/>
  <c r="R81" i="7" s="1"/>
  <c r="C39" i="6"/>
  <c r="W39" i="6" s="1"/>
  <c r="C92" i="7"/>
  <c r="D143" i="7"/>
  <c r="R143" i="7" s="1"/>
  <c r="C128" i="6"/>
  <c r="W128" i="6" s="1"/>
  <c r="C11" i="6"/>
  <c r="W11" i="6" s="1"/>
  <c r="M4" i="6"/>
  <c r="D103" i="7"/>
  <c r="R103" i="7" s="1"/>
  <c r="B135" i="6"/>
  <c r="D94" i="7"/>
  <c r="R94" i="7" s="1"/>
  <c r="A4" i="5"/>
  <c r="J4" i="5"/>
  <c r="H4" i="5"/>
  <c r="L96" i="5"/>
  <c r="K96" i="5"/>
  <c r="J96" i="5"/>
  <c r="M96" i="5"/>
  <c r="H96" i="5"/>
  <c r="A96" i="5"/>
  <c r="L85" i="5"/>
  <c r="K85" i="5"/>
  <c r="J85" i="5"/>
  <c r="M85" i="5"/>
  <c r="H85" i="5"/>
  <c r="A85" i="5"/>
  <c r="D96" i="7"/>
  <c r="R96" i="7" s="1"/>
  <c r="C74" i="7"/>
  <c r="B158" i="6"/>
  <c r="D168" i="7"/>
  <c r="R168" i="7" s="1"/>
  <c r="C157" i="6"/>
  <c r="W157" i="6" s="1"/>
  <c r="B83" i="6"/>
  <c r="B13" i="6"/>
  <c r="D37" i="7"/>
  <c r="R37" i="7" s="1"/>
  <c r="B179" i="6"/>
  <c r="C70" i="6"/>
  <c r="W70" i="6" s="1"/>
  <c r="C106" i="6"/>
  <c r="W106" i="6" s="1"/>
  <c r="C143" i="7"/>
  <c r="C25" i="7"/>
  <c r="B107" i="6"/>
  <c r="C24" i="6"/>
  <c r="W24" i="6" s="1"/>
  <c r="D148" i="7"/>
  <c r="R148" i="7" s="1"/>
  <c r="D43" i="7"/>
  <c r="R43" i="7" s="1"/>
  <c r="D53" i="7"/>
  <c r="R53" i="7" s="1"/>
  <c r="B11" i="6"/>
  <c r="C28" i="6"/>
  <c r="W28" i="6" s="1"/>
  <c r="D127" i="7"/>
  <c r="R127" i="7" s="1"/>
  <c r="B167" i="6"/>
  <c r="B68" i="6"/>
  <c r="J11" i="5"/>
  <c r="H11" i="5"/>
  <c r="A11" i="5"/>
  <c r="M42" i="5"/>
  <c r="L42" i="5"/>
  <c r="K42" i="5"/>
  <c r="J42" i="5"/>
  <c r="H42" i="5"/>
  <c r="A42" i="5"/>
  <c r="L33" i="5"/>
  <c r="K33" i="5"/>
  <c r="J33" i="5"/>
  <c r="A33" i="5"/>
  <c r="M33" i="5"/>
  <c r="H33" i="5"/>
  <c r="K22" i="5"/>
  <c r="J22" i="5"/>
  <c r="H22" i="5"/>
  <c r="M22" i="5"/>
  <c r="L22" i="5"/>
  <c r="A22" i="5"/>
  <c r="L25" i="5"/>
  <c r="K25" i="5"/>
  <c r="M25" i="5"/>
  <c r="J25" i="5"/>
  <c r="H25" i="5"/>
  <c r="A25" i="5"/>
  <c r="J16" i="5"/>
  <c r="H16" i="5"/>
  <c r="A16" i="5"/>
  <c r="A14" i="5"/>
  <c r="J14" i="5"/>
  <c r="H14" i="5"/>
  <c r="D138" i="7"/>
  <c r="R138" i="7" s="1"/>
  <c r="C197" i="6"/>
  <c r="W197" i="6" s="1"/>
  <c r="B129" i="6"/>
  <c r="B30" i="6"/>
  <c r="D191" i="7"/>
  <c r="R191" i="7" s="1"/>
  <c r="D66" i="7"/>
  <c r="R66" i="7" s="1"/>
  <c r="B146" i="6"/>
  <c r="B54" i="6"/>
  <c r="C191" i="7"/>
  <c r="B200" i="6"/>
  <c r="C175" i="6"/>
  <c r="W175" i="6" s="1"/>
  <c r="B133" i="6"/>
  <c r="L45" i="5"/>
  <c r="K45" i="5"/>
  <c r="J45" i="5"/>
  <c r="M45" i="5"/>
  <c r="H45" i="5"/>
  <c r="A45" i="5"/>
  <c r="L52" i="5"/>
  <c r="M52" i="5"/>
  <c r="K52" i="5"/>
  <c r="J52" i="5"/>
  <c r="H52" i="5"/>
  <c r="A52" i="5"/>
  <c r="J6" i="5"/>
  <c r="H6" i="5"/>
  <c r="A6" i="5"/>
  <c r="L31" i="5"/>
  <c r="K31" i="5"/>
  <c r="J31" i="5"/>
  <c r="M31" i="5"/>
  <c r="H31" i="5"/>
  <c r="A31" i="5"/>
  <c r="L51" i="5"/>
  <c r="K51" i="5"/>
  <c r="J51" i="5"/>
  <c r="H51" i="5"/>
  <c r="A51" i="5"/>
  <c r="M51" i="5"/>
  <c r="L35" i="5"/>
  <c r="K35" i="5"/>
  <c r="J35" i="5"/>
  <c r="M35" i="5"/>
  <c r="H35" i="5"/>
  <c r="A35" i="5"/>
  <c r="A28" i="5"/>
  <c r="L28" i="5"/>
  <c r="K28" i="5"/>
  <c r="J28" i="5"/>
  <c r="H28" i="5"/>
  <c r="M28" i="5"/>
  <c r="D134" i="7"/>
  <c r="R134" i="7" s="1"/>
  <c r="C31" i="7"/>
  <c r="C105" i="6"/>
  <c r="W105" i="6" s="1"/>
  <c r="C41" i="6"/>
  <c r="W41" i="6" s="1"/>
  <c r="C170" i="7"/>
  <c r="D160" i="7"/>
  <c r="R160" i="7" s="1"/>
  <c r="C109" i="6"/>
  <c r="W109" i="6" s="1"/>
  <c r="C65" i="7"/>
  <c r="C187" i="6"/>
  <c r="W187" i="6" s="1"/>
  <c r="C83" i="7"/>
  <c r="B100" i="6"/>
  <c r="B6" i="6"/>
  <c r="D152" i="7"/>
  <c r="R152" i="7" s="1"/>
  <c r="M50" i="5"/>
  <c r="L50" i="5"/>
  <c r="K50" i="5"/>
  <c r="J50" i="5"/>
  <c r="H50" i="5"/>
  <c r="A50" i="5"/>
  <c r="K62" i="5"/>
  <c r="M62" i="5"/>
  <c r="L62" i="5"/>
  <c r="J62" i="5"/>
  <c r="H62" i="5"/>
  <c r="A62" i="5"/>
  <c r="J10" i="5"/>
  <c r="H10" i="5"/>
  <c r="A10" i="5"/>
  <c r="L47" i="5"/>
  <c r="K47" i="5"/>
  <c r="J47" i="5"/>
  <c r="M47" i="5"/>
  <c r="H47" i="5"/>
  <c r="A47" i="5"/>
  <c r="L67" i="5"/>
  <c r="K67" i="5"/>
  <c r="J67" i="5"/>
  <c r="H67" i="5"/>
  <c r="A67" i="5"/>
  <c r="M67" i="5"/>
  <c r="J48" i="5"/>
  <c r="H48" i="5"/>
  <c r="A48" i="5"/>
  <c r="L48" i="5"/>
  <c r="K48" i="5"/>
  <c r="M48" i="5"/>
  <c r="L43" i="5"/>
  <c r="K43" i="5"/>
  <c r="J43" i="5"/>
  <c r="A43" i="5"/>
  <c r="H43" i="5"/>
  <c r="M43" i="5"/>
  <c r="C196" i="7"/>
  <c r="D85" i="7"/>
  <c r="R85" i="7" s="1"/>
  <c r="B126" i="6"/>
  <c r="B9" i="6"/>
  <c r="D131" i="7"/>
  <c r="R131" i="7" s="1"/>
  <c r="C190" i="6"/>
  <c r="W190" i="6" s="1"/>
  <c r="B122" i="6"/>
  <c r="C27" i="6"/>
  <c r="W27" i="6" s="1"/>
  <c r="D112" i="7"/>
  <c r="R112" i="7" s="1"/>
  <c r="C15" i="7"/>
  <c r="B80" i="6"/>
  <c r="C58" i="7"/>
  <c r="C50" i="6"/>
  <c r="W50" i="6" s="1"/>
  <c r="B94" i="6"/>
  <c r="J72" i="5"/>
  <c r="M72" i="5"/>
  <c r="L72" i="5"/>
  <c r="K72" i="5"/>
  <c r="H72" i="5"/>
  <c r="A72" i="5"/>
  <c r="L63" i="5"/>
  <c r="K63" i="5"/>
  <c r="J63" i="5"/>
  <c r="M63" i="5"/>
  <c r="H63" i="5"/>
  <c r="A63" i="5"/>
  <c r="A56" i="5"/>
  <c r="J56" i="5"/>
  <c r="M56" i="5"/>
  <c r="L56" i="5"/>
  <c r="K56" i="5"/>
  <c r="H56" i="5"/>
  <c r="D178" i="7"/>
  <c r="R178" i="7" s="1"/>
  <c r="C81" i="7"/>
  <c r="C16" i="7"/>
  <c r="C14" i="7"/>
  <c r="C123" i="7"/>
  <c r="D28" i="7"/>
  <c r="R28" i="7" s="1"/>
  <c r="C98" i="6"/>
  <c r="W98" i="6" s="1"/>
  <c r="B24" i="6"/>
  <c r="D44" i="7"/>
  <c r="R44" i="7" s="1"/>
  <c r="B77" i="6"/>
  <c r="D170" i="7"/>
  <c r="R170" i="7" s="1"/>
  <c r="C149" i="7"/>
  <c r="D183" i="7"/>
  <c r="R183" i="7" s="1"/>
  <c r="C175" i="7"/>
  <c r="C164" i="7"/>
  <c r="D199" i="7"/>
  <c r="R199" i="7" s="1"/>
  <c r="C118" i="7"/>
  <c r="D95" i="7"/>
  <c r="R95" i="7" s="1"/>
  <c r="C95" i="7"/>
  <c r="D92" i="7"/>
  <c r="R92" i="7" s="1"/>
  <c r="C110" i="7"/>
  <c r="C34" i="7"/>
  <c r="D72" i="7"/>
  <c r="R72" i="7" s="1"/>
  <c r="C111" i="7"/>
  <c r="C35" i="7"/>
  <c r="C97" i="7"/>
  <c r="C168" i="7"/>
  <c r="D14" i="7"/>
  <c r="R14" i="7" s="1"/>
  <c r="D56" i="7"/>
  <c r="R56" i="7" s="1"/>
  <c r="D39" i="7"/>
  <c r="R39" i="7" s="1"/>
  <c r="C54" i="7"/>
  <c r="C99" i="7"/>
  <c r="C138" i="7"/>
  <c r="C181" i="7"/>
  <c r="C84" i="7"/>
  <c r="C22" i="7"/>
  <c r="C50" i="7"/>
  <c r="D111" i="7"/>
  <c r="R111" i="7" s="1"/>
  <c r="D77" i="7"/>
  <c r="R77" i="7" s="1"/>
  <c r="B174" i="6"/>
  <c r="B101" i="6"/>
  <c r="D154" i="7"/>
  <c r="R154" i="7" s="1"/>
  <c r="C53" i="7"/>
  <c r="D13" i="7"/>
  <c r="R13" i="7" s="1"/>
  <c r="C44" i="7"/>
  <c r="C76" i="6"/>
  <c r="W76" i="6" s="1"/>
  <c r="C153" i="6"/>
  <c r="W153" i="6" s="1"/>
  <c r="C121" i="6"/>
  <c r="W121" i="6" s="1"/>
  <c r="C161" i="6"/>
  <c r="W161" i="6" s="1"/>
  <c r="B57" i="6"/>
  <c r="B130" i="6"/>
  <c r="C12" i="6"/>
  <c r="W12" i="6" s="1"/>
  <c r="B33" i="6"/>
  <c r="C97" i="6"/>
  <c r="W97" i="6" s="1"/>
  <c r="C23" i="7"/>
  <c r="B153" i="6"/>
  <c r="C110" i="6"/>
  <c r="W110" i="6" s="1"/>
  <c r="C46" i="6"/>
  <c r="W46" i="6" s="1"/>
  <c r="C124" i="6"/>
  <c r="W124" i="6" s="1"/>
  <c r="C120" i="6"/>
  <c r="W120" i="6" s="1"/>
  <c r="C20" i="6"/>
  <c r="W20" i="6" s="1"/>
  <c r="B109" i="6"/>
  <c r="C32" i="6"/>
  <c r="W32" i="6" s="1"/>
  <c r="B67" i="6"/>
  <c r="C135" i="6"/>
  <c r="W135" i="6" s="1"/>
  <c r="D163" i="7"/>
  <c r="R163" i="7" s="1"/>
  <c r="C142" i="7"/>
  <c r="D176" i="7"/>
  <c r="R176" i="7" s="1"/>
  <c r="D174" i="7"/>
  <c r="R174" i="7" s="1"/>
  <c r="C161" i="7"/>
  <c r="C182" i="7"/>
  <c r="C113" i="7"/>
  <c r="D171" i="7"/>
  <c r="R171" i="7" s="1"/>
  <c r="C188" i="7"/>
  <c r="D91" i="7"/>
  <c r="R91" i="7" s="1"/>
  <c r="C107" i="7"/>
  <c r="C27" i="7"/>
  <c r="D65" i="7"/>
  <c r="R65" i="7" s="1"/>
  <c r="D93" i="7"/>
  <c r="R93" i="7" s="1"/>
  <c r="C32" i="7"/>
  <c r="C96" i="7"/>
  <c r="D165" i="7"/>
  <c r="R165" i="7" s="1"/>
  <c r="D9" i="7"/>
  <c r="R9" i="7" s="1"/>
  <c r="D45" i="7"/>
  <c r="R45" i="7" s="1"/>
  <c r="D38" i="7"/>
  <c r="R38" i="7" s="1"/>
  <c r="D25" i="7"/>
  <c r="R25" i="7" s="1"/>
  <c r="C93" i="7"/>
  <c r="C132" i="7"/>
  <c r="C151" i="7"/>
  <c r="C72" i="7"/>
  <c r="D11" i="7"/>
  <c r="R11" i="7" s="1"/>
  <c r="D15" i="7"/>
  <c r="R15" i="7" s="1"/>
  <c r="C52" i="7"/>
  <c r="C190" i="7"/>
  <c r="C82" i="7"/>
  <c r="C147" i="7"/>
  <c r="D16" i="7"/>
  <c r="R16" i="7" s="1"/>
  <c r="C189" i="6"/>
  <c r="W189" i="6" s="1"/>
  <c r="D40" i="7"/>
  <c r="R40" i="7" s="1"/>
  <c r="C69" i="6"/>
  <c r="W69" i="6" s="1"/>
  <c r="B145" i="6"/>
  <c r="C104" i="6"/>
  <c r="W104" i="6" s="1"/>
  <c r="C158" i="6"/>
  <c r="W158" i="6" s="1"/>
  <c r="B50" i="6"/>
  <c r="C115" i="6"/>
  <c r="W115" i="6" s="1"/>
  <c r="B26" i="6"/>
  <c r="C93" i="6"/>
  <c r="W93" i="6" s="1"/>
  <c r="B159" i="6"/>
  <c r="B121" i="6"/>
  <c r="B104" i="6"/>
  <c r="C37" i="6"/>
  <c r="W37" i="6" s="1"/>
  <c r="C63" i="6"/>
  <c r="W63" i="6" s="1"/>
  <c r="B136" i="6"/>
  <c r="B63" i="6"/>
  <c r="C16" i="6"/>
  <c r="W16" i="6" s="1"/>
  <c r="C71" i="6"/>
  <c r="W71" i="6" s="1"/>
  <c r="C183" i="6"/>
  <c r="W183" i="6" s="1"/>
  <c r="C62" i="6"/>
  <c r="W62" i="6" s="1"/>
  <c r="B93" i="6"/>
  <c r="C51" i="7"/>
  <c r="D156" i="7"/>
  <c r="R156" i="7" s="1"/>
  <c r="D194" i="7"/>
  <c r="R194" i="7" s="1"/>
  <c r="C194" i="7"/>
  <c r="C167" i="7"/>
  <c r="C159" i="7"/>
  <c r="C178" i="7"/>
  <c r="C106" i="7"/>
  <c r="C166" i="7"/>
  <c r="C173" i="7"/>
  <c r="D83" i="7"/>
  <c r="R83" i="7" s="1"/>
  <c r="D106" i="7"/>
  <c r="R106" i="7" s="1"/>
  <c r="C20" i="7"/>
  <c r="D58" i="7"/>
  <c r="R58" i="7" s="1"/>
  <c r="D73" i="7"/>
  <c r="R73" i="7" s="1"/>
  <c r="C30" i="7"/>
  <c r="C66" i="7"/>
  <c r="C152" i="7"/>
  <c r="D140" i="7"/>
  <c r="R140" i="7" s="1"/>
  <c r="C33" i="7"/>
  <c r="D24" i="7"/>
  <c r="R24" i="7" s="1"/>
  <c r="D87" i="7"/>
  <c r="R87" i="7" s="1"/>
  <c r="C124" i="7"/>
  <c r="D123" i="7"/>
  <c r="R123" i="7" s="1"/>
  <c r="C193" i="6"/>
  <c r="W193" i="6" s="1"/>
  <c r="B182" i="6"/>
  <c r="C11" i="7"/>
  <c r="D12" i="7"/>
  <c r="R12" i="7" s="1"/>
  <c r="C199" i="6"/>
  <c r="W199" i="6" s="1"/>
  <c r="C90" i="7"/>
  <c r="D78" i="7"/>
  <c r="R78" i="7" s="1"/>
  <c r="C78" i="7"/>
  <c r="C8" i="7"/>
  <c r="B175" i="6"/>
  <c r="C21" i="7"/>
  <c r="C169" i="6"/>
  <c r="W169" i="6" s="1"/>
  <c r="B141" i="6"/>
  <c r="C9" i="7"/>
  <c r="B147" i="6"/>
  <c r="B43" i="6"/>
  <c r="B113" i="6"/>
  <c r="C196" i="6"/>
  <c r="W196" i="6" s="1"/>
  <c r="B19" i="6"/>
  <c r="B92" i="6"/>
  <c r="B125" i="6"/>
  <c r="C107" i="6"/>
  <c r="W107" i="6" s="1"/>
  <c r="C100" i="6"/>
  <c r="W100" i="6" s="1"/>
  <c r="B20" i="6"/>
  <c r="C60" i="6"/>
  <c r="W60" i="6" s="1"/>
  <c r="C122" i="6"/>
  <c r="W122" i="6" s="1"/>
  <c r="B60" i="6"/>
  <c r="C159" i="6"/>
  <c r="W159" i="6" s="1"/>
  <c r="C38" i="6"/>
  <c r="W38" i="6" s="1"/>
  <c r="B148" i="6"/>
  <c r="C53" i="6"/>
  <c r="W53" i="6" s="1"/>
  <c r="B86" i="6"/>
  <c r="B23" i="6"/>
  <c r="D149" i="7"/>
  <c r="R149" i="7" s="1"/>
  <c r="D187" i="7"/>
  <c r="R187" i="7" s="1"/>
  <c r="C192" i="7"/>
  <c r="D164" i="7"/>
  <c r="R164" i="7" s="1"/>
  <c r="D158" i="7"/>
  <c r="R158" i="7" s="1"/>
  <c r="D155" i="7"/>
  <c r="R155" i="7" s="1"/>
  <c r="C200" i="7"/>
  <c r="D151" i="7"/>
  <c r="R151" i="7" s="1"/>
  <c r="C158" i="7"/>
  <c r="D76" i="7"/>
  <c r="R76" i="7" s="1"/>
  <c r="C104" i="7"/>
  <c r="C13" i="7"/>
  <c r="D51" i="7"/>
  <c r="R51" i="7" s="1"/>
  <c r="C71" i="7"/>
  <c r="D29" i="7"/>
  <c r="R29" i="7" s="1"/>
  <c r="D63" i="7"/>
  <c r="R63" i="7" s="1"/>
  <c r="D108" i="7"/>
  <c r="R108" i="7" s="1"/>
  <c r="B197" i="6"/>
  <c r="C121" i="7"/>
  <c r="C28" i="7"/>
  <c r="B194" i="6"/>
  <c r="C79" i="7"/>
  <c r="C114" i="7"/>
  <c r="D80" i="7"/>
  <c r="R80" i="7" s="1"/>
  <c r="B188" i="6"/>
  <c r="C179" i="6"/>
  <c r="W179" i="6" s="1"/>
  <c r="C192" i="6"/>
  <c r="W192" i="6" s="1"/>
  <c r="D7" i="7"/>
  <c r="R7" i="7" s="1"/>
  <c r="C194" i="6"/>
  <c r="W194" i="6" s="1"/>
  <c r="D82" i="7"/>
  <c r="R82" i="7" s="1"/>
  <c r="D67" i="7"/>
  <c r="R67" i="7" s="1"/>
  <c r="B199" i="6"/>
  <c r="C172" i="6"/>
  <c r="W172" i="6" s="1"/>
  <c r="B172" i="6"/>
  <c r="C165" i="6"/>
  <c r="W165" i="6" s="1"/>
  <c r="C136" i="6"/>
  <c r="W136" i="6" s="1"/>
  <c r="B178" i="6"/>
  <c r="C138" i="6"/>
  <c r="W138" i="6" s="1"/>
  <c r="B36" i="6"/>
  <c r="B91" i="6"/>
  <c r="B173" i="6"/>
  <c r="B12" i="6"/>
  <c r="B88" i="6"/>
  <c r="C99" i="6"/>
  <c r="W99" i="6" s="1"/>
  <c r="B71" i="6"/>
  <c r="B64" i="6"/>
  <c r="C17" i="6"/>
  <c r="W17" i="6" s="1"/>
  <c r="C51" i="6"/>
  <c r="W51" i="6" s="1"/>
  <c r="C118" i="6"/>
  <c r="W118" i="6" s="1"/>
  <c r="C57" i="6"/>
  <c r="W57" i="6" s="1"/>
  <c r="C133" i="6"/>
  <c r="W133" i="6" s="1"/>
  <c r="C30" i="6"/>
  <c r="W30" i="6" s="1"/>
  <c r="C80" i="6"/>
  <c r="W80" i="6" s="1"/>
  <c r="C25" i="6"/>
  <c r="W25" i="6" s="1"/>
  <c r="C179" i="7"/>
  <c r="B134" i="6"/>
  <c r="C39" i="7"/>
  <c r="B44" i="6"/>
  <c r="B32" i="6"/>
  <c r="C73" i="6"/>
  <c r="W73" i="6" s="1"/>
  <c r="B115" i="6"/>
  <c r="B48" i="6"/>
  <c r="C9" i="6"/>
  <c r="W9" i="6" s="1"/>
  <c r="D190" i="7"/>
  <c r="R190" i="7" s="1"/>
  <c r="C102" i="7"/>
  <c r="D79" i="7"/>
  <c r="R79" i="7" s="1"/>
  <c r="D61" i="7"/>
  <c r="R61" i="7" s="1"/>
  <c r="D19" i="7"/>
  <c r="R19" i="7" s="1"/>
  <c r="D114" i="7"/>
  <c r="R114" i="7" s="1"/>
  <c r="C112" i="7"/>
  <c r="D54" i="7"/>
  <c r="R54" i="7" s="1"/>
  <c r="B108" i="6"/>
  <c r="D10" i="7"/>
  <c r="R10" i="7" s="1"/>
  <c r="B138" i="6"/>
  <c r="B198" i="6"/>
  <c r="C92" i="6"/>
  <c r="W92" i="6" s="1"/>
  <c r="B21" i="6"/>
  <c r="D34" i="7"/>
  <c r="R34" i="7" s="1"/>
  <c r="C102" i="6"/>
  <c r="W102" i="6" s="1"/>
  <c r="B154" i="6"/>
  <c r="C47" i="6"/>
  <c r="W47" i="6" s="1"/>
  <c r="C36" i="6"/>
  <c r="W36" i="6" s="1"/>
  <c r="B37" i="6"/>
  <c r="B16" i="6"/>
  <c r="B139" i="6"/>
  <c r="C8" i="6"/>
  <c r="W8" i="6" s="1"/>
  <c r="C156" i="7"/>
  <c r="D125" i="7"/>
  <c r="R125" i="7" s="1"/>
  <c r="D120" i="7"/>
  <c r="R120" i="7" s="1"/>
  <c r="D104" i="7"/>
  <c r="R104" i="7" s="1"/>
  <c r="C148" i="7"/>
  <c r="D116" i="7"/>
  <c r="R116" i="7" s="1"/>
  <c r="C185" i="7"/>
  <c r="D99" i="7"/>
  <c r="R99" i="7" s="1"/>
  <c r="C167" i="6"/>
  <c r="W167" i="6" s="1"/>
  <c r="B132" i="6"/>
  <c r="B105" i="6"/>
  <c r="D153" i="7"/>
  <c r="R153" i="7" s="1"/>
  <c r="C117" i="6"/>
  <c r="W117" i="6" s="1"/>
  <c r="B49" i="6"/>
  <c r="C182" i="6"/>
  <c r="W182" i="6" s="1"/>
  <c r="B56" i="6"/>
  <c r="C137" i="6"/>
  <c r="W137" i="6" s="1"/>
  <c r="B42" i="6"/>
  <c r="C184" i="7"/>
  <c r="C135" i="7"/>
  <c r="D182" i="7"/>
  <c r="R182" i="7" s="1"/>
  <c r="D129" i="7"/>
  <c r="R129" i="7" s="1"/>
  <c r="D110" i="7"/>
  <c r="R110" i="7" s="1"/>
  <c r="C101" i="7"/>
  <c r="D97" i="7"/>
  <c r="R97" i="7" s="1"/>
  <c r="C6" i="7"/>
  <c r="D89" i="7"/>
  <c r="R89" i="7" s="1"/>
  <c r="D52" i="7"/>
  <c r="R52" i="7" s="1"/>
  <c r="B177" i="6"/>
  <c r="D84" i="7"/>
  <c r="R84" i="7" s="1"/>
  <c r="D139" i="7"/>
  <c r="R139" i="7" s="1"/>
  <c r="C164" i="6"/>
  <c r="W164" i="6" s="1"/>
  <c r="C112" i="6"/>
  <c r="W112" i="6" s="1"/>
  <c r="C18" i="7"/>
  <c r="B89" i="6"/>
  <c r="C42" i="7"/>
  <c r="C64" i="6"/>
  <c r="W64" i="6" s="1"/>
  <c r="B110" i="6"/>
  <c r="C85" i="6"/>
  <c r="W85" i="6" s="1"/>
  <c r="B31" i="6"/>
  <c r="C91" i="6"/>
  <c r="W91" i="6" s="1"/>
  <c r="C49" i="6"/>
  <c r="W49" i="6" s="1"/>
  <c r="C58" i="6"/>
  <c r="W58" i="6" s="1"/>
  <c r="C23" i="6"/>
  <c r="W23" i="6" s="1"/>
  <c r="C46" i="7"/>
  <c r="B189" i="6"/>
  <c r="D21" i="7"/>
  <c r="R21" i="7" s="1"/>
  <c r="B150" i="6"/>
  <c r="C19" i="6"/>
  <c r="W19" i="6" s="1"/>
  <c r="C103" i="6"/>
  <c r="W103" i="6" s="1"/>
  <c r="D145" i="7"/>
  <c r="R145" i="7" s="1"/>
  <c r="C197" i="7"/>
  <c r="D130" i="7"/>
  <c r="R130" i="7" s="1"/>
  <c r="C69" i="7"/>
  <c r="D169" i="7"/>
  <c r="R169" i="7" s="1"/>
  <c r="D192" i="7"/>
  <c r="R192" i="7" s="1"/>
  <c r="D57" i="7"/>
  <c r="R57" i="7" s="1"/>
  <c r="D113" i="7"/>
  <c r="R113" i="7" s="1"/>
  <c r="C180" i="7"/>
  <c r="D36" i="7"/>
  <c r="R36" i="7" s="1"/>
  <c r="D50" i="7"/>
  <c r="R50" i="7" s="1"/>
  <c r="B152" i="6"/>
  <c r="D33" i="7"/>
  <c r="R33" i="7" s="1"/>
  <c r="C108" i="6"/>
  <c r="W108" i="6" s="1"/>
  <c r="B95" i="6"/>
  <c r="C129" i="6"/>
  <c r="W129" i="6" s="1"/>
  <c r="C15" i="6"/>
  <c r="W15" i="6" s="1"/>
  <c r="C127" i="6"/>
  <c r="W127" i="6" s="1"/>
  <c r="B186" i="6"/>
  <c r="C195" i="6"/>
  <c r="W195" i="6" s="1"/>
  <c r="D177" i="7"/>
  <c r="R177" i="7" s="1"/>
  <c r="D102" i="7"/>
  <c r="R102" i="7" s="1"/>
  <c r="C41" i="7"/>
  <c r="D98" i="7"/>
  <c r="R98" i="7" s="1"/>
  <c r="C67" i="7"/>
  <c r="D147" i="7"/>
  <c r="R147" i="7" s="1"/>
  <c r="C36" i="7"/>
  <c r="C139" i="7"/>
  <c r="C84" i="6"/>
  <c r="W84" i="6" s="1"/>
  <c r="B79" i="6"/>
  <c r="B66" i="6"/>
  <c r="B40" i="6"/>
  <c r="C7" i="6"/>
  <c r="W7" i="6" s="1"/>
  <c r="C180" i="6"/>
  <c r="W180" i="6" s="1"/>
  <c r="C13" i="6"/>
  <c r="W13" i="6" s="1"/>
  <c r="C45" i="6"/>
  <c r="W45" i="6" s="1"/>
  <c r="C90" i="6"/>
  <c r="W90" i="6" s="1"/>
  <c r="D184" i="7"/>
  <c r="R184" i="7" s="1"/>
  <c r="C163" i="7"/>
  <c r="D196" i="7"/>
  <c r="R196" i="7" s="1"/>
  <c r="D179" i="7"/>
  <c r="R179" i="7" s="1"/>
  <c r="C127" i="7"/>
  <c r="D109" i="7"/>
  <c r="R109" i="7" s="1"/>
  <c r="C105" i="7"/>
  <c r="C48" i="7"/>
  <c r="C140" i="7"/>
  <c r="C131" i="7"/>
  <c r="C26" i="7"/>
  <c r="D47" i="7"/>
  <c r="R47" i="7" s="1"/>
  <c r="D124" i="7"/>
  <c r="R124" i="7" s="1"/>
  <c r="C174" i="6"/>
  <c r="W174" i="6" s="1"/>
  <c r="C38" i="7"/>
  <c r="C132" i="6"/>
  <c r="W132" i="6" s="1"/>
  <c r="D32" i="7"/>
  <c r="R32" i="7" s="1"/>
  <c r="B84" i="6"/>
  <c r="C160" i="6"/>
  <c r="W160" i="6" s="1"/>
  <c r="B118" i="6"/>
  <c r="B155" i="6"/>
  <c r="C26" i="6"/>
  <c r="W26" i="6" s="1"/>
  <c r="B106" i="6"/>
  <c r="C21" i="6"/>
  <c r="W21" i="6" s="1"/>
  <c r="C101" i="6"/>
  <c r="W101" i="6" s="1"/>
  <c r="C14" i="6"/>
  <c r="W14" i="6" s="1"/>
  <c r="C12" i="7"/>
  <c r="C176" i="7"/>
  <c r="B78" i="6"/>
  <c r="D197" i="7"/>
  <c r="R197" i="7" s="1"/>
  <c r="C141" i="7"/>
  <c r="C109" i="7"/>
  <c r="D157" i="7"/>
  <c r="R157" i="7" s="1"/>
  <c r="D86" i="7"/>
  <c r="R86" i="7" s="1"/>
  <c r="C64" i="7"/>
  <c r="D188" i="7"/>
  <c r="R188" i="7" s="1"/>
  <c r="D71" i="7"/>
  <c r="R71" i="7" s="1"/>
  <c r="C116" i="7"/>
  <c r="B156" i="6"/>
  <c r="C40" i="7"/>
  <c r="C59" i="7"/>
  <c r="B112" i="6"/>
  <c r="B72" i="6"/>
  <c r="D75" i="7"/>
  <c r="R75" i="7" s="1"/>
  <c r="B73" i="6"/>
  <c r="B47" i="6"/>
  <c r="B10" i="6"/>
  <c r="D22" i="7"/>
  <c r="R22" i="7" s="1"/>
  <c r="C174" i="7"/>
  <c r="P3" i="7"/>
  <c r="F3" i="7" s="1"/>
  <c r="B3" i="7"/>
  <c r="X4" i="6" s="1"/>
  <c r="A3" i="7"/>
  <c r="E3" i="7"/>
  <c r="D26" i="7"/>
  <c r="R26" i="7" s="1"/>
  <c r="D142" i="7"/>
  <c r="R142" i="7" s="1"/>
  <c r="B15" i="6"/>
  <c r="B18" i="6"/>
  <c r="H82" i="5"/>
  <c r="M82" i="5"/>
  <c r="L82" i="5"/>
  <c r="K82" i="5"/>
  <c r="J82" i="5"/>
  <c r="A82" i="5"/>
  <c r="L79" i="5"/>
  <c r="K79" i="5"/>
  <c r="J79" i="5"/>
  <c r="A79" i="5"/>
  <c r="M79" i="5"/>
  <c r="H79" i="5"/>
  <c r="M70" i="5"/>
  <c r="K70" i="5"/>
  <c r="J70" i="5"/>
  <c r="H70" i="5"/>
  <c r="L70" i="5"/>
  <c r="A70" i="5"/>
  <c r="L83" i="5"/>
  <c r="K83" i="5"/>
  <c r="J83" i="5"/>
  <c r="M83" i="5"/>
  <c r="H83" i="5"/>
  <c r="A83" i="5"/>
  <c r="J76" i="5"/>
  <c r="H76" i="5"/>
  <c r="M76" i="5"/>
  <c r="L76" i="5"/>
  <c r="K76" i="5"/>
  <c r="A76" i="5"/>
  <c r="L71" i="5"/>
  <c r="K71" i="5"/>
  <c r="J71" i="5"/>
  <c r="A71" i="5"/>
  <c r="H71" i="5"/>
  <c r="M71" i="5"/>
  <c r="C160" i="7"/>
  <c r="D172" i="7"/>
  <c r="R172" i="7" s="1"/>
  <c r="B96" i="6"/>
  <c r="C34" i="6"/>
  <c r="W34" i="6" s="1"/>
  <c r="D195" i="7"/>
  <c r="R195" i="7" s="1"/>
  <c r="C80" i="7"/>
  <c r="B119" i="6"/>
  <c r="C6" i="6"/>
  <c r="W6" i="6" s="1"/>
  <c r="C176" i="6"/>
  <c r="W176" i="6" s="1"/>
  <c r="D5" i="6" l="1"/>
  <c r="S2" i="6"/>
  <c r="E5" i="7"/>
  <c r="H3" i="6"/>
  <c r="E5" i="6"/>
  <c r="K3" i="6"/>
  <c r="Q3" i="7"/>
  <c r="O3" i="7"/>
  <c r="G3" i="6"/>
  <c r="J3" i="7"/>
  <c r="S4" i="6"/>
  <c r="T73" i="6"/>
  <c r="F73" i="6"/>
  <c r="S73" i="6"/>
  <c r="E73" i="6"/>
  <c r="R73" i="6"/>
  <c r="D73" i="6"/>
  <c r="V73" i="6"/>
  <c r="U73" i="6"/>
  <c r="A73" i="6"/>
  <c r="X73" i="6" s="1"/>
  <c r="Q73" i="6"/>
  <c r="G73" i="6"/>
  <c r="P73" i="6"/>
  <c r="N73" i="6"/>
  <c r="M73" i="6"/>
  <c r="L73" i="6"/>
  <c r="O73" i="6"/>
  <c r="K73" i="6"/>
  <c r="J73" i="6"/>
  <c r="I73" i="6"/>
  <c r="H73" i="6"/>
  <c r="S81" i="6"/>
  <c r="E81" i="6"/>
  <c r="O81" i="6"/>
  <c r="N81" i="6"/>
  <c r="M81" i="6"/>
  <c r="K81" i="6"/>
  <c r="J81" i="6"/>
  <c r="I81" i="6"/>
  <c r="V81" i="6"/>
  <c r="T81" i="6"/>
  <c r="Q81" i="6"/>
  <c r="P81" i="6"/>
  <c r="H81" i="6"/>
  <c r="G81" i="6"/>
  <c r="F81" i="6"/>
  <c r="L81" i="6"/>
  <c r="D81" i="6"/>
  <c r="U81" i="6"/>
  <c r="R81" i="6"/>
  <c r="A81" i="6"/>
  <c r="X81" i="6" s="1"/>
  <c r="N138" i="6"/>
  <c r="M138" i="6"/>
  <c r="L138" i="6"/>
  <c r="P138" i="6"/>
  <c r="O138" i="6"/>
  <c r="K138" i="6"/>
  <c r="H138" i="6"/>
  <c r="G138" i="6"/>
  <c r="F138" i="6"/>
  <c r="S138" i="6"/>
  <c r="Q138" i="6"/>
  <c r="I138" i="6"/>
  <c r="D138" i="6"/>
  <c r="A138" i="6"/>
  <c r="X138" i="6" s="1"/>
  <c r="V138" i="6"/>
  <c r="U138" i="6"/>
  <c r="T138" i="6"/>
  <c r="R138" i="6"/>
  <c r="J138" i="6"/>
  <c r="E138" i="6"/>
  <c r="D47" i="6"/>
  <c r="F47" i="6"/>
  <c r="A47" i="6"/>
  <c r="O47" i="6"/>
  <c r="L47" i="6"/>
  <c r="K47" i="6"/>
  <c r="N47" i="6"/>
  <c r="H47" i="6"/>
  <c r="G47" i="6"/>
  <c r="E47" i="6"/>
  <c r="I47" i="6"/>
  <c r="V47" i="6"/>
  <c r="T47" i="6" s="1"/>
  <c r="E109" i="7"/>
  <c r="Q109" i="7"/>
  <c r="B109" i="7"/>
  <c r="A109" i="7"/>
  <c r="K109" i="7"/>
  <c r="J109" i="7"/>
  <c r="I109" i="7"/>
  <c r="P109" i="7"/>
  <c r="O109" i="7"/>
  <c r="G109" i="7"/>
  <c r="F109" i="7"/>
  <c r="L109" i="7"/>
  <c r="H109" i="7"/>
  <c r="M109" i="7"/>
  <c r="Q84" i="6"/>
  <c r="S84" i="6"/>
  <c r="D84" i="6"/>
  <c r="R84" i="6"/>
  <c r="P84" i="6"/>
  <c r="A84" i="6"/>
  <c r="X84" i="6" s="1"/>
  <c r="O84" i="6"/>
  <c r="N84" i="6"/>
  <c r="M84" i="6"/>
  <c r="V84" i="6"/>
  <c r="T84" i="6"/>
  <c r="L84" i="6"/>
  <c r="J84" i="6"/>
  <c r="I84" i="6"/>
  <c r="H84" i="6"/>
  <c r="K84" i="6"/>
  <c r="G84" i="6"/>
  <c r="U84" i="6"/>
  <c r="E84" i="6"/>
  <c r="F84" i="6"/>
  <c r="H36" i="7"/>
  <c r="A36" i="7"/>
  <c r="P36" i="7"/>
  <c r="O36" i="7" s="1"/>
  <c r="E36" i="7"/>
  <c r="B36" i="7"/>
  <c r="I89" i="6"/>
  <c r="S89" i="6"/>
  <c r="D89" i="6"/>
  <c r="R89" i="6"/>
  <c r="Q89" i="6"/>
  <c r="L89" i="6"/>
  <c r="K89" i="6"/>
  <c r="J89" i="6"/>
  <c r="V89" i="6"/>
  <c r="T89" i="6"/>
  <c r="P89" i="6"/>
  <c r="N89" i="6"/>
  <c r="M89" i="6"/>
  <c r="H89" i="6"/>
  <c r="O89" i="6"/>
  <c r="G89" i="6"/>
  <c r="F89" i="6"/>
  <c r="E89" i="6"/>
  <c r="U89" i="6"/>
  <c r="A89" i="6"/>
  <c r="X89" i="6" s="1"/>
  <c r="M185" i="7"/>
  <c r="L185" i="7"/>
  <c r="J185" i="7"/>
  <c r="O185" i="7"/>
  <c r="K185" i="7"/>
  <c r="E185" i="7"/>
  <c r="B185" i="7"/>
  <c r="A185" i="7"/>
  <c r="Q185" i="7"/>
  <c r="P185" i="7"/>
  <c r="H185" i="7"/>
  <c r="F185" i="7"/>
  <c r="I185" i="7"/>
  <c r="G185" i="7"/>
  <c r="E102" i="7"/>
  <c r="Q102" i="7"/>
  <c r="G102" i="7"/>
  <c r="F102" i="7"/>
  <c r="B102" i="7"/>
  <c r="I102" i="7"/>
  <c r="P102" i="7"/>
  <c r="L102" i="7"/>
  <c r="K102" i="7"/>
  <c r="J102" i="7"/>
  <c r="O102" i="7"/>
  <c r="H102" i="7"/>
  <c r="A102" i="7"/>
  <c r="M102" i="7"/>
  <c r="U178" i="6"/>
  <c r="G178" i="6"/>
  <c r="T178" i="6"/>
  <c r="F178" i="6"/>
  <c r="S178" i="6"/>
  <c r="E178" i="6"/>
  <c r="J178" i="6"/>
  <c r="I178" i="6"/>
  <c r="H178" i="6"/>
  <c r="R178" i="6"/>
  <c r="M178" i="6"/>
  <c r="L178" i="6"/>
  <c r="K178" i="6"/>
  <c r="A178" i="6"/>
  <c r="X178" i="6" s="1"/>
  <c r="P178" i="6"/>
  <c r="N178" i="6"/>
  <c r="V178" i="6"/>
  <c r="Q178" i="6"/>
  <c r="O178" i="6"/>
  <c r="D178" i="6"/>
  <c r="M114" i="7"/>
  <c r="L114" i="7"/>
  <c r="K114" i="7"/>
  <c r="B114" i="7"/>
  <c r="A114" i="7"/>
  <c r="Q114" i="7"/>
  <c r="O114" i="7"/>
  <c r="I114" i="7"/>
  <c r="H114" i="7"/>
  <c r="G114" i="7"/>
  <c r="P114" i="7"/>
  <c r="E114" i="7"/>
  <c r="J114" i="7"/>
  <c r="F114" i="7"/>
  <c r="J158" i="7"/>
  <c r="I158" i="7"/>
  <c r="H158" i="7"/>
  <c r="F158" i="7"/>
  <c r="E158" i="7"/>
  <c r="P158" i="7"/>
  <c r="O158" i="7"/>
  <c r="A158" i="7"/>
  <c r="Q158" i="7"/>
  <c r="G158" i="7"/>
  <c r="M158" i="7"/>
  <c r="L158" i="7"/>
  <c r="K158" i="7"/>
  <c r="B158" i="7"/>
  <c r="E9" i="7"/>
  <c r="H9" i="7"/>
  <c r="B9" i="7"/>
  <c r="P9" i="7"/>
  <c r="F9" i="7" s="1"/>
  <c r="A9" i="7"/>
  <c r="F173" i="7"/>
  <c r="E173" i="7"/>
  <c r="P173" i="7"/>
  <c r="B173" i="7"/>
  <c r="A173" i="7"/>
  <c r="O173" i="7"/>
  <c r="M173" i="7"/>
  <c r="L173" i="7"/>
  <c r="K173" i="7"/>
  <c r="J173" i="7"/>
  <c r="I173" i="7"/>
  <c r="H173" i="7"/>
  <c r="Q173" i="7"/>
  <c r="G173" i="7"/>
  <c r="N145" i="6"/>
  <c r="M145" i="6"/>
  <c r="L145" i="6"/>
  <c r="G145" i="6"/>
  <c r="F145" i="6"/>
  <c r="V145" i="6"/>
  <c r="E145" i="6"/>
  <c r="U145" i="6"/>
  <c r="A145" i="6"/>
  <c r="X145" i="6" s="1"/>
  <c r="T145" i="6"/>
  <c r="S145" i="6"/>
  <c r="Q145" i="6"/>
  <c r="P145" i="6"/>
  <c r="O145" i="6"/>
  <c r="K145" i="6"/>
  <c r="I145" i="6"/>
  <c r="D145" i="6"/>
  <c r="R145" i="6"/>
  <c r="J145" i="6"/>
  <c r="H145" i="6"/>
  <c r="L93" i="7"/>
  <c r="K93" i="7"/>
  <c r="B93" i="7"/>
  <c r="Q93" i="7"/>
  <c r="A93" i="7"/>
  <c r="P93" i="7"/>
  <c r="O93" i="7"/>
  <c r="M93" i="7"/>
  <c r="J93" i="7"/>
  <c r="I93" i="7"/>
  <c r="E93" i="7"/>
  <c r="H93" i="7"/>
  <c r="G93" i="7"/>
  <c r="F93" i="7"/>
  <c r="E44" i="7"/>
  <c r="H44" i="7"/>
  <c r="B44" i="7"/>
  <c r="P44" i="7"/>
  <c r="O44" i="7" s="1"/>
  <c r="A44" i="7"/>
  <c r="H54" i="7"/>
  <c r="G54" i="7"/>
  <c r="F54" i="7"/>
  <c r="J54" i="7"/>
  <c r="I54" i="7"/>
  <c r="E54" i="7"/>
  <c r="P54" i="7"/>
  <c r="M54" i="7"/>
  <c r="B54" i="7"/>
  <c r="A54" i="7"/>
  <c r="O54" i="7"/>
  <c r="K54" i="7"/>
  <c r="L54" i="7"/>
  <c r="Q54" i="7"/>
  <c r="I118" i="7"/>
  <c r="H118" i="7"/>
  <c r="G118" i="7"/>
  <c r="B118" i="7"/>
  <c r="A118" i="7"/>
  <c r="J118" i="7"/>
  <c r="F118" i="7"/>
  <c r="E118" i="7"/>
  <c r="O118" i="7"/>
  <c r="M118" i="7"/>
  <c r="Q118" i="7"/>
  <c r="P118" i="7"/>
  <c r="L118" i="7"/>
  <c r="K118" i="7"/>
  <c r="E16" i="7"/>
  <c r="A16" i="7"/>
  <c r="H16" i="7"/>
  <c r="B16" i="7"/>
  <c r="P16" i="7"/>
  <c r="G16" i="7" s="1"/>
  <c r="P122" i="6"/>
  <c r="O122" i="6"/>
  <c r="A122" i="6"/>
  <c r="X122" i="6" s="1"/>
  <c r="N122" i="6"/>
  <c r="F122" i="6"/>
  <c r="V122" i="6"/>
  <c r="E122" i="6"/>
  <c r="U122" i="6"/>
  <c r="D122" i="6"/>
  <c r="G122" i="6"/>
  <c r="T122" i="6"/>
  <c r="R122" i="6"/>
  <c r="Q122" i="6"/>
  <c r="M122" i="6"/>
  <c r="L122" i="6"/>
  <c r="S122" i="6"/>
  <c r="K122" i="6"/>
  <c r="J122" i="6"/>
  <c r="I122" i="6"/>
  <c r="H122" i="6"/>
  <c r="D30" i="6"/>
  <c r="V30" i="6"/>
  <c r="I30" i="6" s="1"/>
  <c r="L30" i="6"/>
  <c r="A30" i="6"/>
  <c r="E25" i="7"/>
  <c r="P25" i="7"/>
  <c r="Q25" i="7" s="1"/>
  <c r="B25" i="7"/>
  <c r="H25" i="7"/>
  <c r="A25" i="7"/>
  <c r="J124" i="6"/>
  <c r="I124" i="6"/>
  <c r="V124" i="6"/>
  <c r="H124" i="6"/>
  <c r="L124" i="6"/>
  <c r="K124" i="6"/>
  <c r="G124" i="6"/>
  <c r="T124" i="6"/>
  <c r="R124" i="6"/>
  <c r="P124" i="6"/>
  <c r="O124" i="6"/>
  <c r="N124" i="6"/>
  <c r="M124" i="6"/>
  <c r="S124" i="6"/>
  <c r="Q124" i="6"/>
  <c r="F124" i="6"/>
  <c r="E124" i="6"/>
  <c r="D124" i="6"/>
  <c r="U124" i="6"/>
  <c r="A124" i="6"/>
  <c r="X124" i="6" s="1"/>
  <c r="Q55" i="7"/>
  <c r="P55" i="7"/>
  <c r="B55" i="7"/>
  <c r="L55" i="7"/>
  <c r="I55" i="7"/>
  <c r="H55" i="7"/>
  <c r="G55" i="7"/>
  <c r="K55" i="7"/>
  <c r="J55" i="7"/>
  <c r="F55" i="7"/>
  <c r="E55" i="7"/>
  <c r="O55" i="7"/>
  <c r="M55" i="7"/>
  <c r="A55" i="7"/>
  <c r="O193" i="6"/>
  <c r="A193" i="6"/>
  <c r="X193" i="6" s="1"/>
  <c r="N193" i="6"/>
  <c r="J193" i="6"/>
  <c r="I193" i="6"/>
  <c r="H193" i="6"/>
  <c r="V193" i="6"/>
  <c r="T193" i="6"/>
  <c r="S193" i="6"/>
  <c r="R193" i="6"/>
  <c r="U193" i="6"/>
  <c r="K193" i="6"/>
  <c r="G193" i="6"/>
  <c r="F193" i="6"/>
  <c r="D193" i="6"/>
  <c r="Q193" i="6"/>
  <c r="P193" i="6"/>
  <c r="M193" i="6"/>
  <c r="L193" i="6"/>
  <c r="E193" i="6"/>
  <c r="L189" i="7"/>
  <c r="K189" i="7"/>
  <c r="J189" i="7"/>
  <c r="H189" i="7"/>
  <c r="Q189" i="7"/>
  <c r="P189" i="7"/>
  <c r="A189" i="7"/>
  <c r="O189" i="7"/>
  <c r="M189" i="7"/>
  <c r="I189" i="7"/>
  <c r="G189" i="7"/>
  <c r="B189" i="7"/>
  <c r="F189" i="7"/>
  <c r="E189" i="7"/>
  <c r="X3" i="6"/>
  <c r="M4" i="7"/>
  <c r="I4" i="7" s="1"/>
  <c r="R4" i="6" s="1"/>
  <c r="L4" i="7"/>
  <c r="V45" i="6"/>
  <c r="G45" i="6" s="1"/>
  <c r="M45" i="6"/>
  <c r="L45" i="6"/>
  <c r="D45" i="6"/>
  <c r="A45" i="6"/>
  <c r="Q190" i="6"/>
  <c r="P190" i="6"/>
  <c r="R190" i="6"/>
  <c r="O190" i="6"/>
  <c r="N190" i="6"/>
  <c r="K190" i="6"/>
  <c r="I190" i="6"/>
  <c r="H190" i="6"/>
  <c r="G190" i="6"/>
  <c r="J190" i="6"/>
  <c r="E190" i="6"/>
  <c r="V190" i="6"/>
  <c r="U190" i="6"/>
  <c r="T190" i="6"/>
  <c r="S190" i="6"/>
  <c r="M190" i="6"/>
  <c r="F190" i="6"/>
  <c r="D190" i="6"/>
  <c r="A190" i="6"/>
  <c r="X190" i="6" s="1"/>
  <c r="L190" i="6"/>
  <c r="G5" i="7"/>
  <c r="V70" i="6"/>
  <c r="U70" i="6"/>
  <c r="G70" i="6"/>
  <c r="T70" i="6"/>
  <c r="F70" i="6"/>
  <c r="D70" i="6"/>
  <c r="S70" i="6"/>
  <c r="R70" i="6"/>
  <c r="J70" i="6"/>
  <c r="H70" i="6"/>
  <c r="A70" i="6"/>
  <c r="X70" i="6" s="1"/>
  <c r="Q70" i="6"/>
  <c r="P70" i="6"/>
  <c r="O70" i="6"/>
  <c r="M70" i="6"/>
  <c r="L70" i="6"/>
  <c r="K70" i="6"/>
  <c r="I70" i="6"/>
  <c r="E70" i="6"/>
  <c r="N70" i="6"/>
  <c r="M169" i="6"/>
  <c r="L169" i="6"/>
  <c r="K169" i="6"/>
  <c r="J169" i="6"/>
  <c r="I169" i="6"/>
  <c r="H169" i="6"/>
  <c r="O169" i="6"/>
  <c r="G169" i="6"/>
  <c r="V169" i="6"/>
  <c r="U169" i="6"/>
  <c r="A169" i="6"/>
  <c r="X169" i="6" s="1"/>
  <c r="T169" i="6"/>
  <c r="N169" i="6"/>
  <c r="E169" i="6"/>
  <c r="D169" i="6"/>
  <c r="S169" i="6"/>
  <c r="Q169" i="6"/>
  <c r="P169" i="6"/>
  <c r="F169" i="6"/>
  <c r="R169" i="6"/>
  <c r="J59" i="6"/>
  <c r="I59" i="6"/>
  <c r="V59" i="6"/>
  <c r="H59" i="6"/>
  <c r="S59" i="6"/>
  <c r="Q59" i="6"/>
  <c r="O59" i="6"/>
  <c r="N59" i="6"/>
  <c r="L59" i="6"/>
  <c r="K59" i="6"/>
  <c r="G59" i="6"/>
  <c r="M59" i="6"/>
  <c r="U59" i="6"/>
  <c r="A59" i="6"/>
  <c r="X59" i="6" s="1"/>
  <c r="T59" i="6"/>
  <c r="R59" i="6"/>
  <c r="P59" i="6"/>
  <c r="E59" i="6"/>
  <c r="F59" i="6"/>
  <c r="D59" i="6"/>
  <c r="T5" i="6"/>
  <c r="V17" i="6"/>
  <c r="M17" i="6" s="1"/>
  <c r="A17" i="6"/>
  <c r="L17" i="6"/>
  <c r="D17" i="6"/>
  <c r="M183" i="6"/>
  <c r="L183" i="6"/>
  <c r="K183" i="6"/>
  <c r="Q183" i="6"/>
  <c r="O183" i="6"/>
  <c r="N183" i="6"/>
  <c r="J183" i="6"/>
  <c r="U183" i="6"/>
  <c r="I183" i="6"/>
  <c r="H183" i="6"/>
  <c r="G183" i="6"/>
  <c r="A183" i="6"/>
  <c r="X183" i="6" s="1"/>
  <c r="D183" i="6"/>
  <c r="V183" i="6"/>
  <c r="T183" i="6"/>
  <c r="S183" i="6"/>
  <c r="R183" i="6"/>
  <c r="P183" i="6"/>
  <c r="F183" i="6"/>
  <c r="E183" i="6"/>
  <c r="H162" i="7"/>
  <c r="G162" i="7"/>
  <c r="F162" i="7"/>
  <c r="B162" i="7"/>
  <c r="O162" i="7"/>
  <c r="L162" i="7"/>
  <c r="K162" i="7"/>
  <c r="J162" i="7"/>
  <c r="P162" i="7"/>
  <c r="M162" i="7"/>
  <c r="Q162" i="7"/>
  <c r="I162" i="7"/>
  <c r="E162" i="7"/>
  <c r="A162" i="7"/>
  <c r="U171" i="6"/>
  <c r="G171" i="6"/>
  <c r="T171" i="6"/>
  <c r="F171" i="6"/>
  <c r="S171" i="6"/>
  <c r="E171" i="6"/>
  <c r="P171" i="6"/>
  <c r="O171" i="6"/>
  <c r="N171" i="6"/>
  <c r="J171" i="6"/>
  <c r="H171" i="6"/>
  <c r="V171" i="6"/>
  <c r="R171" i="6"/>
  <c r="A171" i="6"/>
  <c r="X171" i="6" s="1"/>
  <c r="Q171" i="6"/>
  <c r="L171" i="6"/>
  <c r="K171" i="6"/>
  <c r="I171" i="6"/>
  <c r="D171" i="6"/>
  <c r="M171" i="6"/>
  <c r="T150" i="6"/>
  <c r="U150" i="6"/>
  <c r="F150" i="6"/>
  <c r="S150" i="6"/>
  <c r="E150" i="6"/>
  <c r="R150" i="6"/>
  <c r="D150" i="6"/>
  <c r="L150" i="6"/>
  <c r="K150" i="6"/>
  <c r="J150" i="6"/>
  <c r="V150" i="6"/>
  <c r="P150" i="6"/>
  <c r="O150" i="6"/>
  <c r="N150" i="6"/>
  <c r="G150" i="6"/>
  <c r="M150" i="6"/>
  <c r="H150" i="6"/>
  <c r="A150" i="6"/>
  <c r="X150" i="6" s="1"/>
  <c r="Q150" i="6"/>
  <c r="I150" i="6"/>
  <c r="Q113" i="7"/>
  <c r="P113" i="7"/>
  <c r="B113" i="7"/>
  <c r="O113" i="7"/>
  <c r="A113" i="7"/>
  <c r="J113" i="7"/>
  <c r="G113" i="7"/>
  <c r="F113" i="7"/>
  <c r="E113" i="7"/>
  <c r="I113" i="7"/>
  <c r="H113" i="7"/>
  <c r="K113" i="7"/>
  <c r="M113" i="7"/>
  <c r="L113" i="7"/>
  <c r="L81" i="7"/>
  <c r="K81" i="7"/>
  <c r="J81" i="7"/>
  <c r="P81" i="7"/>
  <c r="M81" i="7"/>
  <c r="I81" i="7"/>
  <c r="H81" i="7"/>
  <c r="E81" i="7"/>
  <c r="B81" i="7"/>
  <c r="Q81" i="7"/>
  <c r="O81" i="7"/>
  <c r="F81" i="7"/>
  <c r="A81" i="7"/>
  <c r="G81" i="7"/>
  <c r="Q170" i="7"/>
  <c r="P170" i="7"/>
  <c r="B170" i="7"/>
  <c r="O170" i="7"/>
  <c r="G170" i="7"/>
  <c r="F170" i="7"/>
  <c r="A170" i="7"/>
  <c r="L170" i="7"/>
  <c r="E170" i="7"/>
  <c r="M170" i="7"/>
  <c r="K170" i="7"/>
  <c r="H170" i="7"/>
  <c r="J170" i="7"/>
  <c r="I170" i="7"/>
  <c r="Q163" i="7"/>
  <c r="P163" i="7"/>
  <c r="B163" i="7"/>
  <c r="F163" i="7"/>
  <c r="E163" i="7"/>
  <c r="A163" i="7"/>
  <c r="M163" i="7"/>
  <c r="L163" i="7"/>
  <c r="K163" i="7"/>
  <c r="I163" i="7"/>
  <c r="H163" i="7"/>
  <c r="O163" i="7"/>
  <c r="J163" i="7"/>
  <c r="G163" i="7"/>
  <c r="Q184" i="7"/>
  <c r="P184" i="7"/>
  <c r="B184" i="7"/>
  <c r="M184" i="7"/>
  <c r="L184" i="7"/>
  <c r="K184" i="7"/>
  <c r="J184" i="7"/>
  <c r="I184" i="7"/>
  <c r="H184" i="7"/>
  <c r="G184" i="7"/>
  <c r="F184" i="7"/>
  <c r="E184" i="7"/>
  <c r="A184" i="7"/>
  <c r="O184" i="7"/>
  <c r="J200" i="7"/>
  <c r="I200" i="7"/>
  <c r="H200" i="7"/>
  <c r="F200" i="7"/>
  <c r="K200" i="7"/>
  <c r="G200" i="7"/>
  <c r="E200" i="7"/>
  <c r="Q200" i="7"/>
  <c r="O200" i="7"/>
  <c r="M200" i="7"/>
  <c r="L200" i="7"/>
  <c r="B200" i="7"/>
  <c r="P200" i="7"/>
  <c r="A200" i="7"/>
  <c r="T136" i="6"/>
  <c r="F136" i="6"/>
  <c r="S136" i="6"/>
  <c r="E136" i="6"/>
  <c r="R136" i="6"/>
  <c r="D136" i="6"/>
  <c r="J136" i="6"/>
  <c r="I136" i="6"/>
  <c r="H136" i="6"/>
  <c r="M136" i="6"/>
  <c r="L136" i="6"/>
  <c r="K136" i="6"/>
  <c r="A136" i="6"/>
  <c r="X136" i="6" s="1"/>
  <c r="V136" i="6"/>
  <c r="U136" i="6"/>
  <c r="Q136" i="6"/>
  <c r="P136" i="6"/>
  <c r="O136" i="6"/>
  <c r="N136" i="6"/>
  <c r="G136" i="6"/>
  <c r="L53" i="7"/>
  <c r="K53" i="7"/>
  <c r="J53" i="7"/>
  <c r="H53" i="7"/>
  <c r="G53" i="7"/>
  <c r="F53" i="7"/>
  <c r="I53" i="7"/>
  <c r="E53" i="7"/>
  <c r="A53" i="7"/>
  <c r="M53" i="7"/>
  <c r="Q53" i="7"/>
  <c r="P53" i="7"/>
  <c r="B53" i="7"/>
  <c r="O53" i="7"/>
  <c r="P146" i="7"/>
  <c r="B146" i="7"/>
  <c r="O146" i="7"/>
  <c r="A146" i="7"/>
  <c r="M146" i="7"/>
  <c r="L146" i="7"/>
  <c r="K146" i="7"/>
  <c r="Q146" i="7"/>
  <c r="J146" i="7"/>
  <c r="I146" i="7"/>
  <c r="H146" i="7"/>
  <c r="G146" i="7"/>
  <c r="F146" i="7"/>
  <c r="E146" i="7"/>
  <c r="J137" i="7"/>
  <c r="I137" i="7"/>
  <c r="H137" i="7"/>
  <c r="A137" i="7"/>
  <c r="Q137" i="7"/>
  <c r="P137" i="7"/>
  <c r="K137" i="7"/>
  <c r="G137" i="7"/>
  <c r="E137" i="7"/>
  <c r="O137" i="7"/>
  <c r="M137" i="7"/>
  <c r="F137" i="7"/>
  <c r="B137" i="7"/>
  <c r="L137" i="7"/>
  <c r="N65" i="6"/>
  <c r="K65" i="6"/>
  <c r="J65" i="6"/>
  <c r="I65" i="6"/>
  <c r="E65" i="6"/>
  <c r="U65" i="6"/>
  <c r="S65" i="6"/>
  <c r="A65" i="6"/>
  <c r="X65" i="6" s="1"/>
  <c r="R65" i="6"/>
  <c r="P65" i="6"/>
  <c r="O65" i="6"/>
  <c r="M65" i="6"/>
  <c r="Q65" i="6"/>
  <c r="V65" i="6"/>
  <c r="T65" i="6"/>
  <c r="L65" i="6"/>
  <c r="G65" i="6"/>
  <c r="F65" i="6"/>
  <c r="D65" i="6"/>
  <c r="H65" i="6"/>
  <c r="J85" i="7"/>
  <c r="I85" i="7"/>
  <c r="H85" i="7"/>
  <c r="K85" i="7"/>
  <c r="G85" i="7"/>
  <c r="F85" i="7"/>
  <c r="B85" i="7"/>
  <c r="A85" i="7"/>
  <c r="Q85" i="7"/>
  <c r="P85" i="7"/>
  <c r="O85" i="7"/>
  <c r="M85" i="7"/>
  <c r="L85" i="7"/>
  <c r="E85" i="7"/>
  <c r="V41" i="6"/>
  <c r="O41" i="6" s="1"/>
  <c r="A41" i="6"/>
  <c r="L41" i="6"/>
  <c r="D41" i="6"/>
  <c r="U5" i="6"/>
  <c r="L133" i="7"/>
  <c r="J133" i="7"/>
  <c r="F133" i="7"/>
  <c r="E133" i="7"/>
  <c r="Q133" i="7"/>
  <c r="P133" i="7"/>
  <c r="M133" i="7"/>
  <c r="K133" i="7"/>
  <c r="I133" i="7"/>
  <c r="G133" i="7"/>
  <c r="B133" i="7"/>
  <c r="A133" i="7"/>
  <c r="O133" i="7"/>
  <c r="H133" i="7"/>
  <c r="H75" i="7"/>
  <c r="G75" i="7"/>
  <c r="F75" i="7"/>
  <c r="A75" i="7"/>
  <c r="O75" i="7"/>
  <c r="M75" i="7"/>
  <c r="Q75" i="7"/>
  <c r="K75" i="7"/>
  <c r="J75" i="7"/>
  <c r="I75" i="7"/>
  <c r="E75" i="7"/>
  <c r="P75" i="7"/>
  <c r="B75" i="7"/>
  <c r="L75" i="7"/>
  <c r="Q135" i="7"/>
  <c r="P135" i="7"/>
  <c r="B135" i="7"/>
  <c r="A135" i="7"/>
  <c r="E135" i="7"/>
  <c r="O135" i="7"/>
  <c r="M135" i="7"/>
  <c r="L135" i="7"/>
  <c r="J135" i="7"/>
  <c r="H135" i="7"/>
  <c r="G135" i="7"/>
  <c r="F135" i="7"/>
  <c r="K135" i="7"/>
  <c r="I135" i="7"/>
  <c r="F166" i="7"/>
  <c r="E166" i="7"/>
  <c r="B166" i="7"/>
  <c r="A166" i="7"/>
  <c r="Q166" i="7"/>
  <c r="K166" i="7"/>
  <c r="J166" i="7"/>
  <c r="H166" i="7"/>
  <c r="G166" i="7"/>
  <c r="L166" i="7"/>
  <c r="I166" i="7"/>
  <c r="M166" i="7"/>
  <c r="P166" i="7"/>
  <c r="O166" i="7"/>
  <c r="P129" i="6"/>
  <c r="O129" i="6"/>
  <c r="A129" i="6"/>
  <c r="X129" i="6" s="1"/>
  <c r="N129" i="6"/>
  <c r="Q129" i="6"/>
  <c r="M129" i="6"/>
  <c r="L129" i="6"/>
  <c r="T129" i="6"/>
  <c r="R129" i="6"/>
  <c r="J129" i="6"/>
  <c r="H129" i="6"/>
  <c r="G129" i="6"/>
  <c r="F129" i="6"/>
  <c r="E129" i="6"/>
  <c r="V129" i="6"/>
  <c r="U129" i="6"/>
  <c r="I129" i="6"/>
  <c r="D129" i="6"/>
  <c r="S129" i="6"/>
  <c r="K129" i="6"/>
  <c r="M143" i="7"/>
  <c r="L143" i="7"/>
  <c r="P143" i="7"/>
  <c r="O143" i="7"/>
  <c r="H143" i="7"/>
  <c r="G143" i="7"/>
  <c r="E143" i="7"/>
  <c r="B143" i="7"/>
  <c r="A143" i="7"/>
  <c r="Q143" i="7"/>
  <c r="K143" i="7"/>
  <c r="J143" i="7"/>
  <c r="F143" i="7"/>
  <c r="I143" i="7"/>
  <c r="O24" i="7"/>
  <c r="A24" i="7"/>
  <c r="J24" i="7"/>
  <c r="K24" i="7" s="1"/>
  <c r="H24" i="7"/>
  <c r="B24" i="7"/>
  <c r="E24" i="7"/>
  <c r="P24" i="7"/>
  <c r="Q24" i="7" s="1"/>
  <c r="M24" i="7" s="1"/>
  <c r="G24" i="7"/>
  <c r="H134" i="7"/>
  <c r="F134" i="7"/>
  <c r="B134" i="7"/>
  <c r="Q134" i="7"/>
  <c r="O134" i="7"/>
  <c r="M134" i="7"/>
  <c r="I134" i="7"/>
  <c r="G134" i="7"/>
  <c r="E134" i="7"/>
  <c r="P134" i="7"/>
  <c r="K134" i="7"/>
  <c r="J134" i="7"/>
  <c r="A134" i="7"/>
  <c r="L134" i="7"/>
  <c r="L67" i="7"/>
  <c r="K67" i="7"/>
  <c r="J67" i="7"/>
  <c r="E67" i="7"/>
  <c r="B67" i="7"/>
  <c r="A67" i="7"/>
  <c r="Q67" i="7"/>
  <c r="M67" i="7"/>
  <c r="I67" i="7"/>
  <c r="P67" i="7"/>
  <c r="G67" i="7"/>
  <c r="F67" i="7"/>
  <c r="H67" i="7"/>
  <c r="O67" i="7"/>
  <c r="H148" i="7"/>
  <c r="G148" i="7"/>
  <c r="F148" i="7"/>
  <c r="M148" i="7"/>
  <c r="L148" i="7"/>
  <c r="K148" i="7"/>
  <c r="A148" i="7"/>
  <c r="Q148" i="7"/>
  <c r="P148" i="7"/>
  <c r="B148" i="7"/>
  <c r="I148" i="7"/>
  <c r="O148" i="7"/>
  <c r="J148" i="7"/>
  <c r="E148" i="7"/>
  <c r="L21" i="6"/>
  <c r="V21" i="6"/>
  <c r="N21" i="6" s="1"/>
  <c r="T21" i="6"/>
  <c r="A21" i="6"/>
  <c r="D21" i="6"/>
  <c r="T194" i="6"/>
  <c r="S194" i="6"/>
  <c r="E194" i="6"/>
  <c r="R194" i="6"/>
  <c r="D194" i="6"/>
  <c r="U194" i="6"/>
  <c r="Q194" i="6"/>
  <c r="A194" i="6"/>
  <c r="X194" i="6" s="1"/>
  <c r="P194" i="6"/>
  <c r="O194" i="6"/>
  <c r="N194" i="6"/>
  <c r="M194" i="6"/>
  <c r="L194" i="6"/>
  <c r="K194" i="6"/>
  <c r="J194" i="6"/>
  <c r="V194" i="6"/>
  <c r="I194" i="6"/>
  <c r="G194" i="6"/>
  <c r="H194" i="6"/>
  <c r="F194" i="6"/>
  <c r="Q106" i="7"/>
  <c r="P106" i="7"/>
  <c r="B106" i="7"/>
  <c r="O106" i="7"/>
  <c r="A106" i="7"/>
  <c r="E106" i="7"/>
  <c r="L106" i="7"/>
  <c r="K106" i="7"/>
  <c r="J106" i="7"/>
  <c r="I106" i="7"/>
  <c r="G106" i="7"/>
  <c r="F106" i="7"/>
  <c r="M106" i="7"/>
  <c r="H106" i="7"/>
  <c r="L182" i="7"/>
  <c r="K182" i="7"/>
  <c r="J182" i="7"/>
  <c r="H182" i="7"/>
  <c r="M182" i="7"/>
  <c r="I182" i="7"/>
  <c r="G182" i="7"/>
  <c r="A182" i="7"/>
  <c r="F182" i="7"/>
  <c r="E182" i="7"/>
  <c r="P182" i="7"/>
  <c r="O182" i="7"/>
  <c r="B182" i="7"/>
  <c r="Q182" i="7"/>
  <c r="M164" i="7"/>
  <c r="L164" i="7"/>
  <c r="E164" i="7"/>
  <c r="B164" i="7"/>
  <c r="A164" i="7"/>
  <c r="Q164" i="7"/>
  <c r="P164" i="7"/>
  <c r="J164" i="7"/>
  <c r="I164" i="7"/>
  <c r="H164" i="7"/>
  <c r="G164" i="7"/>
  <c r="F164" i="7"/>
  <c r="O164" i="7"/>
  <c r="K164" i="7"/>
  <c r="P72" i="6"/>
  <c r="O72" i="6"/>
  <c r="A72" i="6"/>
  <c r="X72" i="6" s="1"/>
  <c r="N72" i="6"/>
  <c r="I72" i="6"/>
  <c r="H72" i="6"/>
  <c r="G72" i="6"/>
  <c r="E72" i="6"/>
  <c r="U72" i="6"/>
  <c r="T72" i="6"/>
  <c r="R72" i="6"/>
  <c r="Q72" i="6"/>
  <c r="M72" i="6"/>
  <c r="S72" i="6"/>
  <c r="L72" i="6"/>
  <c r="V72" i="6"/>
  <c r="K72" i="6"/>
  <c r="F72" i="6"/>
  <c r="J72" i="6"/>
  <c r="D72" i="6"/>
  <c r="U78" i="6"/>
  <c r="L78" i="6"/>
  <c r="K78" i="6"/>
  <c r="J78" i="6"/>
  <c r="G78" i="6"/>
  <c r="F78" i="6"/>
  <c r="E78" i="6"/>
  <c r="S78" i="6"/>
  <c r="Q78" i="6"/>
  <c r="O78" i="6"/>
  <c r="N78" i="6"/>
  <c r="I78" i="6"/>
  <c r="H78" i="6"/>
  <c r="D78" i="6"/>
  <c r="M78" i="6"/>
  <c r="V78" i="6"/>
  <c r="A78" i="6"/>
  <c r="X78" i="6" s="1"/>
  <c r="R78" i="6"/>
  <c r="T78" i="6"/>
  <c r="P78" i="6"/>
  <c r="P38" i="7"/>
  <c r="F38" i="7" s="1"/>
  <c r="B38" i="7"/>
  <c r="A38" i="7"/>
  <c r="H38" i="7"/>
  <c r="E38" i="7"/>
  <c r="M189" i="6"/>
  <c r="I189" i="6"/>
  <c r="H189" i="6"/>
  <c r="V189" i="6"/>
  <c r="G189" i="6"/>
  <c r="P189" i="6"/>
  <c r="N189" i="6"/>
  <c r="L189" i="6"/>
  <c r="K189" i="6"/>
  <c r="D189" i="6"/>
  <c r="S189" i="6"/>
  <c r="R189" i="6"/>
  <c r="Q189" i="6"/>
  <c r="F189" i="6"/>
  <c r="A189" i="6"/>
  <c r="X189" i="6" s="1"/>
  <c r="U189" i="6"/>
  <c r="O189" i="6"/>
  <c r="E189" i="6"/>
  <c r="T189" i="6"/>
  <c r="J189" i="6"/>
  <c r="L42" i="6"/>
  <c r="A42" i="6"/>
  <c r="D42" i="6"/>
  <c r="V42" i="6"/>
  <c r="M42" i="6" s="1"/>
  <c r="V48" i="6"/>
  <c r="H48" i="6"/>
  <c r="U48" i="6"/>
  <c r="G48" i="6"/>
  <c r="T48" i="6"/>
  <c r="F48" i="6"/>
  <c r="P48" i="6"/>
  <c r="N48" i="6"/>
  <c r="L48" i="6"/>
  <c r="K48" i="6"/>
  <c r="I48" i="6"/>
  <c r="E48" i="6"/>
  <c r="D48" i="6"/>
  <c r="J48" i="6"/>
  <c r="A48" i="6"/>
  <c r="X48" i="6" s="1"/>
  <c r="S48" i="6"/>
  <c r="R48" i="6"/>
  <c r="Q48" i="6"/>
  <c r="O48" i="6"/>
  <c r="M48" i="6"/>
  <c r="K172" i="6"/>
  <c r="J172" i="6"/>
  <c r="I172" i="6"/>
  <c r="L172" i="6"/>
  <c r="H172" i="6"/>
  <c r="G172" i="6"/>
  <c r="F172" i="6"/>
  <c r="D172" i="6"/>
  <c r="S172" i="6"/>
  <c r="R172" i="6"/>
  <c r="Q172" i="6"/>
  <c r="M172" i="6"/>
  <c r="A172" i="6"/>
  <c r="X172" i="6" s="1"/>
  <c r="O172" i="6"/>
  <c r="E172" i="6"/>
  <c r="U172" i="6"/>
  <c r="P172" i="6"/>
  <c r="N172" i="6"/>
  <c r="T172" i="6"/>
  <c r="V172" i="6"/>
  <c r="E28" i="7"/>
  <c r="H28" i="7"/>
  <c r="P28" i="7"/>
  <c r="Q28" i="7" s="1"/>
  <c r="B28" i="7"/>
  <c r="A28" i="7"/>
  <c r="P21" i="7"/>
  <c r="O21" i="7" s="1"/>
  <c r="A21" i="7"/>
  <c r="B21" i="7"/>
  <c r="Q21" i="7"/>
  <c r="L21" i="7" s="1"/>
  <c r="H21" i="7"/>
  <c r="E21" i="7"/>
  <c r="M178" i="7"/>
  <c r="L178" i="7"/>
  <c r="J178" i="7"/>
  <c r="G178" i="7"/>
  <c r="F178" i="7"/>
  <c r="E178" i="7"/>
  <c r="K178" i="7"/>
  <c r="A178" i="7"/>
  <c r="Q178" i="7"/>
  <c r="O178" i="7"/>
  <c r="P178" i="7"/>
  <c r="I178" i="7"/>
  <c r="H178" i="7"/>
  <c r="B178" i="7"/>
  <c r="L161" i="7"/>
  <c r="K161" i="7"/>
  <c r="J161" i="7"/>
  <c r="E161" i="7"/>
  <c r="M161" i="7"/>
  <c r="I161" i="7"/>
  <c r="G161" i="7"/>
  <c r="F161" i="7"/>
  <c r="B161" i="7"/>
  <c r="Q161" i="7"/>
  <c r="O161" i="7"/>
  <c r="P161" i="7"/>
  <c r="H161" i="7"/>
  <c r="A161" i="7"/>
  <c r="R153" i="6"/>
  <c r="D153" i="6"/>
  <c r="I153" i="6"/>
  <c r="H153" i="6"/>
  <c r="V153" i="6"/>
  <c r="G153" i="6"/>
  <c r="P153" i="6"/>
  <c r="O153" i="6"/>
  <c r="N153" i="6"/>
  <c r="U153" i="6"/>
  <c r="S153" i="6"/>
  <c r="Q153" i="6"/>
  <c r="M153" i="6"/>
  <c r="A153" i="6"/>
  <c r="X153" i="6" s="1"/>
  <c r="T153" i="6"/>
  <c r="L153" i="6"/>
  <c r="J153" i="6"/>
  <c r="E153" i="6"/>
  <c r="K153" i="6"/>
  <c r="F153" i="6"/>
  <c r="L175" i="7"/>
  <c r="K175" i="7"/>
  <c r="J175" i="7"/>
  <c r="H175" i="7"/>
  <c r="B175" i="7"/>
  <c r="M175" i="7"/>
  <c r="I175" i="7"/>
  <c r="F175" i="7"/>
  <c r="E175" i="7"/>
  <c r="A175" i="7"/>
  <c r="Q175" i="7"/>
  <c r="P175" i="7"/>
  <c r="O175" i="7"/>
  <c r="G175" i="7"/>
  <c r="D9" i="6"/>
  <c r="V9" i="6"/>
  <c r="N9" i="6" s="1"/>
  <c r="L9" i="6"/>
  <c r="A9" i="6"/>
  <c r="R160" i="6"/>
  <c r="D160" i="6"/>
  <c r="V160" i="6"/>
  <c r="G160" i="6"/>
  <c r="U160" i="6"/>
  <c r="F160" i="6"/>
  <c r="T160" i="6"/>
  <c r="E160" i="6"/>
  <c r="A160" i="6"/>
  <c r="X160" i="6" s="1"/>
  <c r="S160" i="6"/>
  <c r="Q160" i="6"/>
  <c r="P160" i="6"/>
  <c r="O160" i="6"/>
  <c r="I160" i="6"/>
  <c r="N160" i="6"/>
  <c r="M160" i="6"/>
  <c r="L160" i="6"/>
  <c r="K160" i="6"/>
  <c r="J160" i="6"/>
  <c r="H160" i="6"/>
  <c r="H169" i="7"/>
  <c r="G169" i="7"/>
  <c r="F169" i="7"/>
  <c r="A169" i="7"/>
  <c r="Q169" i="7"/>
  <c r="P169" i="7"/>
  <c r="B169" i="7"/>
  <c r="O169" i="7"/>
  <c r="E169" i="7"/>
  <c r="M169" i="7"/>
  <c r="L169" i="7"/>
  <c r="K169" i="7"/>
  <c r="J169" i="7"/>
  <c r="I169" i="7"/>
  <c r="E119" i="7"/>
  <c r="Q119" i="7"/>
  <c r="B119" i="7"/>
  <c r="A119" i="7"/>
  <c r="L119" i="7"/>
  <c r="K119" i="7"/>
  <c r="J119" i="7"/>
  <c r="F119" i="7"/>
  <c r="P119" i="7"/>
  <c r="O119" i="7"/>
  <c r="G119" i="7"/>
  <c r="M119" i="7"/>
  <c r="I119" i="7"/>
  <c r="H119" i="7"/>
  <c r="Q88" i="7"/>
  <c r="L88" i="7"/>
  <c r="K88" i="7"/>
  <c r="J88" i="7"/>
  <c r="M88" i="7"/>
  <c r="G88" i="7"/>
  <c r="F88" i="7"/>
  <c r="E88" i="7"/>
  <c r="I88" i="7"/>
  <c r="H88" i="7"/>
  <c r="P88" i="7"/>
  <c r="O88" i="7"/>
  <c r="B88" i="7"/>
  <c r="A88" i="7"/>
  <c r="E3" i="6"/>
  <c r="U3" i="6"/>
  <c r="H47" i="7"/>
  <c r="G47" i="7"/>
  <c r="F47" i="7"/>
  <c r="K47" i="7"/>
  <c r="Q47" i="7"/>
  <c r="L47" i="7" s="1"/>
  <c r="B47" i="7"/>
  <c r="A47" i="7"/>
  <c r="P47" i="7"/>
  <c r="O47" i="7"/>
  <c r="J47" i="7"/>
  <c r="I47" i="7" s="1"/>
  <c r="E47" i="7"/>
  <c r="Q69" i="6"/>
  <c r="P69" i="6"/>
  <c r="L69" i="6"/>
  <c r="K69" i="6"/>
  <c r="J69" i="6"/>
  <c r="M69" i="6"/>
  <c r="H69" i="6"/>
  <c r="F69" i="6"/>
  <c r="E69" i="6"/>
  <c r="V69" i="6"/>
  <c r="A69" i="6"/>
  <c r="X69" i="6" s="1"/>
  <c r="U69" i="6"/>
  <c r="T69" i="6"/>
  <c r="D69" i="6"/>
  <c r="S69" i="6"/>
  <c r="R69" i="6"/>
  <c r="O69" i="6"/>
  <c r="N69" i="6"/>
  <c r="G69" i="6"/>
  <c r="I69" i="6"/>
  <c r="A10" i="7"/>
  <c r="B10" i="7"/>
  <c r="P10" i="7"/>
  <c r="G10" i="7" s="1"/>
  <c r="H10" i="7"/>
  <c r="E10" i="7"/>
  <c r="M136" i="7"/>
  <c r="L136" i="7"/>
  <c r="B136" i="7"/>
  <c r="Q136" i="7"/>
  <c r="A136" i="7"/>
  <c r="G136" i="7"/>
  <c r="F136" i="7"/>
  <c r="P136" i="7"/>
  <c r="O136" i="7"/>
  <c r="K136" i="7"/>
  <c r="J136" i="7"/>
  <c r="I136" i="7"/>
  <c r="H136" i="7"/>
  <c r="E136" i="7"/>
  <c r="K5" i="6"/>
  <c r="Q198" i="7"/>
  <c r="P198" i="7"/>
  <c r="B198" i="7"/>
  <c r="I198" i="7"/>
  <c r="H198" i="7"/>
  <c r="G198" i="7"/>
  <c r="F198" i="7"/>
  <c r="A198" i="7"/>
  <c r="O198" i="7"/>
  <c r="J198" i="7"/>
  <c r="M198" i="7"/>
  <c r="L198" i="7"/>
  <c r="K198" i="7"/>
  <c r="E198" i="7"/>
  <c r="P62" i="6"/>
  <c r="H62" i="6"/>
  <c r="V62" i="6"/>
  <c r="G62" i="6"/>
  <c r="U62" i="6"/>
  <c r="F62" i="6"/>
  <c r="S62" i="6"/>
  <c r="A62" i="6"/>
  <c r="X62" i="6" s="1"/>
  <c r="Q62" i="6"/>
  <c r="N62" i="6"/>
  <c r="M62" i="6"/>
  <c r="K62" i="6"/>
  <c r="J62" i="6"/>
  <c r="I62" i="6"/>
  <c r="L62" i="6"/>
  <c r="R62" i="6"/>
  <c r="O62" i="6"/>
  <c r="E62" i="6"/>
  <c r="D62" i="6"/>
  <c r="T62" i="6"/>
  <c r="O5" i="7"/>
  <c r="L154" i="7"/>
  <c r="K154" i="7"/>
  <c r="J154" i="7"/>
  <c r="H154" i="7"/>
  <c r="G154" i="7"/>
  <c r="F154" i="7"/>
  <c r="B154" i="7"/>
  <c r="M154" i="7"/>
  <c r="P154" i="7"/>
  <c r="O154" i="7"/>
  <c r="I154" i="7"/>
  <c r="Q154" i="7"/>
  <c r="E154" i="7"/>
  <c r="A154" i="7"/>
  <c r="L39" i="6"/>
  <c r="D39" i="6"/>
  <c r="V39" i="6"/>
  <c r="T39" i="6" s="1"/>
  <c r="A39" i="6"/>
  <c r="H141" i="7"/>
  <c r="G141" i="7"/>
  <c r="F141" i="7"/>
  <c r="P141" i="7"/>
  <c r="O141" i="7"/>
  <c r="B141" i="7"/>
  <c r="Q141" i="7"/>
  <c r="I141" i="7"/>
  <c r="E141" i="7"/>
  <c r="M141" i="7"/>
  <c r="L141" i="7"/>
  <c r="K141" i="7"/>
  <c r="J141" i="7"/>
  <c r="A141" i="7"/>
  <c r="T63" i="6"/>
  <c r="F63" i="6"/>
  <c r="N63" i="6"/>
  <c r="M63" i="6"/>
  <c r="L63" i="6"/>
  <c r="P63" i="6"/>
  <c r="K63" i="6"/>
  <c r="I63" i="6"/>
  <c r="H63" i="6"/>
  <c r="E63" i="6"/>
  <c r="D63" i="6"/>
  <c r="V63" i="6"/>
  <c r="G63" i="6"/>
  <c r="A63" i="6"/>
  <c r="X63" i="6" s="1"/>
  <c r="Q63" i="6"/>
  <c r="O63" i="6"/>
  <c r="J63" i="6"/>
  <c r="U63" i="6"/>
  <c r="S63" i="6"/>
  <c r="R63" i="6"/>
  <c r="E46" i="7"/>
  <c r="P46" i="7"/>
  <c r="Q46" i="7" s="1"/>
  <c r="H46" i="7"/>
  <c r="B46" i="7"/>
  <c r="A46" i="7"/>
  <c r="P115" i="6"/>
  <c r="O115" i="6"/>
  <c r="A115" i="6"/>
  <c r="X115" i="6" s="1"/>
  <c r="N115" i="6"/>
  <c r="L115" i="6"/>
  <c r="K115" i="6"/>
  <c r="J115" i="6"/>
  <c r="Q115" i="6"/>
  <c r="I115" i="6"/>
  <c r="G115" i="6"/>
  <c r="D115" i="6"/>
  <c r="V115" i="6"/>
  <c r="T115" i="6"/>
  <c r="R115" i="6"/>
  <c r="H115" i="6"/>
  <c r="F115" i="6"/>
  <c r="E115" i="6"/>
  <c r="U115" i="6"/>
  <c r="S115" i="6"/>
  <c r="M115" i="6"/>
  <c r="V20" i="6"/>
  <c r="E20" i="6" s="1"/>
  <c r="L20" i="6"/>
  <c r="A20" i="6"/>
  <c r="D20" i="6"/>
  <c r="P101" i="6"/>
  <c r="O101" i="6"/>
  <c r="A101" i="6"/>
  <c r="X101" i="6" s="1"/>
  <c r="N101" i="6"/>
  <c r="J101" i="6"/>
  <c r="I101" i="6"/>
  <c r="H101" i="6"/>
  <c r="U101" i="6"/>
  <c r="T101" i="6"/>
  <c r="S101" i="6"/>
  <c r="M101" i="6"/>
  <c r="K101" i="6"/>
  <c r="F101" i="6"/>
  <c r="E101" i="6"/>
  <c r="D101" i="6"/>
  <c r="V101" i="6"/>
  <c r="R101" i="6"/>
  <c r="Q101" i="6"/>
  <c r="L101" i="6"/>
  <c r="G101" i="6"/>
  <c r="E37" i="7"/>
  <c r="P37" i="7"/>
  <c r="F37" i="7" s="1"/>
  <c r="A37" i="7"/>
  <c r="B37" i="7"/>
  <c r="H37" i="7"/>
  <c r="M68" i="6"/>
  <c r="L68" i="6"/>
  <c r="T68" i="6"/>
  <c r="D68" i="6"/>
  <c r="S68" i="6"/>
  <c r="R68" i="6"/>
  <c r="O68" i="6"/>
  <c r="K68" i="6"/>
  <c r="I68" i="6"/>
  <c r="H68" i="6"/>
  <c r="F68" i="6"/>
  <c r="E68" i="6"/>
  <c r="A68" i="6"/>
  <c r="X68" i="6" s="1"/>
  <c r="G68" i="6"/>
  <c r="Q68" i="6"/>
  <c r="P68" i="6"/>
  <c r="N68" i="6"/>
  <c r="V68" i="6"/>
  <c r="U68" i="6"/>
  <c r="J68" i="6"/>
  <c r="T123" i="6"/>
  <c r="F123" i="6"/>
  <c r="S123" i="6"/>
  <c r="E123" i="6"/>
  <c r="R123" i="6"/>
  <c r="D123" i="6"/>
  <c r="P123" i="6"/>
  <c r="O123" i="6"/>
  <c r="N123" i="6"/>
  <c r="A123" i="6"/>
  <c r="X123" i="6" s="1"/>
  <c r="V123" i="6"/>
  <c r="Q123" i="6"/>
  <c r="M123" i="6"/>
  <c r="L123" i="6"/>
  <c r="K123" i="6"/>
  <c r="I123" i="6"/>
  <c r="G123" i="6"/>
  <c r="U123" i="6"/>
  <c r="J123" i="6"/>
  <c r="H123" i="6"/>
  <c r="L117" i="7"/>
  <c r="K117" i="7"/>
  <c r="E117" i="7"/>
  <c r="F117" i="7"/>
  <c r="B117" i="7"/>
  <c r="A117" i="7"/>
  <c r="M117" i="7"/>
  <c r="H117" i="7"/>
  <c r="G117" i="7"/>
  <c r="Q117" i="7"/>
  <c r="P117" i="7"/>
  <c r="O117" i="7"/>
  <c r="I117" i="7"/>
  <c r="J117" i="7"/>
  <c r="Q177" i="6"/>
  <c r="P177" i="6"/>
  <c r="O177" i="6"/>
  <c r="A177" i="6"/>
  <c r="X177" i="6" s="1"/>
  <c r="N177" i="6"/>
  <c r="M177" i="6"/>
  <c r="L177" i="6"/>
  <c r="D177" i="6"/>
  <c r="V177" i="6"/>
  <c r="K177" i="6"/>
  <c r="J177" i="6"/>
  <c r="I177" i="6"/>
  <c r="U177" i="6"/>
  <c r="S177" i="6"/>
  <c r="R177" i="6"/>
  <c r="H177" i="6"/>
  <c r="G177" i="6"/>
  <c r="E177" i="6"/>
  <c r="T177" i="6"/>
  <c r="F177" i="6"/>
  <c r="H82" i="7"/>
  <c r="G82" i="7"/>
  <c r="F82" i="7"/>
  <c r="O82" i="7"/>
  <c r="L82" i="7"/>
  <c r="K82" i="7"/>
  <c r="J82" i="7"/>
  <c r="M82" i="7"/>
  <c r="I82" i="7"/>
  <c r="E82" i="7"/>
  <c r="A82" i="7"/>
  <c r="B82" i="7"/>
  <c r="P82" i="7"/>
  <c r="Q82" i="7"/>
  <c r="L196" i="7"/>
  <c r="K196" i="7"/>
  <c r="J196" i="7"/>
  <c r="H196" i="7"/>
  <c r="E196" i="7"/>
  <c r="Q196" i="7"/>
  <c r="O196" i="7"/>
  <c r="M196" i="7"/>
  <c r="I196" i="7"/>
  <c r="G196" i="7"/>
  <c r="F196" i="7"/>
  <c r="B196" i="7"/>
  <c r="P196" i="7"/>
  <c r="A196" i="7"/>
  <c r="F86" i="7"/>
  <c r="E86" i="7"/>
  <c r="M86" i="7"/>
  <c r="J86" i="7"/>
  <c r="I86" i="7"/>
  <c r="H86" i="7"/>
  <c r="L86" i="7"/>
  <c r="K86" i="7"/>
  <c r="G86" i="7"/>
  <c r="B86" i="7"/>
  <c r="Q86" i="7"/>
  <c r="P86" i="7"/>
  <c r="O86" i="7"/>
  <c r="A86" i="7"/>
  <c r="I108" i="7"/>
  <c r="H108" i="7"/>
  <c r="G108" i="7"/>
  <c r="B108" i="7"/>
  <c r="A108" i="7"/>
  <c r="L108" i="7"/>
  <c r="F108" i="7"/>
  <c r="E108" i="7"/>
  <c r="K108" i="7"/>
  <c r="J108" i="7"/>
  <c r="Q108" i="7"/>
  <c r="O108" i="7"/>
  <c r="M108" i="7"/>
  <c r="P108" i="7"/>
  <c r="P108" i="6"/>
  <c r="O108" i="6"/>
  <c r="A108" i="6"/>
  <c r="X108" i="6" s="1"/>
  <c r="N108" i="6"/>
  <c r="U108" i="6"/>
  <c r="D108" i="6"/>
  <c r="T108" i="6"/>
  <c r="S108" i="6"/>
  <c r="V108" i="6"/>
  <c r="Q108" i="6"/>
  <c r="K108" i="6"/>
  <c r="J108" i="6"/>
  <c r="I108" i="6"/>
  <c r="R108" i="6"/>
  <c r="M108" i="6"/>
  <c r="H108" i="6"/>
  <c r="G108" i="6"/>
  <c r="F108" i="6"/>
  <c r="L108" i="6"/>
  <c r="E108" i="6"/>
  <c r="N125" i="6"/>
  <c r="M125" i="6"/>
  <c r="L125" i="6"/>
  <c r="V125" i="6"/>
  <c r="E125" i="6"/>
  <c r="U125" i="6"/>
  <c r="D125" i="6"/>
  <c r="T125" i="6"/>
  <c r="A125" i="6"/>
  <c r="X125" i="6" s="1"/>
  <c r="S125" i="6"/>
  <c r="Q125" i="6"/>
  <c r="O125" i="6"/>
  <c r="K125" i="6"/>
  <c r="J125" i="6"/>
  <c r="I125" i="6"/>
  <c r="G125" i="6"/>
  <c r="F125" i="6"/>
  <c r="R125" i="6"/>
  <c r="H125" i="6"/>
  <c r="P125" i="6"/>
  <c r="P66" i="7"/>
  <c r="B66" i="7"/>
  <c r="O66" i="7"/>
  <c r="A66" i="7"/>
  <c r="G66" i="7"/>
  <c r="Q66" i="7"/>
  <c r="M66" i="7"/>
  <c r="I66" i="7"/>
  <c r="H66" i="7"/>
  <c r="F66" i="7"/>
  <c r="L66" i="7"/>
  <c r="K66" i="7"/>
  <c r="J66" i="7"/>
  <c r="E66" i="7"/>
  <c r="N159" i="6"/>
  <c r="P159" i="6"/>
  <c r="A159" i="6"/>
  <c r="X159" i="6" s="1"/>
  <c r="O159" i="6"/>
  <c r="M159" i="6"/>
  <c r="G159" i="6"/>
  <c r="F159" i="6"/>
  <c r="E159" i="6"/>
  <c r="V159" i="6"/>
  <c r="T159" i="6"/>
  <c r="S159" i="6"/>
  <c r="R159" i="6"/>
  <c r="U159" i="6"/>
  <c r="L159" i="6"/>
  <c r="K159" i="6"/>
  <c r="J159" i="6"/>
  <c r="I159" i="6"/>
  <c r="D159" i="6"/>
  <c r="Q159" i="6"/>
  <c r="H159" i="6"/>
  <c r="H190" i="7"/>
  <c r="G190" i="7"/>
  <c r="F190" i="7"/>
  <c r="Q190" i="7"/>
  <c r="P190" i="7"/>
  <c r="E190" i="7"/>
  <c r="B190" i="7"/>
  <c r="A190" i="7"/>
  <c r="O190" i="7"/>
  <c r="K190" i="7"/>
  <c r="I190" i="7"/>
  <c r="M190" i="7"/>
  <c r="L190" i="7"/>
  <c r="J190" i="7"/>
  <c r="B32" i="7"/>
  <c r="A32" i="7"/>
  <c r="H32" i="7"/>
  <c r="P32" i="7"/>
  <c r="J32" i="7" s="1"/>
  <c r="E32" i="7"/>
  <c r="K111" i="7"/>
  <c r="J111" i="7"/>
  <c r="I111" i="7"/>
  <c r="B111" i="7"/>
  <c r="A111" i="7"/>
  <c r="Q111" i="7"/>
  <c r="P111" i="7"/>
  <c r="O111" i="7"/>
  <c r="L111" i="7"/>
  <c r="H111" i="7"/>
  <c r="G111" i="7"/>
  <c r="F111" i="7"/>
  <c r="M111" i="7"/>
  <c r="E111" i="7"/>
  <c r="V77" i="6"/>
  <c r="H77" i="6"/>
  <c r="U77" i="6"/>
  <c r="G77" i="6"/>
  <c r="T77" i="6"/>
  <c r="F77" i="6"/>
  <c r="N77" i="6"/>
  <c r="M77" i="6"/>
  <c r="L77" i="6"/>
  <c r="R77" i="6"/>
  <c r="P77" i="6"/>
  <c r="O77" i="6"/>
  <c r="J77" i="6"/>
  <c r="I77" i="6"/>
  <c r="E77" i="6"/>
  <c r="K77" i="6"/>
  <c r="D77" i="6"/>
  <c r="S77" i="6"/>
  <c r="A77" i="6"/>
  <c r="X77" i="6" s="1"/>
  <c r="Q77" i="6"/>
  <c r="O94" i="6"/>
  <c r="A94" i="6"/>
  <c r="X94" i="6" s="1"/>
  <c r="T94" i="6"/>
  <c r="E94" i="6"/>
  <c r="S94" i="6"/>
  <c r="D94" i="6"/>
  <c r="R94" i="6"/>
  <c r="H94" i="6"/>
  <c r="G94" i="6"/>
  <c r="F94" i="6"/>
  <c r="U94" i="6"/>
  <c r="Q94" i="6"/>
  <c r="N94" i="6"/>
  <c r="M94" i="6"/>
  <c r="L94" i="6"/>
  <c r="P94" i="6"/>
  <c r="K94" i="6"/>
  <c r="V94" i="6"/>
  <c r="J94" i="6"/>
  <c r="I94" i="6"/>
  <c r="M83" i="6"/>
  <c r="L83" i="6"/>
  <c r="K83" i="6"/>
  <c r="J83" i="6"/>
  <c r="U83" i="6"/>
  <c r="T83" i="6"/>
  <c r="S83" i="6"/>
  <c r="A83" i="6"/>
  <c r="X83" i="6" s="1"/>
  <c r="R83" i="6"/>
  <c r="P83" i="6"/>
  <c r="O83" i="6"/>
  <c r="I83" i="6"/>
  <c r="H83" i="6"/>
  <c r="G83" i="6"/>
  <c r="N83" i="6"/>
  <c r="F83" i="6"/>
  <c r="E83" i="6"/>
  <c r="D83" i="6"/>
  <c r="V83" i="6"/>
  <c r="Q83" i="6"/>
  <c r="N196" i="6"/>
  <c r="M196" i="6"/>
  <c r="L196" i="6"/>
  <c r="G196" i="6"/>
  <c r="F196" i="6"/>
  <c r="V196" i="6"/>
  <c r="E196" i="6"/>
  <c r="R196" i="6"/>
  <c r="P196" i="6"/>
  <c r="O196" i="6"/>
  <c r="K196" i="6"/>
  <c r="Q196" i="6"/>
  <c r="I196" i="6"/>
  <c r="A196" i="6"/>
  <c r="X196" i="6" s="1"/>
  <c r="T196" i="6"/>
  <c r="S196" i="6"/>
  <c r="J196" i="6"/>
  <c r="U196" i="6"/>
  <c r="H196" i="6"/>
  <c r="D196" i="6"/>
  <c r="Q177" i="7"/>
  <c r="P177" i="7"/>
  <c r="B177" i="7"/>
  <c r="H177" i="7"/>
  <c r="G177" i="7"/>
  <c r="F177" i="7"/>
  <c r="O177" i="7"/>
  <c r="A177" i="7"/>
  <c r="M177" i="7"/>
  <c r="L177" i="7"/>
  <c r="K177" i="7"/>
  <c r="J177" i="7"/>
  <c r="I177" i="7"/>
  <c r="E177" i="7"/>
  <c r="P195" i="7"/>
  <c r="B195" i="7"/>
  <c r="O195" i="7"/>
  <c r="A195" i="7"/>
  <c r="L195" i="7"/>
  <c r="F195" i="7"/>
  <c r="E195" i="7"/>
  <c r="K195" i="7"/>
  <c r="I195" i="7"/>
  <c r="H195" i="7"/>
  <c r="G195" i="7"/>
  <c r="M195" i="7"/>
  <c r="Q195" i="7"/>
  <c r="J195" i="7"/>
  <c r="U85" i="6"/>
  <c r="G85" i="6"/>
  <c r="J85" i="6"/>
  <c r="I85" i="6"/>
  <c r="H85" i="6"/>
  <c r="M85" i="6"/>
  <c r="L85" i="6"/>
  <c r="K85" i="6"/>
  <c r="V85" i="6"/>
  <c r="S85" i="6"/>
  <c r="Q85" i="6"/>
  <c r="P85" i="6"/>
  <c r="N85" i="6"/>
  <c r="F85" i="6"/>
  <c r="E85" i="6"/>
  <c r="O85" i="6"/>
  <c r="D85" i="6"/>
  <c r="A85" i="6"/>
  <c r="X85" i="6" s="1"/>
  <c r="T85" i="6"/>
  <c r="R85" i="6"/>
  <c r="T3" i="6"/>
  <c r="I3" i="6"/>
  <c r="U164" i="6"/>
  <c r="G164" i="6"/>
  <c r="T164" i="6"/>
  <c r="F164" i="6"/>
  <c r="S164" i="6"/>
  <c r="E164" i="6"/>
  <c r="H164" i="6"/>
  <c r="D164" i="6"/>
  <c r="J164" i="6"/>
  <c r="I164" i="6"/>
  <c r="K164" i="6"/>
  <c r="Q164" i="6"/>
  <c r="O164" i="6"/>
  <c r="M164" i="6"/>
  <c r="A164" i="6"/>
  <c r="X164" i="6" s="1"/>
  <c r="R164" i="6"/>
  <c r="P164" i="6"/>
  <c r="N164" i="6"/>
  <c r="L164" i="6"/>
  <c r="V164" i="6"/>
  <c r="J151" i="6"/>
  <c r="L151" i="6"/>
  <c r="K151" i="6"/>
  <c r="I151" i="6"/>
  <c r="F151" i="6"/>
  <c r="E151" i="6"/>
  <c r="V151" i="6"/>
  <c r="D151" i="6"/>
  <c r="S151" i="6"/>
  <c r="Q151" i="6"/>
  <c r="P151" i="6"/>
  <c r="O151" i="6"/>
  <c r="R151" i="6"/>
  <c r="M151" i="6"/>
  <c r="G151" i="6"/>
  <c r="A151" i="6"/>
  <c r="X151" i="6" s="1"/>
  <c r="U151" i="6"/>
  <c r="T151" i="6"/>
  <c r="N151" i="6"/>
  <c r="H151" i="6"/>
  <c r="V34" i="6"/>
  <c r="O34" i="6" s="1"/>
  <c r="L34" i="6"/>
  <c r="D34" i="6"/>
  <c r="A34" i="6"/>
  <c r="N111" i="6"/>
  <c r="M111" i="6"/>
  <c r="L111" i="6"/>
  <c r="T111" i="6"/>
  <c r="S111" i="6"/>
  <c r="R111" i="6"/>
  <c r="A111" i="6"/>
  <c r="X111" i="6" s="1"/>
  <c r="U111" i="6"/>
  <c r="P111" i="6"/>
  <c r="K111" i="6"/>
  <c r="H111" i="6"/>
  <c r="G111" i="6"/>
  <c r="F111" i="6"/>
  <c r="V111" i="6"/>
  <c r="Q111" i="6"/>
  <c r="O111" i="6"/>
  <c r="J111" i="6"/>
  <c r="I111" i="6"/>
  <c r="E111" i="6"/>
  <c r="D111" i="6"/>
  <c r="F145" i="7"/>
  <c r="E145" i="7"/>
  <c r="M145" i="7"/>
  <c r="L145" i="7"/>
  <c r="K145" i="7"/>
  <c r="I145" i="7"/>
  <c r="H145" i="7"/>
  <c r="G145" i="7"/>
  <c r="P145" i="7"/>
  <c r="O145" i="7"/>
  <c r="J145" i="7"/>
  <c r="Q145" i="7"/>
  <c r="A145" i="7"/>
  <c r="B145" i="7"/>
  <c r="H155" i="7"/>
  <c r="G155" i="7"/>
  <c r="F155" i="7"/>
  <c r="J155" i="7"/>
  <c r="I155" i="7"/>
  <c r="E155" i="7"/>
  <c r="K155" i="7"/>
  <c r="B155" i="7"/>
  <c r="A155" i="7"/>
  <c r="M155" i="7"/>
  <c r="L155" i="7"/>
  <c r="O155" i="7"/>
  <c r="Q155" i="7"/>
  <c r="P155" i="7"/>
  <c r="L2" i="7"/>
  <c r="M2" i="7"/>
  <c r="I2" i="7" s="1"/>
  <c r="R2" i="6" s="1"/>
  <c r="G5" i="6"/>
  <c r="Q170" i="6"/>
  <c r="P170" i="6"/>
  <c r="O170" i="6"/>
  <c r="A170" i="6"/>
  <c r="X170" i="6" s="1"/>
  <c r="F170" i="6"/>
  <c r="V170" i="6"/>
  <c r="E170" i="6"/>
  <c r="U170" i="6"/>
  <c r="D170" i="6"/>
  <c r="K170" i="6"/>
  <c r="I170" i="6"/>
  <c r="T170" i="6"/>
  <c r="S170" i="6"/>
  <c r="N170" i="6"/>
  <c r="M170" i="6"/>
  <c r="L170" i="6"/>
  <c r="H170" i="6"/>
  <c r="R170" i="6"/>
  <c r="J170" i="6"/>
  <c r="G170" i="6"/>
  <c r="Q5" i="7"/>
  <c r="O120" i="7"/>
  <c r="A120" i="7"/>
  <c r="M120" i="7"/>
  <c r="B120" i="7"/>
  <c r="P120" i="7"/>
  <c r="L120" i="7"/>
  <c r="K120" i="7"/>
  <c r="H120" i="7"/>
  <c r="G120" i="7"/>
  <c r="F120" i="7"/>
  <c r="Q120" i="7"/>
  <c r="I120" i="7"/>
  <c r="E120" i="7"/>
  <c r="J120" i="7"/>
  <c r="H18" i="7"/>
  <c r="E18" i="7"/>
  <c r="P18" i="7"/>
  <c r="G18" i="7" s="1"/>
  <c r="B18" i="7"/>
  <c r="A18" i="7"/>
  <c r="L141" i="6"/>
  <c r="K141" i="6"/>
  <c r="J141" i="6"/>
  <c r="O141" i="6"/>
  <c r="N141" i="6"/>
  <c r="M141" i="6"/>
  <c r="E141" i="6"/>
  <c r="D141" i="6"/>
  <c r="U141" i="6"/>
  <c r="S141" i="6"/>
  <c r="R141" i="6"/>
  <c r="Q141" i="6"/>
  <c r="P141" i="6"/>
  <c r="V141" i="6"/>
  <c r="T141" i="6"/>
  <c r="I141" i="6"/>
  <c r="H141" i="6"/>
  <c r="G141" i="6"/>
  <c r="F141" i="6"/>
  <c r="A141" i="6"/>
  <c r="X141" i="6" s="1"/>
  <c r="I175" i="6"/>
  <c r="V175" i="6"/>
  <c r="H175" i="6"/>
  <c r="U175" i="6"/>
  <c r="G175" i="6"/>
  <c r="K175" i="6"/>
  <c r="J175" i="6"/>
  <c r="F175" i="6"/>
  <c r="A175" i="6"/>
  <c r="X175" i="6" s="1"/>
  <c r="P175" i="6"/>
  <c r="O175" i="6"/>
  <c r="N175" i="6"/>
  <c r="E175" i="6"/>
  <c r="T175" i="6"/>
  <c r="R175" i="6"/>
  <c r="Q175" i="6"/>
  <c r="M175" i="6"/>
  <c r="L175" i="6"/>
  <c r="S175" i="6"/>
  <c r="D175" i="6"/>
  <c r="M176" i="6"/>
  <c r="L176" i="6"/>
  <c r="K176" i="6"/>
  <c r="U176" i="6"/>
  <c r="D176" i="6"/>
  <c r="T176" i="6"/>
  <c r="S176" i="6"/>
  <c r="E176" i="6"/>
  <c r="O176" i="6"/>
  <c r="N176" i="6"/>
  <c r="J176" i="6"/>
  <c r="R176" i="6"/>
  <c r="P176" i="6"/>
  <c r="I176" i="6"/>
  <c r="H176" i="6"/>
  <c r="Q176" i="6"/>
  <c r="F176" i="6"/>
  <c r="V176" i="6"/>
  <c r="G176" i="6"/>
  <c r="A176" i="6"/>
  <c r="X176" i="6" s="1"/>
  <c r="H12" i="7"/>
  <c r="E12" i="7"/>
  <c r="P12" i="7"/>
  <c r="G12" i="7" s="1"/>
  <c r="B12" i="7"/>
  <c r="A12" i="7"/>
  <c r="Q149" i="7"/>
  <c r="P149" i="7"/>
  <c r="B149" i="7"/>
  <c r="L149" i="7"/>
  <c r="K149" i="7"/>
  <c r="J149" i="7"/>
  <c r="F149" i="7"/>
  <c r="E149" i="7"/>
  <c r="O149" i="7"/>
  <c r="G149" i="7"/>
  <c r="A149" i="7"/>
  <c r="M149" i="7"/>
  <c r="H149" i="7"/>
  <c r="I149" i="7"/>
  <c r="P135" i="6"/>
  <c r="O135" i="6"/>
  <c r="A135" i="6"/>
  <c r="X135" i="6" s="1"/>
  <c r="N135" i="6"/>
  <c r="Q135" i="6"/>
  <c r="M135" i="6"/>
  <c r="L135" i="6"/>
  <c r="K135" i="6"/>
  <c r="J135" i="6"/>
  <c r="I135" i="6"/>
  <c r="D135" i="6"/>
  <c r="U135" i="6"/>
  <c r="T135" i="6"/>
  <c r="S135" i="6"/>
  <c r="R135" i="6"/>
  <c r="G135" i="6"/>
  <c r="E135" i="6"/>
  <c r="V135" i="6"/>
  <c r="H135" i="6"/>
  <c r="F135" i="6"/>
  <c r="L35" i="6"/>
  <c r="V35" i="6"/>
  <c r="T35" i="6" s="1"/>
  <c r="D35" i="6"/>
  <c r="A35" i="6"/>
  <c r="L28" i="6"/>
  <c r="V28" i="6"/>
  <c r="J28" i="6" s="1"/>
  <c r="U28" i="6"/>
  <c r="D28" i="6"/>
  <c r="A28" i="6"/>
  <c r="H28" i="6"/>
  <c r="G28" i="6"/>
  <c r="L71" i="6"/>
  <c r="K71" i="6"/>
  <c r="J71" i="6"/>
  <c r="P71" i="6"/>
  <c r="O71" i="6"/>
  <c r="N71" i="6"/>
  <c r="F71" i="6"/>
  <c r="D71" i="6"/>
  <c r="V71" i="6"/>
  <c r="U71" i="6"/>
  <c r="A71" i="6"/>
  <c r="X71" i="6" s="1"/>
  <c r="S71" i="6"/>
  <c r="R71" i="6"/>
  <c r="Q71" i="6"/>
  <c r="T71" i="6"/>
  <c r="M71" i="6"/>
  <c r="I71" i="6"/>
  <c r="H71" i="6"/>
  <c r="G71" i="6"/>
  <c r="E71" i="6"/>
  <c r="F152" i="7"/>
  <c r="E152" i="7"/>
  <c r="K152" i="7"/>
  <c r="J152" i="7"/>
  <c r="I152" i="7"/>
  <c r="Q152" i="7"/>
  <c r="P152" i="7"/>
  <c r="M152" i="7"/>
  <c r="L152" i="7"/>
  <c r="H152" i="7"/>
  <c r="G152" i="7"/>
  <c r="B152" i="7"/>
  <c r="A152" i="7"/>
  <c r="O152" i="7"/>
  <c r="U133" i="6"/>
  <c r="G133" i="6"/>
  <c r="T133" i="6"/>
  <c r="F133" i="6"/>
  <c r="L133" i="6"/>
  <c r="K133" i="6"/>
  <c r="J133" i="6"/>
  <c r="Q133" i="6"/>
  <c r="P133" i="6"/>
  <c r="O133" i="6"/>
  <c r="S133" i="6"/>
  <c r="N133" i="6"/>
  <c r="I133" i="6"/>
  <c r="H133" i="6"/>
  <c r="E133" i="6"/>
  <c r="D133" i="6"/>
  <c r="V133" i="6"/>
  <c r="R133" i="6"/>
  <c r="M133" i="6"/>
  <c r="A133" i="6"/>
  <c r="X133" i="6" s="1"/>
  <c r="V13" i="6"/>
  <c r="K13" i="6" s="1"/>
  <c r="A13" i="6"/>
  <c r="L13" i="6"/>
  <c r="D13" i="6"/>
  <c r="I82" i="6"/>
  <c r="U82" i="6"/>
  <c r="F82" i="6"/>
  <c r="T82" i="6"/>
  <c r="E82" i="6"/>
  <c r="S82" i="6"/>
  <c r="D82" i="6"/>
  <c r="H82" i="6"/>
  <c r="G82" i="6"/>
  <c r="V82" i="6"/>
  <c r="Q82" i="6"/>
  <c r="O82" i="6"/>
  <c r="N82" i="6"/>
  <c r="L82" i="6"/>
  <c r="K82" i="6"/>
  <c r="J82" i="6"/>
  <c r="M82" i="6"/>
  <c r="R82" i="6"/>
  <c r="A82" i="6"/>
  <c r="X82" i="6" s="1"/>
  <c r="P82" i="6"/>
  <c r="F5" i="6"/>
  <c r="N18" i="6"/>
  <c r="M18" i="6"/>
  <c r="L18" i="6"/>
  <c r="F18" i="6"/>
  <c r="D18" i="6"/>
  <c r="V18" i="6"/>
  <c r="U18" i="6" s="1"/>
  <c r="T18" i="6"/>
  <c r="G18" i="6"/>
  <c r="A18" i="6"/>
  <c r="P116" i="7"/>
  <c r="O116" i="7"/>
  <c r="A116" i="7"/>
  <c r="G116" i="7"/>
  <c r="F116" i="7"/>
  <c r="E116" i="7"/>
  <c r="B116" i="7"/>
  <c r="M116" i="7"/>
  <c r="L116" i="7"/>
  <c r="K116" i="7"/>
  <c r="J116" i="7"/>
  <c r="Q116" i="7"/>
  <c r="I116" i="7"/>
  <c r="H116" i="7"/>
  <c r="S88" i="6"/>
  <c r="E88" i="6"/>
  <c r="M88" i="6"/>
  <c r="L88" i="6"/>
  <c r="K88" i="6"/>
  <c r="Q88" i="6"/>
  <c r="P88" i="6"/>
  <c r="O88" i="6"/>
  <c r="V88" i="6"/>
  <c r="T88" i="6"/>
  <c r="R88" i="6"/>
  <c r="J88" i="6"/>
  <c r="I88" i="6"/>
  <c r="H88" i="6"/>
  <c r="N88" i="6"/>
  <c r="G88" i="6"/>
  <c r="U88" i="6"/>
  <c r="F88" i="6"/>
  <c r="D88" i="6"/>
  <c r="A88" i="6"/>
  <c r="X88" i="6" s="1"/>
  <c r="U92" i="6"/>
  <c r="G92" i="6"/>
  <c r="H92" i="6"/>
  <c r="V92" i="6"/>
  <c r="F92" i="6"/>
  <c r="T92" i="6"/>
  <c r="E92" i="6"/>
  <c r="P92" i="6"/>
  <c r="O92" i="6"/>
  <c r="N92" i="6"/>
  <c r="S92" i="6"/>
  <c r="R92" i="6"/>
  <c r="M92" i="6"/>
  <c r="L92" i="6"/>
  <c r="K92" i="6"/>
  <c r="Q92" i="6"/>
  <c r="J92" i="6"/>
  <c r="D92" i="6"/>
  <c r="A92" i="6"/>
  <c r="X92" i="6" s="1"/>
  <c r="I92" i="6"/>
  <c r="J90" i="7"/>
  <c r="I90" i="7"/>
  <c r="F90" i="7"/>
  <c r="E90" i="7"/>
  <c r="O90" i="7"/>
  <c r="L90" i="7"/>
  <c r="K90" i="7"/>
  <c r="H90" i="7"/>
  <c r="P90" i="7"/>
  <c r="M90" i="7"/>
  <c r="G90" i="7"/>
  <c r="Q90" i="7"/>
  <c r="A90" i="7"/>
  <c r="B90" i="7"/>
  <c r="E30" i="7"/>
  <c r="B30" i="7"/>
  <c r="A30" i="7"/>
  <c r="P30" i="7"/>
  <c r="O30" i="7" s="1"/>
  <c r="H30" i="7"/>
  <c r="P52" i="7"/>
  <c r="B52" i="7"/>
  <c r="O52" i="7"/>
  <c r="A52" i="7"/>
  <c r="J52" i="7"/>
  <c r="I52" i="7"/>
  <c r="H52" i="7"/>
  <c r="G52" i="7"/>
  <c r="E52" i="7"/>
  <c r="Q52" i="7"/>
  <c r="M52" i="7"/>
  <c r="K52" i="7"/>
  <c r="F52" i="7"/>
  <c r="L52" i="7"/>
  <c r="T130" i="6"/>
  <c r="F130" i="6"/>
  <c r="S130" i="6"/>
  <c r="E130" i="6"/>
  <c r="R130" i="6"/>
  <c r="D130" i="6"/>
  <c r="J130" i="6"/>
  <c r="I130" i="6"/>
  <c r="H130" i="6"/>
  <c r="P130" i="6"/>
  <c r="N130" i="6"/>
  <c r="L130" i="6"/>
  <c r="G130" i="6"/>
  <c r="A130" i="6"/>
  <c r="X130" i="6" s="1"/>
  <c r="V130" i="6"/>
  <c r="Q130" i="6"/>
  <c r="M130" i="6"/>
  <c r="K130" i="6"/>
  <c r="U130" i="6"/>
  <c r="O130" i="6"/>
  <c r="J50" i="7"/>
  <c r="I50" i="7"/>
  <c r="H50" i="7"/>
  <c r="L50" i="7"/>
  <c r="K50" i="7"/>
  <c r="G50" i="7"/>
  <c r="Q50" i="7"/>
  <c r="M50" i="7"/>
  <c r="F50" i="7"/>
  <c r="E50" i="7"/>
  <c r="P50" i="7"/>
  <c r="O50" i="7"/>
  <c r="B50" i="7"/>
  <c r="A50" i="7"/>
  <c r="V6" i="6"/>
  <c r="H6" i="6" s="1"/>
  <c r="N6" i="6"/>
  <c r="A6" i="6"/>
  <c r="D6" i="6"/>
  <c r="L6" i="6"/>
  <c r="P200" i="6"/>
  <c r="O200" i="6"/>
  <c r="A200" i="6"/>
  <c r="X200" i="6" s="1"/>
  <c r="N200" i="6"/>
  <c r="S200" i="6"/>
  <c r="R200" i="6"/>
  <c r="Q200" i="6"/>
  <c r="V200" i="6"/>
  <c r="K200" i="6"/>
  <c r="I200" i="6"/>
  <c r="H200" i="6"/>
  <c r="G200" i="6"/>
  <c r="M200" i="6"/>
  <c r="J200" i="6"/>
  <c r="U200" i="6"/>
  <c r="T200" i="6"/>
  <c r="L200" i="6"/>
  <c r="F200" i="6"/>
  <c r="E200" i="6"/>
  <c r="D200" i="6"/>
  <c r="L11" i="6"/>
  <c r="V11" i="6"/>
  <c r="O11" i="6" s="1"/>
  <c r="D11" i="6"/>
  <c r="A11" i="6"/>
  <c r="A22" i="6"/>
  <c r="D22" i="6"/>
  <c r="V22" i="6"/>
  <c r="U22" i="6" s="1"/>
  <c r="L22" i="6"/>
  <c r="U191" i="6"/>
  <c r="G191" i="6"/>
  <c r="T191" i="6"/>
  <c r="F191" i="6"/>
  <c r="J191" i="6"/>
  <c r="I191" i="6"/>
  <c r="H191" i="6"/>
  <c r="K191" i="6"/>
  <c r="D191" i="6"/>
  <c r="O191" i="6"/>
  <c r="M191" i="6"/>
  <c r="V191" i="6"/>
  <c r="E191" i="6"/>
  <c r="S191" i="6"/>
  <c r="Q191" i="6"/>
  <c r="N191" i="6"/>
  <c r="L191" i="6"/>
  <c r="A191" i="6"/>
  <c r="X191" i="6" s="1"/>
  <c r="P191" i="6"/>
  <c r="R191" i="6"/>
  <c r="Q76" i="7"/>
  <c r="P76" i="7"/>
  <c r="B76" i="7"/>
  <c r="M76" i="7"/>
  <c r="L76" i="7"/>
  <c r="F76" i="7"/>
  <c r="E76" i="7"/>
  <c r="A76" i="7"/>
  <c r="O76" i="7"/>
  <c r="K76" i="7"/>
  <c r="J76" i="7"/>
  <c r="I76" i="7"/>
  <c r="H76" i="7"/>
  <c r="G76" i="7"/>
  <c r="V120" i="6"/>
  <c r="H120" i="6"/>
  <c r="U120" i="6"/>
  <c r="G120" i="6"/>
  <c r="T120" i="6"/>
  <c r="F120" i="6"/>
  <c r="Q120" i="6"/>
  <c r="P120" i="6"/>
  <c r="O120" i="6"/>
  <c r="I120" i="6"/>
  <c r="D120" i="6"/>
  <c r="S120" i="6"/>
  <c r="R120" i="6"/>
  <c r="N120" i="6"/>
  <c r="M120" i="6"/>
  <c r="L120" i="6"/>
  <c r="K120" i="6"/>
  <c r="J120" i="6"/>
  <c r="E120" i="6"/>
  <c r="A120" i="6"/>
  <c r="X120" i="6" s="1"/>
  <c r="O180" i="6"/>
  <c r="A180" i="6"/>
  <c r="X180" i="6" s="1"/>
  <c r="N180" i="6"/>
  <c r="M180" i="6"/>
  <c r="R180" i="6"/>
  <c r="P180" i="6"/>
  <c r="L180" i="6"/>
  <c r="K180" i="6"/>
  <c r="V180" i="6"/>
  <c r="T180" i="6"/>
  <c r="H180" i="6"/>
  <c r="G180" i="6"/>
  <c r="F180" i="6"/>
  <c r="U180" i="6"/>
  <c r="Q180" i="6"/>
  <c r="I180" i="6"/>
  <c r="D180" i="6"/>
  <c r="S180" i="6"/>
  <c r="J180" i="6"/>
  <c r="E180" i="6"/>
  <c r="J3" i="6"/>
  <c r="M77" i="7"/>
  <c r="L77" i="7"/>
  <c r="B77" i="7"/>
  <c r="O77" i="7"/>
  <c r="K77" i="7"/>
  <c r="H77" i="7"/>
  <c r="G77" i="7"/>
  <c r="F77" i="7"/>
  <c r="E77" i="7"/>
  <c r="Q77" i="7"/>
  <c r="A77" i="7"/>
  <c r="P77" i="7"/>
  <c r="J77" i="7"/>
  <c r="I77" i="7"/>
  <c r="N53" i="6"/>
  <c r="M53" i="6"/>
  <c r="L53" i="6"/>
  <c r="U53" i="6"/>
  <c r="D53" i="6"/>
  <c r="S53" i="6"/>
  <c r="Q53" i="6"/>
  <c r="P53" i="6"/>
  <c r="K53" i="6"/>
  <c r="J53" i="6"/>
  <c r="I53" i="6"/>
  <c r="O53" i="6"/>
  <c r="V53" i="6"/>
  <c r="T53" i="6"/>
  <c r="H53" i="6"/>
  <c r="G53" i="6"/>
  <c r="F53" i="6"/>
  <c r="E53" i="6"/>
  <c r="A53" i="6"/>
  <c r="X53" i="6" s="1"/>
  <c r="R53" i="6"/>
  <c r="T143" i="6"/>
  <c r="F143" i="6"/>
  <c r="S143" i="6"/>
  <c r="E143" i="6"/>
  <c r="R143" i="6"/>
  <c r="D143" i="6"/>
  <c r="U143" i="6"/>
  <c r="A143" i="6"/>
  <c r="X143" i="6" s="1"/>
  <c r="Q143" i="6"/>
  <c r="P143" i="6"/>
  <c r="H143" i="6"/>
  <c r="N143" i="6"/>
  <c r="L143" i="6"/>
  <c r="J143" i="6"/>
  <c r="G143" i="6"/>
  <c r="V143" i="6"/>
  <c r="O143" i="6"/>
  <c r="K143" i="6"/>
  <c r="M143" i="6"/>
  <c r="I143" i="6"/>
  <c r="V140" i="6"/>
  <c r="H140" i="6"/>
  <c r="U140" i="6"/>
  <c r="G140" i="6"/>
  <c r="T140" i="6"/>
  <c r="F140" i="6"/>
  <c r="S140" i="6"/>
  <c r="R140" i="6"/>
  <c r="A140" i="6"/>
  <c r="X140" i="6" s="1"/>
  <c r="Q140" i="6"/>
  <c r="I140" i="6"/>
  <c r="E140" i="6"/>
  <c r="D140" i="6"/>
  <c r="P140" i="6"/>
  <c r="N140" i="6"/>
  <c r="M140" i="6"/>
  <c r="L140" i="6"/>
  <c r="K140" i="6"/>
  <c r="O140" i="6"/>
  <c r="J140" i="6"/>
  <c r="M199" i="7"/>
  <c r="L199" i="7"/>
  <c r="J199" i="7"/>
  <c r="H199" i="7"/>
  <c r="G199" i="7"/>
  <c r="F199" i="7"/>
  <c r="I199" i="7"/>
  <c r="E199" i="7"/>
  <c r="B199" i="7"/>
  <c r="A199" i="7"/>
  <c r="O199" i="7"/>
  <c r="K199" i="7"/>
  <c r="Q199" i="7"/>
  <c r="P199" i="7"/>
  <c r="J137" i="6"/>
  <c r="I137" i="6"/>
  <c r="V137" i="6"/>
  <c r="H137" i="6"/>
  <c r="T137" i="6"/>
  <c r="S137" i="6"/>
  <c r="R137" i="6"/>
  <c r="A137" i="6"/>
  <c r="X137" i="6" s="1"/>
  <c r="L137" i="6"/>
  <c r="K137" i="6"/>
  <c r="G137" i="6"/>
  <c r="N137" i="6"/>
  <c r="F137" i="6"/>
  <c r="D137" i="6"/>
  <c r="Q137" i="6"/>
  <c r="O137" i="6"/>
  <c r="E137" i="6"/>
  <c r="M137" i="6"/>
  <c r="U137" i="6"/>
  <c r="P137" i="6"/>
  <c r="O5" i="6"/>
  <c r="J5" i="6"/>
  <c r="P128" i="7"/>
  <c r="B128" i="7"/>
  <c r="Q128" i="7"/>
  <c r="O128" i="7"/>
  <c r="I128" i="7"/>
  <c r="H128" i="7"/>
  <c r="F128" i="7"/>
  <c r="E128" i="7"/>
  <c r="G128" i="7"/>
  <c r="A128" i="7"/>
  <c r="J128" i="7"/>
  <c r="L128" i="7"/>
  <c r="K128" i="7"/>
  <c r="M128" i="7"/>
  <c r="S181" i="6"/>
  <c r="E181" i="6"/>
  <c r="R181" i="6"/>
  <c r="D181" i="6"/>
  <c r="Q181" i="6"/>
  <c r="K181" i="6"/>
  <c r="I181" i="6"/>
  <c r="H181" i="6"/>
  <c r="G181" i="6"/>
  <c r="V181" i="6"/>
  <c r="T181" i="6"/>
  <c r="L181" i="6"/>
  <c r="J181" i="6"/>
  <c r="F181" i="6"/>
  <c r="U181" i="6"/>
  <c r="P181" i="6"/>
  <c r="O181" i="6"/>
  <c r="M181" i="6"/>
  <c r="A181" i="6"/>
  <c r="X181" i="6" s="1"/>
  <c r="N181" i="6"/>
  <c r="P41" i="7"/>
  <c r="G41" i="7" s="1"/>
  <c r="B41" i="7"/>
  <c r="E41" i="7"/>
  <c r="A41" i="7"/>
  <c r="H41" i="7"/>
  <c r="H33" i="7"/>
  <c r="B33" i="7"/>
  <c r="A33" i="7"/>
  <c r="E33" i="7"/>
  <c r="P33" i="7"/>
  <c r="J33" i="7" s="1"/>
  <c r="K33" i="7" s="1"/>
  <c r="E23" i="7"/>
  <c r="H23" i="7"/>
  <c r="A23" i="7"/>
  <c r="B23" i="7"/>
  <c r="P23" i="7"/>
  <c r="J23" i="7" s="1"/>
  <c r="K23" i="7" s="1"/>
  <c r="M90" i="6"/>
  <c r="J90" i="6"/>
  <c r="I90" i="6"/>
  <c r="H90" i="6"/>
  <c r="F90" i="6"/>
  <c r="E90" i="6"/>
  <c r="V90" i="6"/>
  <c r="D90" i="6"/>
  <c r="A90" i="6"/>
  <c r="X90" i="6" s="1"/>
  <c r="T90" i="6"/>
  <c r="R90" i="6"/>
  <c r="Q90" i="6"/>
  <c r="O90" i="6"/>
  <c r="N90" i="6"/>
  <c r="L90" i="6"/>
  <c r="P90" i="6"/>
  <c r="K90" i="6"/>
  <c r="U90" i="6"/>
  <c r="S90" i="6"/>
  <c r="G90" i="6"/>
  <c r="R197" i="6"/>
  <c r="D197" i="6"/>
  <c r="Q197" i="6"/>
  <c r="P197" i="6"/>
  <c r="T197" i="6"/>
  <c r="S197" i="6"/>
  <c r="O197" i="6"/>
  <c r="N197" i="6"/>
  <c r="L197" i="6"/>
  <c r="K197" i="6"/>
  <c r="J197" i="6"/>
  <c r="V197" i="6"/>
  <c r="G197" i="6"/>
  <c r="F197" i="6"/>
  <c r="E197" i="6"/>
  <c r="A197" i="6"/>
  <c r="X197" i="6" s="1"/>
  <c r="U197" i="6"/>
  <c r="I197" i="6"/>
  <c r="M197" i="6"/>
  <c r="H197" i="6"/>
  <c r="N104" i="6"/>
  <c r="M104" i="6"/>
  <c r="L104" i="6"/>
  <c r="I104" i="6"/>
  <c r="H104" i="6"/>
  <c r="G104" i="6"/>
  <c r="U104" i="6"/>
  <c r="A104" i="6"/>
  <c r="X104" i="6" s="1"/>
  <c r="R104" i="6"/>
  <c r="Q104" i="6"/>
  <c r="P104" i="6"/>
  <c r="K104" i="6"/>
  <c r="F104" i="6"/>
  <c r="D104" i="6"/>
  <c r="V104" i="6"/>
  <c r="T104" i="6"/>
  <c r="S104" i="6"/>
  <c r="E104" i="6"/>
  <c r="O104" i="6"/>
  <c r="J104" i="6"/>
  <c r="S174" i="6"/>
  <c r="E174" i="6"/>
  <c r="R174" i="6"/>
  <c r="D174" i="6"/>
  <c r="Q174" i="6"/>
  <c r="O174" i="6"/>
  <c r="N174" i="6"/>
  <c r="M174" i="6"/>
  <c r="G174" i="6"/>
  <c r="T174" i="6"/>
  <c r="P174" i="6"/>
  <c r="L174" i="6"/>
  <c r="J174" i="6"/>
  <c r="H174" i="6"/>
  <c r="A174" i="6"/>
  <c r="X174" i="6" s="1"/>
  <c r="V174" i="6"/>
  <c r="U174" i="6"/>
  <c r="K174" i="6"/>
  <c r="I174" i="6"/>
  <c r="F174" i="6"/>
  <c r="S167" i="6"/>
  <c r="E167" i="6"/>
  <c r="R167" i="6"/>
  <c r="D167" i="6"/>
  <c r="Q167" i="6"/>
  <c r="G167" i="6"/>
  <c r="F167" i="6"/>
  <c r="V167" i="6"/>
  <c r="N167" i="6"/>
  <c r="A167" i="6"/>
  <c r="X167" i="6" s="1"/>
  <c r="U167" i="6"/>
  <c r="P167" i="6"/>
  <c r="O167" i="6"/>
  <c r="M167" i="6"/>
  <c r="T167" i="6"/>
  <c r="K167" i="6"/>
  <c r="J167" i="6"/>
  <c r="I167" i="6"/>
  <c r="H167" i="6"/>
  <c r="L167" i="6"/>
  <c r="M131" i="6"/>
  <c r="L131" i="6"/>
  <c r="J131" i="6"/>
  <c r="I131" i="6"/>
  <c r="H131" i="6"/>
  <c r="V131" i="6"/>
  <c r="U131" i="6"/>
  <c r="T131" i="6"/>
  <c r="A131" i="6"/>
  <c r="X131" i="6" s="1"/>
  <c r="Q131" i="6"/>
  <c r="O131" i="6"/>
  <c r="K131" i="6"/>
  <c r="F131" i="6"/>
  <c r="E131" i="6"/>
  <c r="D131" i="6"/>
  <c r="S131" i="6"/>
  <c r="R131" i="6"/>
  <c r="N131" i="6"/>
  <c r="G131" i="6"/>
  <c r="P131" i="6"/>
  <c r="G122" i="7"/>
  <c r="F122" i="7"/>
  <c r="E122" i="7"/>
  <c r="A122" i="7"/>
  <c r="Q122" i="7"/>
  <c r="P122" i="7"/>
  <c r="B122" i="7"/>
  <c r="H122" i="7"/>
  <c r="O122" i="7"/>
  <c r="M122" i="7"/>
  <c r="L122" i="7"/>
  <c r="I122" i="7"/>
  <c r="K122" i="7"/>
  <c r="J122" i="7"/>
  <c r="U185" i="6"/>
  <c r="G185" i="6"/>
  <c r="T185" i="6"/>
  <c r="F185" i="6"/>
  <c r="S185" i="6"/>
  <c r="E185" i="6"/>
  <c r="R185" i="6"/>
  <c r="A185" i="6"/>
  <c r="X185" i="6" s="1"/>
  <c r="Q185" i="6"/>
  <c r="P185" i="6"/>
  <c r="M185" i="6"/>
  <c r="L185" i="6"/>
  <c r="K185" i="6"/>
  <c r="V185" i="6"/>
  <c r="O185" i="6"/>
  <c r="H185" i="6"/>
  <c r="N185" i="6"/>
  <c r="J185" i="6"/>
  <c r="I185" i="6"/>
  <c r="D185" i="6"/>
  <c r="R119" i="6"/>
  <c r="D119" i="6"/>
  <c r="Q119" i="6"/>
  <c r="P119" i="6"/>
  <c r="G119" i="6"/>
  <c r="F119" i="6"/>
  <c r="V119" i="6"/>
  <c r="E119" i="6"/>
  <c r="J119" i="6"/>
  <c r="H119" i="6"/>
  <c r="U119" i="6"/>
  <c r="T119" i="6"/>
  <c r="S119" i="6"/>
  <c r="O119" i="6"/>
  <c r="M119" i="6"/>
  <c r="K119" i="6"/>
  <c r="A119" i="6"/>
  <c r="X119" i="6" s="1"/>
  <c r="N119" i="6"/>
  <c r="L119" i="6"/>
  <c r="I119" i="6"/>
  <c r="M96" i="7"/>
  <c r="L96" i="7"/>
  <c r="K96" i="7"/>
  <c r="J96" i="7"/>
  <c r="G96" i="7"/>
  <c r="B96" i="7"/>
  <c r="Q96" i="7"/>
  <c r="P96" i="7"/>
  <c r="O96" i="7"/>
  <c r="E96" i="7"/>
  <c r="A96" i="7"/>
  <c r="I96" i="7"/>
  <c r="H96" i="7"/>
  <c r="F96" i="7"/>
  <c r="B35" i="7"/>
  <c r="A35" i="7"/>
  <c r="E35" i="7"/>
  <c r="H35" i="7"/>
  <c r="P35" i="7"/>
  <c r="Q35" i="7" s="1"/>
  <c r="V99" i="6"/>
  <c r="H99" i="6"/>
  <c r="U99" i="6"/>
  <c r="G99" i="6"/>
  <c r="F99" i="6"/>
  <c r="E99" i="6"/>
  <c r="T99" i="6"/>
  <c r="D99" i="6"/>
  <c r="A99" i="6"/>
  <c r="X99" i="6" s="1"/>
  <c r="S99" i="6"/>
  <c r="J99" i="6"/>
  <c r="Q99" i="6"/>
  <c r="P99" i="6"/>
  <c r="O99" i="6"/>
  <c r="R99" i="6"/>
  <c r="N99" i="6"/>
  <c r="M99" i="6"/>
  <c r="L99" i="6"/>
  <c r="K99" i="6"/>
  <c r="I99" i="6"/>
  <c r="L7" i="6"/>
  <c r="A7" i="6"/>
  <c r="V7" i="6"/>
  <c r="F7" i="6" s="1"/>
  <c r="D7" i="6"/>
  <c r="L129" i="7"/>
  <c r="O129" i="7"/>
  <c r="M129" i="7"/>
  <c r="I129" i="7"/>
  <c r="H129" i="7"/>
  <c r="F129" i="7"/>
  <c r="E129" i="7"/>
  <c r="K129" i="7"/>
  <c r="J129" i="7"/>
  <c r="G129" i="7"/>
  <c r="P129" i="7"/>
  <c r="B129" i="7"/>
  <c r="A129" i="7"/>
  <c r="Q129" i="7"/>
  <c r="J172" i="7"/>
  <c r="I172" i="7"/>
  <c r="H172" i="7"/>
  <c r="F172" i="7"/>
  <c r="A172" i="7"/>
  <c r="Q172" i="7"/>
  <c r="O172" i="7"/>
  <c r="L172" i="7"/>
  <c r="K172" i="7"/>
  <c r="G172" i="7"/>
  <c r="B172" i="7"/>
  <c r="P172" i="7"/>
  <c r="E172" i="7"/>
  <c r="M172" i="7"/>
  <c r="P80" i="7"/>
  <c r="B80" i="7"/>
  <c r="O80" i="7"/>
  <c r="A80" i="7"/>
  <c r="Q80" i="7"/>
  <c r="L80" i="7"/>
  <c r="K80" i="7"/>
  <c r="J80" i="7"/>
  <c r="M80" i="7"/>
  <c r="I80" i="7"/>
  <c r="H80" i="7"/>
  <c r="F80" i="7"/>
  <c r="E80" i="7"/>
  <c r="G80" i="7"/>
  <c r="H26" i="7"/>
  <c r="G26" i="7"/>
  <c r="E26" i="7"/>
  <c r="P26" i="7"/>
  <c r="J26" i="7" s="1"/>
  <c r="A26" i="7"/>
  <c r="Q26" i="7"/>
  <c r="M26" i="7" s="1"/>
  <c r="O26" i="7"/>
  <c r="B26" i="7"/>
  <c r="D44" i="6"/>
  <c r="V44" i="6"/>
  <c r="G44" i="6" s="1"/>
  <c r="L44" i="6"/>
  <c r="O44" i="6"/>
  <c r="A44" i="6"/>
  <c r="A15" i="6"/>
  <c r="V15" i="6"/>
  <c r="P15" i="6" s="1"/>
  <c r="Q15" i="6" s="1"/>
  <c r="L15" i="6"/>
  <c r="D15" i="6"/>
  <c r="F15" i="6"/>
  <c r="K186" i="6"/>
  <c r="J186" i="6"/>
  <c r="I186" i="6"/>
  <c r="P186" i="6"/>
  <c r="N186" i="6"/>
  <c r="M186" i="6"/>
  <c r="L186" i="6"/>
  <c r="V186" i="6"/>
  <c r="A186" i="6"/>
  <c r="X186" i="6" s="1"/>
  <c r="Q186" i="6"/>
  <c r="O186" i="6"/>
  <c r="H186" i="6"/>
  <c r="D186" i="6"/>
  <c r="T186" i="6"/>
  <c r="R186" i="6"/>
  <c r="G186" i="6"/>
  <c r="F186" i="6"/>
  <c r="E186" i="6"/>
  <c r="U186" i="6"/>
  <c r="S186" i="6"/>
  <c r="R139" i="6"/>
  <c r="D139" i="6"/>
  <c r="Q139" i="6"/>
  <c r="P139" i="6"/>
  <c r="I139" i="6"/>
  <c r="H139" i="6"/>
  <c r="G139" i="6"/>
  <c r="J139" i="6"/>
  <c r="F139" i="6"/>
  <c r="E139" i="6"/>
  <c r="U139" i="6"/>
  <c r="S139" i="6"/>
  <c r="N139" i="6"/>
  <c r="L139" i="6"/>
  <c r="K139" i="6"/>
  <c r="A139" i="6"/>
  <c r="X139" i="6" s="1"/>
  <c r="V139" i="6"/>
  <c r="O139" i="6"/>
  <c r="M139" i="6"/>
  <c r="T139" i="6"/>
  <c r="P39" i="7"/>
  <c r="J39" i="7" s="1"/>
  <c r="A39" i="7"/>
  <c r="H39" i="7"/>
  <c r="E39" i="7"/>
  <c r="B39" i="7"/>
  <c r="V106" i="6"/>
  <c r="H106" i="6"/>
  <c r="U106" i="6"/>
  <c r="G106" i="6"/>
  <c r="T106" i="6"/>
  <c r="F106" i="6"/>
  <c r="O106" i="6"/>
  <c r="N106" i="6"/>
  <c r="M106" i="6"/>
  <c r="A106" i="6"/>
  <c r="X106" i="6" s="1"/>
  <c r="S106" i="6"/>
  <c r="P106" i="6"/>
  <c r="L106" i="6"/>
  <c r="K106" i="6"/>
  <c r="R106" i="6"/>
  <c r="Q106" i="6"/>
  <c r="J106" i="6"/>
  <c r="I106" i="6"/>
  <c r="E106" i="6"/>
  <c r="D106" i="6"/>
  <c r="D40" i="6"/>
  <c r="L40" i="6"/>
  <c r="V40" i="6"/>
  <c r="P40" i="6" s="1"/>
  <c r="Q40" i="6" s="1"/>
  <c r="A40" i="6"/>
  <c r="Q69" i="7"/>
  <c r="P69" i="7"/>
  <c r="B69" i="7"/>
  <c r="F69" i="7"/>
  <c r="O69" i="7"/>
  <c r="M69" i="7"/>
  <c r="L69" i="7"/>
  <c r="K69" i="7"/>
  <c r="J69" i="7"/>
  <c r="E69" i="7"/>
  <c r="A69" i="7"/>
  <c r="H69" i="7"/>
  <c r="G69" i="7"/>
  <c r="I69" i="7"/>
  <c r="V31" i="6"/>
  <c r="G31" i="6" s="1"/>
  <c r="D31" i="6"/>
  <c r="L31" i="6"/>
  <c r="A31" i="6"/>
  <c r="P6" i="7"/>
  <c r="F6" i="7" s="1"/>
  <c r="B6" i="7"/>
  <c r="H6" i="7"/>
  <c r="A6" i="7"/>
  <c r="E6" i="7"/>
  <c r="D16" i="6"/>
  <c r="L16" i="6"/>
  <c r="A16" i="6"/>
  <c r="V16" i="6"/>
  <c r="P16" i="6" s="1"/>
  <c r="Q16" i="6" s="1"/>
  <c r="G112" i="7"/>
  <c r="F112" i="7"/>
  <c r="E112" i="7"/>
  <c r="A112" i="7"/>
  <c r="Q112" i="7"/>
  <c r="P112" i="7"/>
  <c r="H112" i="7"/>
  <c r="B112" i="7"/>
  <c r="O112" i="7"/>
  <c r="K112" i="7"/>
  <c r="J112" i="7"/>
  <c r="I112" i="7"/>
  <c r="L112" i="7"/>
  <c r="M112" i="7"/>
  <c r="L134" i="6"/>
  <c r="K134" i="6"/>
  <c r="J134" i="6"/>
  <c r="U134" i="6"/>
  <c r="D134" i="6"/>
  <c r="T134" i="6"/>
  <c r="S134" i="6"/>
  <c r="O134" i="6"/>
  <c r="N134" i="6"/>
  <c r="M134" i="6"/>
  <c r="R134" i="6"/>
  <c r="P134" i="6"/>
  <c r="I134" i="6"/>
  <c r="H134" i="6"/>
  <c r="G134" i="6"/>
  <c r="V134" i="6"/>
  <c r="Q134" i="6"/>
  <c r="F134" i="6"/>
  <c r="E134" i="6"/>
  <c r="A134" i="6"/>
  <c r="X134" i="6" s="1"/>
  <c r="D12" i="6"/>
  <c r="A12" i="6"/>
  <c r="V12" i="6"/>
  <c r="O12" i="6" s="1"/>
  <c r="L12" i="6"/>
  <c r="J71" i="7"/>
  <c r="I71" i="7"/>
  <c r="H71" i="7"/>
  <c r="Q71" i="7"/>
  <c r="P71" i="7"/>
  <c r="O71" i="7"/>
  <c r="B71" i="7"/>
  <c r="A71" i="7"/>
  <c r="M71" i="7"/>
  <c r="L71" i="7"/>
  <c r="K71" i="7"/>
  <c r="F71" i="7"/>
  <c r="E71" i="7"/>
  <c r="G71" i="7"/>
  <c r="D23" i="6"/>
  <c r="A23" i="6"/>
  <c r="L23" i="6"/>
  <c r="V23" i="6"/>
  <c r="F23" i="6" s="1"/>
  <c r="D19" i="6"/>
  <c r="L19" i="6"/>
  <c r="V19" i="6"/>
  <c r="F19" i="6" s="1"/>
  <c r="A19" i="6"/>
  <c r="F51" i="7"/>
  <c r="E51" i="7"/>
  <c r="K51" i="7"/>
  <c r="J51" i="7"/>
  <c r="I51" i="7"/>
  <c r="B51" i="7"/>
  <c r="O51" i="7"/>
  <c r="M51" i="7"/>
  <c r="H51" i="7"/>
  <c r="G51" i="7"/>
  <c r="A51" i="7"/>
  <c r="Q51" i="7"/>
  <c r="P51" i="7"/>
  <c r="L51" i="7"/>
  <c r="D26" i="6"/>
  <c r="T26" i="6"/>
  <c r="L26" i="6"/>
  <c r="A26" i="6"/>
  <c r="V26" i="6"/>
  <c r="H26" i="6" s="1"/>
  <c r="I67" i="6"/>
  <c r="V67" i="6"/>
  <c r="H67" i="6"/>
  <c r="L67" i="6"/>
  <c r="K67" i="6"/>
  <c r="J67" i="6"/>
  <c r="R67" i="6"/>
  <c r="P67" i="6"/>
  <c r="N67" i="6"/>
  <c r="M67" i="6"/>
  <c r="F67" i="6"/>
  <c r="E67" i="6"/>
  <c r="D67" i="6"/>
  <c r="G67" i="6"/>
  <c r="U67" i="6"/>
  <c r="T67" i="6"/>
  <c r="S67" i="6"/>
  <c r="Q67" i="6"/>
  <c r="O67" i="6"/>
  <c r="A67" i="6"/>
  <c r="X67" i="6" s="1"/>
  <c r="P57" i="6"/>
  <c r="O57" i="6"/>
  <c r="A57" i="6"/>
  <c r="X57" i="6" s="1"/>
  <c r="N57" i="6"/>
  <c r="M57" i="6"/>
  <c r="K57" i="6"/>
  <c r="I57" i="6"/>
  <c r="H57" i="6"/>
  <c r="F57" i="6"/>
  <c r="V57" i="6"/>
  <c r="E57" i="6"/>
  <c r="U57" i="6"/>
  <c r="D57" i="6"/>
  <c r="G57" i="6"/>
  <c r="T57" i="6"/>
  <c r="S57" i="6"/>
  <c r="R57" i="6"/>
  <c r="Q57" i="6"/>
  <c r="L57" i="6"/>
  <c r="J57" i="6"/>
  <c r="H22" i="7"/>
  <c r="A22" i="7"/>
  <c r="P22" i="7"/>
  <c r="Q22" i="7" s="1"/>
  <c r="E22" i="7"/>
  <c r="B22" i="7"/>
  <c r="G22" i="7"/>
  <c r="P34" i="7"/>
  <c r="J34" i="7" s="1"/>
  <c r="K34" i="7" s="1"/>
  <c r="B34" i="7"/>
  <c r="A34" i="7"/>
  <c r="H34" i="7"/>
  <c r="E34" i="7"/>
  <c r="V24" i="6"/>
  <c r="J24" i="6" s="1"/>
  <c r="D24" i="6"/>
  <c r="L24" i="6"/>
  <c r="A24" i="6"/>
  <c r="F58" i="7"/>
  <c r="E58" i="7"/>
  <c r="K58" i="7"/>
  <c r="H58" i="7"/>
  <c r="G58" i="7"/>
  <c r="P58" i="7"/>
  <c r="O58" i="7"/>
  <c r="M58" i="7"/>
  <c r="B58" i="7"/>
  <c r="A58" i="7"/>
  <c r="Q58" i="7"/>
  <c r="I58" i="7"/>
  <c r="L58" i="7"/>
  <c r="J58" i="7"/>
  <c r="L100" i="6"/>
  <c r="K100" i="6"/>
  <c r="J100" i="6"/>
  <c r="Q100" i="6"/>
  <c r="P100" i="6"/>
  <c r="O100" i="6"/>
  <c r="V100" i="6"/>
  <c r="U100" i="6"/>
  <c r="A100" i="6"/>
  <c r="X100" i="6" s="1"/>
  <c r="T100" i="6"/>
  <c r="H100" i="6"/>
  <c r="F100" i="6"/>
  <c r="D100" i="6"/>
  <c r="S100" i="6"/>
  <c r="R100" i="6"/>
  <c r="N100" i="6"/>
  <c r="I100" i="6"/>
  <c r="E100" i="6"/>
  <c r="G100" i="6"/>
  <c r="M100" i="6"/>
  <c r="Q191" i="7"/>
  <c r="P191" i="7"/>
  <c r="B191" i="7"/>
  <c r="A191" i="7"/>
  <c r="K191" i="7"/>
  <c r="I191" i="7"/>
  <c r="H191" i="7"/>
  <c r="G191" i="7"/>
  <c r="E191" i="7"/>
  <c r="M191" i="7"/>
  <c r="L191" i="7"/>
  <c r="J191" i="7"/>
  <c r="O191" i="7"/>
  <c r="F191" i="7"/>
  <c r="K192" i="6"/>
  <c r="J192" i="6"/>
  <c r="R192" i="6"/>
  <c r="Q192" i="6"/>
  <c r="A192" i="6"/>
  <c r="X192" i="6" s="1"/>
  <c r="P192" i="6"/>
  <c r="F192" i="6"/>
  <c r="D192" i="6"/>
  <c r="V192" i="6"/>
  <c r="U192" i="6"/>
  <c r="S192" i="6"/>
  <c r="N192" i="6"/>
  <c r="G192" i="6"/>
  <c r="E192" i="6"/>
  <c r="T192" i="6"/>
  <c r="O192" i="6"/>
  <c r="M192" i="6"/>
  <c r="I192" i="6"/>
  <c r="L192" i="6"/>
  <c r="H192" i="6"/>
  <c r="T157" i="6"/>
  <c r="F157" i="6"/>
  <c r="R157" i="6"/>
  <c r="Q157" i="6"/>
  <c r="P157" i="6"/>
  <c r="A157" i="6"/>
  <c r="X157" i="6" s="1"/>
  <c r="O157" i="6"/>
  <c r="N157" i="6"/>
  <c r="M157" i="6"/>
  <c r="V157" i="6"/>
  <c r="U157" i="6"/>
  <c r="S157" i="6"/>
  <c r="I157" i="6"/>
  <c r="G157" i="6"/>
  <c r="D157" i="6"/>
  <c r="L157" i="6"/>
  <c r="K157" i="6"/>
  <c r="J157" i="6"/>
  <c r="H157" i="6"/>
  <c r="E157" i="6"/>
  <c r="J117" i="6"/>
  <c r="I117" i="6"/>
  <c r="V117" i="6"/>
  <c r="H117" i="6"/>
  <c r="R117" i="6"/>
  <c r="A117" i="6"/>
  <c r="X117" i="6" s="1"/>
  <c r="Q117" i="6"/>
  <c r="P117" i="6"/>
  <c r="L117" i="6"/>
  <c r="G117" i="6"/>
  <c r="E117" i="6"/>
  <c r="U117" i="6"/>
  <c r="T117" i="6"/>
  <c r="O117" i="6"/>
  <c r="M117" i="6"/>
  <c r="F117" i="6"/>
  <c r="D117" i="6"/>
  <c r="S117" i="6"/>
  <c r="N117" i="6"/>
  <c r="K117" i="6"/>
  <c r="P87" i="7"/>
  <c r="B87" i="7"/>
  <c r="O87" i="7"/>
  <c r="A87" i="7"/>
  <c r="L87" i="7"/>
  <c r="I87" i="7"/>
  <c r="H87" i="7"/>
  <c r="G87" i="7"/>
  <c r="Q87" i="7"/>
  <c r="M87" i="7"/>
  <c r="E87" i="7"/>
  <c r="F87" i="7"/>
  <c r="K87" i="7"/>
  <c r="J87" i="7"/>
  <c r="M100" i="7"/>
  <c r="L100" i="7"/>
  <c r="K100" i="7"/>
  <c r="F100" i="7"/>
  <c r="E100" i="7"/>
  <c r="P100" i="7"/>
  <c r="O100" i="7"/>
  <c r="B100" i="7"/>
  <c r="A100" i="7"/>
  <c r="Q100" i="7"/>
  <c r="J100" i="7"/>
  <c r="G100" i="7"/>
  <c r="I100" i="7"/>
  <c r="H100" i="7"/>
  <c r="M3" i="6"/>
  <c r="M150" i="7"/>
  <c r="L150" i="7"/>
  <c r="K150" i="7"/>
  <c r="J150" i="7"/>
  <c r="I150" i="7"/>
  <c r="H150" i="7"/>
  <c r="G150" i="7"/>
  <c r="E150" i="7"/>
  <c r="B150" i="7"/>
  <c r="A150" i="7"/>
  <c r="Q150" i="7"/>
  <c r="O150" i="7"/>
  <c r="F150" i="7"/>
  <c r="P150" i="7"/>
  <c r="I38" i="6"/>
  <c r="V38" i="6"/>
  <c r="N38" i="6" s="1"/>
  <c r="D38" i="6"/>
  <c r="L38" i="6"/>
  <c r="A38" i="6"/>
  <c r="I168" i="6"/>
  <c r="V168" i="6"/>
  <c r="H168" i="6"/>
  <c r="U168" i="6"/>
  <c r="G168" i="6"/>
  <c r="Q168" i="6"/>
  <c r="P168" i="6"/>
  <c r="O168" i="6"/>
  <c r="M168" i="6"/>
  <c r="K168" i="6"/>
  <c r="A168" i="6"/>
  <c r="X168" i="6" s="1"/>
  <c r="J168" i="6"/>
  <c r="E168" i="6"/>
  <c r="T168" i="6"/>
  <c r="R168" i="6"/>
  <c r="L168" i="6"/>
  <c r="F168" i="6"/>
  <c r="D168" i="6"/>
  <c r="S168" i="6"/>
  <c r="N168" i="6"/>
  <c r="X5" i="6"/>
  <c r="L5" i="6"/>
  <c r="M89" i="7"/>
  <c r="I89" i="7"/>
  <c r="H89" i="7"/>
  <c r="G89" i="7"/>
  <c r="J89" i="7"/>
  <c r="F89" i="7"/>
  <c r="E89" i="7"/>
  <c r="B89" i="7"/>
  <c r="A89" i="7"/>
  <c r="Q89" i="7"/>
  <c r="P89" i="7"/>
  <c r="L89" i="7"/>
  <c r="K89" i="7"/>
  <c r="O89" i="7"/>
  <c r="H176" i="7"/>
  <c r="G176" i="7"/>
  <c r="F176" i="7"/>
  <c r="E176" i="7"/>
  <c r="B176" i="7"/>
  <c r="P176" i="7"/>
  <c r="O176" i="7"/>
  <c r="M176" i="7"/>
  <c r="L176" i="7"/>
  <c r="K176" i="7"/>
  <c r="Q176" i="7"/>
  <c r="J176" i="7"/>
  <c r="I176" i="7"/>
  <c r="A176" i="7"/>
  <c r="F180" i="7"/>
  <c r="E180" i="7"/>
  <c r="P180" i="7"/>
  <c r="B180" i="7"/>
  <c r="J180" i="7"/>
  <c r="I180" i="7"/>
  <c r="H180" i="7"/>
  <c r="Q180" i="7"/>
  <c r="O180" i="7"/>
  <c r="M180" i="7"/>
  <c r="L180" i="7"/>
  <c r="K180" i="7"/>
  <c r="A180" i="7"/>
  <c r="G180" i="7"/>
  <c r="R126" i="6"/>
  <c r="D126" i="6"/>
  <c r="Q126" i="6"/>
  <c r="P126" i="6"/>
  <c r="O126" i="6"/>
  <c r="N126" i="6"/>
  <c r="M126" i="6"/>
  <c r="U126" i="6"/>
  <c r="S126" i="6"/>
  <c r="K126" i="6"/>
  <c r="J126" i="6"/>
  <c r="I126" i="6"/>
  <c r="H126" i="6"/>
  <c r="T126" i="6"/>
  <c r="L126" i="6"/>
  <c r="G126" i="6"/>
  <c r="F126" i="6"/>
  <c r="E126" i="6"/>
  <c r="A126" i="6"/>
  <c r="X126" i="6" s="1"/>
  <c r="V126" i="6"/>
  <c r="P31" i="7"/>
  <c r="F31" i="7" s="1"/>
  <c r="B31" i="7"/>
  <c r="O31" i="7"/>
  <c r="A31" i="7"/>
  <c r="E31" i="7"/>
  <c r="H31" i="7"/>
  <c r="P45" i="7"/>
  <c r="Q45" i="7" s="1"/>
  <c r="B45" i="7"/>
  <c r="A45" i="7"/>
  <c r="H45" i="7"/>
  <c r="E45" i="7"/>
  <c r="T51" i="6"/>
  <c r="F51" i="6"/>
  <c r="S51" i="6"/>
  <c r="E51" i="6"/>
  <c r="R51" i="6"/>
  <c r="D51" i="6"/>
  <c r="O51" i="6"/>
  <c r="M51" i="6"/>
  <c r="K51" i="6"/>
  <c r="J51" i="6"/>
  <c r="H51" i="6"/>
  <c r="G51" i="6"/>
  <c r="I51" i="6"/>
  <c r="A51" i="6"/>
  <c r="X51" i="6" s="1"/>
  <c r="U51" i="6"/>
  <c r="Q51" i="6"/>
  <c r="P51" i="6"/>
  <c r="L51" i="6"/>
  <c r="V51" i="6"/>
  <c r="N51" i="6"/>
  <c r="L56" i="6"/>
  <c r="K56" i="6"/>
  <c r="J56" i="6"/>
  <c r="T56" i="6"/>
  <c r="R56" i="6"/>
  <c r="A56" i="6"/>
  <c r="X56" i="6" s="1"/>
  <c r="P56" i="6"/>
  <c r="O56" i="6"/>
  <c r="M56" i="6"/>
  <c r="I56" i="6"/>
  <c r="H56" i="6"/>
  <c r="N56" i="6"/>
  <c r="V56" i="6"/>
  <c r="G56" i="6"/>
  <c r="F56" i="6"/>
  <c r="E56" i="6"/>
  <c r="U56" i="6"/>
  <c r="D56" i="6"/>
  <c r="Q56" i="6"/>
  <c r="S56" i="6"/>
  <c r="J64" i="6"/>
  <c r="T64" i="6"/>
  <c r="E64" i="6"/>
  <c r="S64" i="6"/>
  <c r="D64" i="6"/>
  <c r="R64" i="6"/>
  <c r="K64" i="6"/>
  <c r="H64" i="6"/>
  <c r="F64" i="6"/>
  <c r="U64" i="6"/>
  <c r="Q64" i="6"/>
  <c r="P64" i="6"/>
  <c r="A64" i="6"/>
  <c r="X64" i="6" s="1"/>
  <c r="V64" i="6"/>
  <c r="O64" i="6"/>
  <c r="N64" i="6"/>
  <c r="M64" i="6"/>
  <c r="L64" i="6"/>
  <c r="I64" i="6"/>
  <c r="G64" i="6"/>
  <c r="P167" i="7"/>
  <c r="B167" i="7"/>
  <c r="O167" i="7"/>
  <c r="A167" i="7"/>
  <c r="M167" i="7"/>
  <c r="L167" i="7"/>
  <c r="J167" i="7"/>
  <c r="I167" i="7"/>
  <c r="H167" i="7"/>
  <c r="G167" i="7"/>
  <c r="E167" i="7"/>
  <c r="Q167" i="7"/>
  <c r="K167" i="7"/>
  <c r="F167" i="7"/>
  <c r="L162" i="6"/>
  <c r="S162" i="6"/>
  <c r="D162" i="6"/>
  <c r="R162" i="6"/>
  <c r="Q162" i="6"/>
  <c r="K162" i="6"/>
  <c r="J162" i="6"/>
  <c r="I162" i="6"/>
  <c r="V162" i="6"/>
  <c r="U162" i="6"/>
  <c r="T162" i="6"/>
  <c r="O162" i="6"/>
  <c r="M162" i="6"/>
  <c r="H162" i="6"/>
  <c r="G162" i="6"/>
  <c r="F162" i="6"/>
  <c r="A162" i="6"/>
  <c r="X162" i="6" s="1"/>
  <c r="N162" i="6"/>
  <c r="E162" i="6"/>
  <c r="P162" i="6"/>
  <c r="T102" i="6"/>
  <c r="F102" i="6"/>
  <c r="S102" i="6"/>
  <c r="E102" i="6"/>
  <c r="R102" i="6"/>
  <c r="D102" i="6"/>
  <c r="V102" i="6"/>
  <c r="U102" i="6"/>
  <c r="A102" i="6"/>
  <c r="X102" i="6" s="1"/>
  <c r="H102" i="6"/>
  <c r="Q102" i="6"/>
  <c r="P102" i="6"/>
  <c r="O102" i="6"/>
  <c r="M102" i="6"/>
  <c r="L102" i="6"/>
  <c r="J102" i="6"/>
  <c r="I102" i="6"/>
  <c r="G102" i="6"/>
  <c r="K102" i="6"/>
  <c r="N102" i="6"/>
  <c r="H40" i="7"/>
  <c r="P40" i="7"/>
  <c r="G40" i="7" s="1"/>
  <c r="A40" i="7"/>
  <c r="B40" i="7"/>
  <c r="J40" i="7"/>
  <c r="K40" i="7" s="1"/>
  <c r="E40" i="7"/>
  <c r="Q156" i="7"/>
  <c r="P156" i="7"/>
  <c r="B156" i="7"/>
  <c r="I156" i="7"/>
  <c r="H156" i="7"/>
  <c r="G156" i="7"/>
  <c r="M156" i="7"/>
  <c r="L156" i="7"/>
  <c r="J156" i="7"/>
  <c r="F156" i="7"/>
  <c r="E156" i="7"/>
  <c r="K156" i="7"/>
  <c r="O156" i="7"/>
  <c r="A156" i="7"/>
  <c r="M192" i="7"/>
  <c r="L192" i="7"/>
  <c r="J192" i="7"/>
  <c r="B192" i="7"/>
  <c r="A192" i="7"/>
  <c r="P192" i="7"/>
  <c r="K192" i="7"/>
  <c r="I192" i="7"/>
  <c r="G192" i="7"/>
  <c r="F192" i="7"/>
  <c r="E192" i="7"/>
  <c r="Q192" i="7"/>
  <c r="H192" i="7"/>
  <c r="O192" i="7"/>
  <c r="Q142" i="7"/>
  <c r="P142" i="7"/>
  <c r="B142" i="7"/>
  <c r="O142" i="7"/>
  <c r="M142" i="7"/>
  <c r="G142" i="7"/>
  <c r="F142" i="7"/>
  <c r="A142" i="7"/>
  <c r="E142" i="7"/>
  <c r="L142" i="7"/>
  <c r="K142" i="7"/>
  <c r="H142" i="7"/>
  <c r="J142" i="7"/>
  <c r="I142" i="7"/>
  <c r="R76" i="6"/>
  <c r="D76" i="6"/>
  <c r="Q76" i="6"/>
  <c r="P76" i="6"/>
  <c r="U76" i="6"/>
  <c r="A76" i="6"/>
  <c r="X76" i="6" s="1"/>
  <c r="T76" i="6"/>
  <c r="S76" i="6"/>
  <c r="V76" i="6"/>
  <c r="N76" i="6"/>
  <c r="M76" i="6"/>
  <c r="K76" i="6"/>
  <c r="J76" i="6"/>
  <c r="I76" i="6"/>
  <c r="L76" i="6"/>
  <c r="H76" i="6"/>
  <c r="O76" i="6"/>
  <c r="G76" i="6"/>
  <c r="F76" i="6"/>
  <c r="E76" i="6"/>
  <c r="P156" i="6"/>
  <c r="L156" i="6"/>
  <c r="K156" i="6"/>
  <c r="J156" i="6"/>
  <c r="U156" i="6"/>
  <c r="T156" i="6"/>
  <c r="A156" i="6"/>
  <c r="X156" i="6" s="1"/>
  <c r="S156" i="6"/>
  <c r="R156" i="6"/>
  <c r="Q156" i="6"/>
  <c r="O156" i="6"/>
  <c r="D156" i="6"/>
  <c r="V156" i="6"/>
  <c r="N156" i="6"/>
  <c r="M156" i="6"/>
  <c r="I156" i="6"/>
  <c r="G156" i="6"/>
  <c r="E156" i="6"/>
  <c r="H156" i="6"/>
  <c r="F156" i="6"/>
  <c r="L49" i="6"/>
  <c r="K49" i="6"/>
  <c r="J49" i="6"/>
  <c r="I49" i="6"/>
  <c r="G49" i="6"/>
  <c r="V49" i="6"/>
  <c r="E49" i="6"/>
  <c r="U49" i="6"/>
  <c r="D49" i="6"/>
  <c r="S49" i="6"/>
  <c r="R49" i="6"/>
  <c r="A49" i="6"/>
  <c r="X49" i="6" s="1"/>
  <c r="Q49" i="6"/>
  <c r="T49" i="6"/>
  <c r="P49" i="6"/>
  <c r="O49" i="6"/>
  <c r="N49" i="6"/>
  <c r="M49" i="6"/>
  <c r="H49" i="6"/>
  <c r="F49" i="6"/>
  <c r="F131" i="7"/>
  <c r="K131" i="7"/>
  <c r="J131" i="7"/>
  <c r="I131" i="7"/>
  <c r="M131" i="7"/>
  <c r="H131" i="7"/>
  <c r="G131" i="7"/>
  <c r="E131" i="7"/>
  <c r="B131" i="7"/>
  <c r="A131" i="7"/>
  <c r="P131" i="7"/>
  <c r="L131" i="7"/>
  <c r="Q131" i="7"/>
  <c r="O131" i="7"/>
  <c r="L140" i="7"/>
  <c r="K140" i="7"/>
  <c r="J140" i="7"/>
  <c r="Q140" i="7"/>
  <c r="P140" i="7"/>
  <c r="O140" i="7"/>
  <c r="A140" i="7"/>
  <c r="M140" i="7"/>
  <c r="E140" i="7"/>
  <c r="B140" i="7"/>
  <c r="H140" i="7"/>
  <c r="G140" i="7"/>
  <c r="I140" i="7"/>
  <c r="F140" i="7"/>
  <c r="I96" i="6"/>
  <c r="Q96" i="6"/>
  <c r="P96" i="6"/>
  <c r="A96" i="6"/>
  <c r="X96" i="6" s="1"/>
  <c r="O96" i="6"/>
  <c r="R96" i="6"/>
  <c r="N96" i="6"/>
  <c r="M96" i="6"/>
  <c r="E96" i="6"/>
  <c r="V96" i="6"/>
  <c r="U96" i="6"/>
  <c r="S96" i="6"/>
  <c r="L96" i="6"/>
  <c r="K96" i="6"/>
  <c r="T96" i="6"/>
  <c r="J96" i="6"/>
  <c r="D96" i="6"/>
  <c r="H96" i="6"/>
  <c r="G96" i="6"/>
  <c r="F96" i="6"/>
  <c r="Q48" i="7"/>
  <c r="P48" i="7"/>
  <c r="B48" i="7"/>
  <c r="L48" i="7"/>
  <c r="K48" i="7"/>
  <c r="J48" i="7"/>
  <c r="I48" i="7"/>
  <c r="A48" i="7"/>
  <c r="O48" i="7"/>
  <c r="M48" i="7"/>
  <c r="H48" i="7"/>
  <c r="G48" i="7"/>
  <c r="F48" i="7"/>
  <c r="E48" i="7"/>
  <c r="S66" i="6"/>
  <c r="E66" i="6"/>
  <c r="R66" i="6"/>
  <c r="D66" i="6"/>
  <c r="T66" i="6"/>
  <c r="Q66" i="6"/>
  <c r="A66" i="6"/>
  <c r="X66" i="6" s="1"/>
  <c r="P66" i="6"/>
  <c r="U66" i="6"/>
  <c r="N66" i="6"/>
  <c r="M66" i="6"/>
  <c r="K66" i="6"/>
  <c r="J66" i="6"/>
  <c r="I66" i="6"/>
  <c r="L66" i="6"/>
  <c r="H66" i="6"/>
  <c r="G66" i="6"/>
  <c r="F66" i="6"/>
  <c r="V66" i="6"/>
  <c r="O66" i="6"/>
  <c r="R105" i="6"/>
  <c r="D105" i="6"/>
  <c r="Q105" i="6"/>
  <c r="P105" i="6"/>
  <c r="V105" i="6"/>
  <c r="E105" i="6"/>
  <c r="U105" i="6"/>
  <c r="A105" i="6"/>
  <c r="X105" i="6" s="1"/>
  <c r="T105" i="6"/>
  <c r="N105" i="6"/>
  <c r="M105" i="6"/>
  <c r="L105" i="6"/>
  <c r="S105" i="6"/>
  <c r="K105" i="6"/>
  <c r="J105" i="6"/>
  <c r="H105" i="6"/>
  <c r="G105" i="6"/>
  <c r="F105" i="6"/>
  <c r="I105" i="6"/>
  <c r="O105" i="6"/>
  <c r="D37" i="6"/>
  <c r="V37" i="6"/>
  <c r="G37" i="6" s="1"/>
  <c r="A37" i="6"/>
  <c r="L37" i="6"/>
  <c r="J37" i="6"/>
  <c r="J179" i="7"/>
  <c r="I179" i="7"/>
  <c r="H179" i="7"/>
  <c r="F179" i="7"/>
  <c r="G179" i="7"/>
  <c r="E179" i="7"/>
  <c r="P179" i="7"/>
  <c r="M179" i="7"/>
  <c r="L179" i="7"/>
  <c r="B179" i="7"/>
  <c r="A179" i="7"/>
  <c r="Q179" i="7"/>
  <c r="O179" i="7"/>
  <c r="K179" i="7"/>
  <c r="O173" i="6"/>
  <c r="A173" i="6"/>
  <c r="X173" i="6" s="1"/>
  <c r="N173" i="6"/>
  <c r="M173" i="6"/>
  <c r="V173" i="6"/>
  <c r="E173" i="6"/>
  <c r="U173" i="6"/>
  <c r="D173" i="6"/>
  <c r="T173" i="6"/>
  <c r="H173" i="6"/>
  <c r="F173" i="6"/>
  <c r="R173" i="6"/>
  <c r="Q173" i="6"/>
  <c r="P173" i="6"/>
  <c r="L173" i="6"/>
  <c r="K173" i="6"/>
  <c r="J173" i="6"/>
  <c r="S173" i="6"/>
  <c r="I173" i="6"/>
  <c r="G173" i="6"/>
  <c r="K86" i="6"/>
  <c r="P86" i="6"/>
  <c r="A86" i="6"/>
  <c r="X86" i="6" s="1"/>
  <c r="O86" i="6"/>
  <c r="N86" i="6"/>
  <c r="G86" i="6"/>
  <c r="F86" i="6"/>
  <c r="E86" i="6"/>
  <c r="V86" i="6"/>
  <c r="T86" i="6"/>
  <c r="R86" i="6"/>
  <c r="Q86" i="6"/>
  <c r="L86" i="6"/>
  <c r="J86" i="6"/>
  <c r="I86" i="6"/>
  <c r="M86" i="6"/>
  <c r="H86" i="6"/>
  <c r="U86" i="6"/>
  <c r="S86" i="6"/>
  <c r="D86" i="6"/>
  <c r="K93" i="6"/>
  <c r="N93" i="6"/>
  <c r="M93" i="6"/>
  <c r="L93" i="6"/>
  <c r="J93" i="6"/>
  <c r="I93" i="6"/>
  <c r="H93" i="6"/>
  <c r="V93" i="6"/>
  <c r="A93" i="6"/>
  <c r="X93" i="6" s="1"/>
  <c r="T93" i="6"/>
  <c r="S93" i="6"/>
  <c r="Q93" i="6"/>
  <c r="P93" i="6"/>
  <c r="O93" i="6"/>
  <c r="R93" i="6"/>
  <c r="G93" i="6"/>
  <c r="F93" i="6"/>
  <c r="E93" i="6"/>
  <c r="U93" i="6"/>
  <c r="D93" i="6"/>
  <c r="P27" i="7"/>
  <c r="O27" i="7" s="1"/>
  <c r="B27" i="7"/>
  <c r="E27" i="7"/>
  <c r="A27" i="7"/>
  <c r="H27" i="7"/>
  <c r="M84" i="7"/>
  <c r="L84" i="7"/>
  <c r="O84" i="7"/>
  <c r="J84" i="7"/>
  <c r="I84" i="7"/>
  <c r="H84" i="7"/>
  <c r="B84" i="7"/>
  <c r="A84" i="7"/>
  <c r="K84" i="7"/>
  <c r="G84" i="7"/>
  <c r="P84" i="7"/>
  <c r="E84" i="7"/>
  <c r="Q84" i="7"/>
  <c r="F84" i="7"/>
  <c r="O110" i="7"/>
  <c r="A110" i="7"/>
  <c r="M110" i="7"/>
  <c r="B110" i="7"/>
  <c r="L110" i="7"/>
  <c r="K110" i="7"/>
  <c r="E110" i="7"/>
  <c r="P110" i="7"/>
  <c r="J110" i="7"/>
  <c r="G110" i="7"/>
  <c r="Q110" i="7"/>
  <c r="I110" i="7"/>
  <c r="H110" i="7"/>
  <c r="F110" i="7"/>
  <c r="O80" i="6"/>
  <c r="A80" i="6"/>
  <c r="X80" i="6" s="1"/>
  <c r="I80" i="6"/>
  <c r="H80" i="6"/>
  <c r="V80" i="6"/>
  <c r="G80" i="6"/>
  <c r="Q80" i="6"/>
  <c r="P80" i="6"/>
  <c r="N80" i="6"/>
  <c r="U80" i="6"/>
  <c r="S80" i="6"/>
  <c r="M80" i="6"/>
  <c r="L80" i="6"/>
  <c r="J80" i="6"/>
  <c r="F80" i="6"/>
  <c r="E80" i="6"/>
  <c r="K80" i="6"/>
  <c r="D80" i="6"/>
  <c r="R80" i="6"/>
  <c r="T80" i="6"/>
  <c r="Q83" i="7"/>
  <c r="P83" i="7"/>
  <c r="B83" i="7"/>
  <c r="K83" i="7"/>
  <c r="J83" i="7"/>
  <c r="I83" i="7"/>
  <c r="O83" i="7"/>
  <c r="G83" i="7"/>
  <c r="F83" i="7"/>
  <c r="E83" i="7"/>
  <c r="M83" i="7"/>
  <c r="L83" i="7"/>
  <c r="H83" i="7"/>
  <c r="A83" i="7"/>
  <c r="R54" i="6"/>
  <c r="D54" i="6"/>
  <c r="Q54" i="6"/>
  <c r="P54" i="6"/>
  <c r="N54" i="6"/>
  <c r="L54" i="6"/>
  <c r="J54" i="6"/>
  <c r="I54" i="6"/>
  <c r="G54" i="6"/>
  <c r="F54" i="6"/>
  <c r="V54" i="6"/>
  <c r="E54" i="6"/>
  <c r="H54" i="6"/>
  <c r="A54" i="6"/>
  <c r="X54" i="6" s="1"/>
  <c r="K54" i="6"/>
  <c r="U54" i="6"/>
  <c r="S54" i="6"/>
  <c r="T54" i="6"/>
  <c r="O54" i="6"/>
  <c r="M54" i="6"/>
  <c r="J158" i="6"/>
  <c r="I158" i="6"/>
  <c r="H158" i="6"/>
  <c r="V158" i="6"/>
  <c r="G158" i="6"/>
  <c r="M158" i="6"/>
  <c r="L158" i="6"/>
  <c r="K158" i="6"/>
  <c r="U158" i="6"/>
  <c r="S158" i="6"/>
  <c r="R158" i="6"/>
  <c r="Q158" i="6"/>
  <c r="T158" i="6"/>
  <c r="O158" i="6"/>
  <c r="F158" i="6"/>
  <c r="D158" i="6"/>
  <c r="A158" i="6"/>
  <c r="X158" i="6" s="1"/>
  <c r="P158" i="6"/>
  <c r="N158" i="6"/>
  <c r="E158" i="6"/>
  <c r="H183" i="7"/>
  <c r="G183" i="7"/>
  <c r="F183" i="7"/>
  <c r="M183" i="7"/>
  <c r="L183" i="7"/>
  <c r="K183" i="7"/>
  <c r="Q183" i="7"/>
  <c r="J183" i="7"/>
  <c r="E183" i="7"/>
  <c r="B183" i="7"/>
  <c r="A183" i="7"/>
  <c r="P183" i="7"/>
  <c r="O183" i="7"/>
  <c r="I183" i="7"/>
  <c r="J193" i="7"/>
  <c r="I193" i="7"/>
  <c r="H193" i="7"/>
  <c r="F193" i="7"/>
  <c r="B193" i="7"/>
  <c r="A193" i="7"/>
  <c r="Q193" i="7"/>
  <c r="P193" i="7"/>
  <c r="O193" i="7"/>
  <c r="M193" i="7"/>
  <c r="L193" i="7"/>
  <c r="K193" i="7"/>
  <c r="G193" i="7"/>
  <c r="E193" i="7"/>
  <c r="M157" i="7"/>
  <c r="L157" i="7"/>
  <c r="H157" i="7"/>
  <c r="G157" i="7"/>
  <c r="F157" i="7"/>
  <c r="Q157" i="7"/>
  <c r="P157" i="7"/>
  <c r="K157" i="7"/>
  <c r="J157" i="7"/>
  <c r="E157" i="7"/>
  <c r="O157" i="7"/>
  <c r="I157" i="7"/>
  <c r="B157" i="7"/>
  <c r="A157" i="7"/>
  <c r="L46" i="6"/>
  <c r="V46" i="6"/>
  <c r="E46" i="6" s="1"/>
  <c r="A46" i="6"/>
  <c r="D46" i="6"/>
  <c r="N3" i="6"/>
  <c r="O187" i="6"/>
  <c r="A187" i="6"/>
  <c r="X187" i="6" s="1"/>
  <c r="N187" i="6"/>
  <c r="M187" i="6"/>
  <c r="I187" i="6"/>
  <c r="G187" i="6"/>
  <c r="F187" i="6"/>
  <c r="V187" i="6"/>
  <c r="E187" i="6"/>
  <c r="Q187" i="6"/>
  <c r="P187" i="6"/>
  <c r="L187" i="6"/>
  <c r="S187" i="6"/>
  <c r="K187" i="6"/>
  <c r="J187" i="6"/>
  <c r="H187" i="6"/>
  <c r="R187" i="6"/>
  <c r="U187" i="6"/>
  <c r="T187" i="6"/>
  <c r="D187" i="6"/>
  <c r="L60" i="7"/>
  <c r="K60" i="7"/>
  <c r="J60" i="7"/>
  <c r="H60" i="7"/>
  <c r="E60" i="7"/>
  <c r="F60" i="7"/>
  <c r="B60" i="7"/>
  <c r="A60" i="7"/>
  <c r="Q60" i="7"/>
  <c r="P60" i="7"/>
  <c r="O60" i="7"/>
  <c r="M60" i="7"/>
  <c r="G60" i="7"/>
  <c r="I60" i="7"/>
  <c r="E19" i="7"/>
  <c r="P19" i="7"/>
  <c r="G19" i="7" s="1"/>
  <c r="H19" i="7"/>
  <c r="A19" i="7"/>
  <c r="B19" i="7"/>
  <c r="H61" i="7"/>
  <c r="G61" i="7"/>
  <c r="F61" i="7"/>
  <c r="J61" i="7"/>
  <c r="B61" i="7"/>
  <c r="M61" i="7"/>
  <c r="L61" i="7"/>
  <c r="K61" i="7"/>
  <c r="I61" i="7"/>
  <c r="P61" i="7"/>
  <c r="O61" i="7"/>
  <c r="Q61" i="7"/>
  <c r="E61" i="7"/>
  <c r="A61" i="7"/>
  <c r="H5" i="6"/>
  <c r="P5" i="6"/>
  <c r="Q5" i="6" s="1"/>
  <c r="L126" i="7"/>
  <c r="E126" i="7"/>
  <c r="F126" i="7"/>
  <c r="B126" i="7"/>
  <c r="Q126" i="7"/>
  <c r="P126" i="7"/>
  <c r="G126" i="7"/>
  <c r="A126" i="7"/>
  <c r="O126" i="7"/>
  <c r="M126" i="7"/>
  <c r="K126" i="7"/>
  <c r="J126" i="7"/>
  <c r="I126" i="7"/>
  <c r="H126" i="7"/>
  <c r="P149" i="6"/>
  <c r="O149" i="6"/>
  <c r="A149" i="6"/>
  <c r="X149" i="6" s="1"/>
  <c r="N149" i="6"/>
  <c r="S149" i="6"/>
  <c r="R149" i="6"/>
  <c r="Q149" i="6"/>
  <c r="V149" i="6"/>
  <c r="T149" i="6"/>
  <c r="M149" i="6"/>
  <c r="L149" i="6"/>
  <c r="D149" i="6"/>
  <c r="U149" i="6"/>
  <c r="K149" i="6"/>
  <c r="J149" i="6"/>
  <c r="I149" i="6"/>
  <c r="H149" i="6"/>
  <c r="G149" i="6"/>
  <c r="F149" i="6"/>
  <c r="E149" i="6"/>
  <c r="A8" i="6"/>
  <c r="V8" i="6"/>
  <c r="O8" i="6" s="1"/>
  <c r="D8" i="6"/>
  <c r="L8" i="6"/>
  <c r="N152" i="6"/>
  <c r="R152" i="6"/>
  <c r="Q152" i="6"/>
  <c r="P152" i="6"/>
  <c r="A152" i="6"/>
  <c r="X152" i="6" s="1"/>
  <c r="V152" i="6"/>
  <c r="D152" i="6"/>
  <c r="U152" i="6"/>
  <c r="T152" i="6"/>
  <c r="O152" i="6"/>
  <c r="M152" i="6"/>
  <c r="L152" i="6"/>
  <c r="S152" i="6"/>
  <c r="J152" i="6"/>
  <c r="I152" i="6"/>
  <c r="H152" i="6"/>
  <c r="G152" i="6"/>
  <c r="K152" i="6"/>
  <c r="F152" i="6"/>
  <c r="E152" i="6"/>
  <c r="F79" i="7"/>
  <c r="E79" i="7"/>
  <c r="P79" i="7"/>
  <c r="M79" i="7"/>
  <c r="L79" i="7"/>
  <c r="K79" i="7"/>
  <c r="Q79" i="7"/>
  <c r="O79" i="7"/>
  <c r="G79" i="7"/>
  <c r="B79" i="7"/>
  <c r="H79" i="7"/>
  <c r="A79" i="7"/>
  <c r="J79" i="7"/>
  <c r="I79" i="7"/>
  <c r="R112" i="6"/>
  <c r="D112" i="6"/>
  <c r="Q112" i="6"/>
  <c r="P112" i="6"/>
  <c r="M112" i="6"/>
  <c r="L112" i="6"/>
  <c r="K112" i="6"/>
  <c r="T112" i="6"/>
  <c r="O112" i="6"/>
  <c r="J112" i="6"/>
  <c r="G112" i="6"/>
  <c r="F112" i="6"/>
  <c r="E112" i="6"/>
  <c r="N112" i="6"/>
  <c r="H112" i="6"/>
  <c r="I112" i="6"/>
  <c r="A112" i="6"/>
  <c r="X112" i="6" s="1"/>
  <c r="V112" i="6"/>
  <c r="U112" i="6"/>
  <c r="S112" i="6"/>
  <c r="K121" i="7"/>
  <c r="J121" i="7"/>
  <c r="I121" i="7"/>
  <c r="B121" i="7"/>
  <c r="A121" i="7"/>
  <c r="Q121" i="7"/>
  <c r="P121" i="7"/>
  <c r="M121" i="7"/>
  <c r="L121" i="7"/>
  <c r="O121" i="7"/>
  <c r="G121" i="7"/>
  <c r="F121" i="7"/>
  <c r="E121" i="7"/>
  <c r="H121" i="7"/>
  <c r="V127" i="6"/>
  <c r="H127" i="6"/>
  <c r="U127" i="6"/>
  <c r="G127" i="6"/>
  <c r="T127" i="6"/>
  <c r="F127" i="6"/>
  <c r="K127" i="6"/>
  <c r="J127" i="6"/>
  <c r="I127" i="6"/>
  <c r="S127" i="6"/>
  <c r="Q127" i="6"/>
  <c r="O127" i="6"/>
  <c r="M127" i="6"/>
  <c r="L127" i="6"/>
  <c r="E127" i="6"/>
  <c r="D127" i="6"/>
  <c r="A127" i="6"/>
  <c r="X127" i="6" s="1"/>
  <c r="R127" i="6"/>
  <c r="P127" i="6"/>
  <c r="N127" i="6"/>
  <c r="P153" i="7"/>
  <c r="B153" i="7"/>
  <c r="O153" i="7"/>
  <c r="A153" i="7"/>
  <c r="J153" i="7"/>
  <c r="I153" i="7"/>
  <c r="H153" i="7"/>
  <c r="Q153" i="7"/>
  <c r="L153" i="7"/>
  <c r="K153" i="7"/>
  <c r="G153" i="7"/>
  <c r="M153" i="7"/>
  <c r="F153" i="7"/>
  <c r="E153" i="7"/>
  <c r="Q184" i="6"/>
  <c r="P184" i="6"/>
  <c r="O184" i="6"/>
  <c r="A184" i="6"/>
  <c r="X184" i="6" s="1"/>
  <c r="J184" i="6"/>
  <c r="H184" i="6"/>
  <c r="G184" i="6"/>
  <c r="F184" i="6"/>
  <c r="U184" i="6"/>
  <c r="M184" i="6"/>
  <c r="L184" i="6"/>
  <c r="K184" i="6"/>
  <c r="N184" i="6"/>
  <c r="E184" i="6"/>
  <c r="D184" i="6"/>
  <c r="V184" i="6"/>
  <c r="S184" i="6"/>
  <c r="I184" i="6"/>
  <c r="T184" i="6"/>
  <c r="R184" i="6"/>
  <c r="H8" i="7"/>
  <c r="E8" i="7"/>
  <c r="P8" i="7"/>
  <c r="Q8" i="7" s="1"/>
  <c r="A8" i="7"/>
  <c r="B8" i="7"/>
  <c r="J97" i="7"/>
  <c r="I97" i="7"/>
  <c r="K97" i="7"/>
  <c r="H97" i="7"/>
  <c r="G97" i="7"/>
  <c r="L97" i="7"/>
  <c r="B97" i="7"/>
  <c r="O97" i="7"/>
  <c r="M97" i="7"/>
  <c r="Q97" i="7"/>
  <c r="E97" i="7"/>
  <c r="A97" i="7"/>
  <c r="P97" i="7"/>
  <c r="F97" i="7"/>
  <c r="M97" i="6"/>
  <c r="H97" i="6"/>
  <c r="V97" i="6"/>
  <c r="G97" i="6"/>
  <c r="U97" i="6"/>
  <c r="F97" i="6"/>
  <c r="L97" i="6"/>
  <c r="K97" i="6"/>
  <c r="J97" i="6"/>
  <c r="A97" i="6"/>
  <c r="X97" i="6" s="1"/>
  <c r="T97" i="6"/>
  <c r="S97" i="6"/>
  <c r="Q97" i="6"/>
  <c r="P97" i="6"/>
  <c r="O97" i="6"/>
  <c r="R97" i="6"/>
  <c r="N97" i="6"/>
  <c r="I97" i="6"/>
  <c r="E97" i="6"/>
  <c r="D97" i="6"/>
  <c r="L32" i="6"/>
  <c r="D32" i="6"/>
  <c r="A32" i="6"/>
  <c r="V32" i="6"/>
  <c r="U32" i="6" s="1"/>
  <c r="L121" i="6"/>
  <c r="K121" i="6"/>
  <c r="J121" i="6"/>
  <c r="M121" i="6"/>
  <c r="I121" i="6"/>
  <c r="H121" i="6"/>
  <c r="E121" i="6"/>
  <c r="U121" i="6"/>
  <c r="A121" i="6"/>
  <c r="X121" i="6" s="1"/>
  <c r="S121" i="6"/>
  <c r="R121" i="6"/>
  <c r="Q121" i="6"/>
  <c r="P121" i="6"/>
  <c r="N121" i="6"/>
  <c r="F121" i="6"/>
  <c r="T121" i="6"/>
  <c r="O121" i="6"/>
  <c r="G121" i="6"/>
  <c r="D121" i="6"/>
  <c r="V121" i="6"/>
  <c r="L128" i="6"/>
  <c r="K128" i="6"/>
  <c r="J128" i="6"/>
  <c r="U128" i="6"/>
  <c r="D128" i="6"/>
  <c r="T128" i="6"/>
  <c r="S128" i="6"/>
  <c r="R128" i="6"/>
  <c r="P128" i="6"/>
  <c r="N128" i="6"/>
  <c r="I128" i="6"/>
  <c r="H128" i="6"/>
  <c r="G128" i="6"/>
  <c r="F128" i="6"/>
  <c r="V128" i="6"/>
  <c r="O128" i="6"/>
  <c r="M128" i="6"/>
  <c r="E128" i="6"/>
  <c r="A128" i="6"/>
  <c r="X128" i="6" s="1"/>
  <c r="Q128" i="6"/>
  <c r="P174" i="7"/>
  <c r="B174" i="7"/>
  <c r="O174" i="7"/>
  <c r="A174" i="7"/>
  <c r="L174" i="7"/>
  <c r="E174" i="7"/>
  <c r="G174" i="7"/>
  <c r="F174" i="7"/>
  <c r="K174" i="7"/>
  <c r="H174" i="7"/>
  <c r="Q174" i="7"/>
  <c r="I174" i="7"/>
  <c r="J174" i="7"/>
  <c r="M174" i="7"/>
  <c r="G105" i="7"/>
  <c r="F105" i="7"/>
  <c r="E105" i="7"/>
  <c r="B105" i="7"/>
  <c r="A105" i="7"/>
  <c r="Q105" i="7"/>
  <c r="M105" i="7"/>
  <c r="L105" i="7"/>
  <c r="P105" i="7"/>
  <c r="O105" i="7"/>
  <c r="K105" i="7"/>
  <c r="J105" i="7"/>
  <c r="I105" i="7"/>
  <c r="H105" i="7"/>
  <c r="H197" i="7"/>
  <c r="G197" i="7"/>
  <c r="F197" i="7"/>
  <c r="I197" i="7"/>
  <c r="E197" i="7"/>
  <c r="Q197" i="7"/>
  <c r="P197" i="7"/>
  <c r="O197" i="7"/>
  <c r="M197" i="7"/>
  <c r="L197" i="7"/>
  <c r="K197" i="7"/>
  <c r="B197" i="7"/>
  <c r="A197" i="7"/>
  <c r="J197" i="7"/>
  <c r="Q91" i="6"/>
  <c r="P91" i="6"/>
  <c r="A91" i="6"/>
  <c r="X91" i="6" s="1"/>
  <c r="O91" i="6"/>
  <c r="N91" i="6"/>
  <c r="V91" i="6"/>
  <c r="D91" i="6"/>
  <c r="U91" i="6"/>
  <c r="T91" i="6"/>
  <c r="E91" i="6"/>
  <c r="S91" i="6"/>
  <c r="R91" i="6"/>
  <c r="L91" i="6"/>
  <c r="K91" i="6"/>
  <c r="J91" i="6"/>
  <c r="M91" i="6"/>
  <c r="I91" i="6"/>
  <c r="H91" i="6"/>
  <c r="G91" i="6"/>
  <c r="F91" i="6"/>
  <c r="H13" i="7"/>
  <c r="B13" i="7"/>
  <c r="P13" i="7"/>
  <c r="O13" i="7" s="1"/>
  <c r="E13" i="7"/>
  <c r="A13" i="7"/>
  <c r="M107" i="7"/>
  <c r="L107" i="7"/>
  <c r="K107" i="7"/>
  <c r="B107" i="7"/>
  <c r="G107" i="7"/>
  <c r="A107" i="7"/>
  <c r="Q107" i="7"/>
  <c r="J107" i="7"/>
  <c r="I107" i="7"/>
  <c r="H107" i="7"/>
  <c r="E107" i="7"/>
  <c r="F107" i="7"/>
  <c r="P107" i="7"/>
  <c r="O107" i="7"/>
  <c r="P181" i="7"/>
  <c r="B181" i="7"/>
  <c r="O181" i="7"/>
  <c r="A181" i="7"/>
  <c r="L181" i="7"/>
  <c r="J181" i="7"/>
  <c r="I181" i="7"/>
  <c r="H181" i="7"/>
  <c r="E181" i="7"/>
  <c r="Q181" i="7"/>
  <c r="G181" i="7"/>
  <c r="M181" i="7"/>
  <c r="K181" i="7"/>
  <c r="F181" i="7"/>
  <c r="L74" i="7"/>
  <c r="K74" i="7"/>
  <c r="J74" i="7"/>
  <c r="B74" i="7"/>
  <c r="P74" i="7"/>
  <c r="O74" i="7"/>
  <c r="Q74" i="7"/>
  <c r="M74" i="7"/>
  <c r="F74" i="7"/>
  <c r="E74" i="7"/>
  <c r="I74" i="7"/>
  <c r="G74" i="7"/>
  <c r="A74" i="7"/>
  <c r="H74" i="7"/>
  <c r="P92" i="7"/>
  <c r="B92" i="7"/>
  <c r="O92" i="7"/>
  <c r="A92" i="7"/>
  <c r="M92" i="7"/>
  <c r="L92" i="7"/>
  <c r="H92" i="7"/>
  <c r="G92" i="7"/>
  <c r="F92" i="7"/>
  <c r="E92" i="7"/>
  <c r="Q92" i="7"/>
  <c r="J92" i="7"/>
  <c r="K92" i="7"/>
  <c r="I92" i="7"/>
  <c r="J74" i="6"/>
  <c r="I74" i="6"/>
  <c r="V74" i="6"/>
  <c r="H74" i="6"/>
  <c r="O74" i="6"/>
  <c r="N74" i="6"/>
  <c r="M74" i="6"/>
  <c r="U74" i="6"/>
  <c r="A74" i="6"/>
  <c r="X74" i="6" s="1"/>
  <c r="S74" i="6"/>
  <c r="R74" i="6"/>
  <c r="P74" i="6"/>
  <c r="L74" i="6"/>
  <c r="K74" i="6"/>
  <c r="Q74" i="6"/>
  <c r="G74" i="6"/>
  <c r="T74" i="6"/>
  <c r="F74" i="6"/>
  <c r="E74" i="6"/>
  <c r="D74" i="6"/>
  <c r="L114" i="6"/>
  <c r="K114" i="6"/>
  <c r="J114" i="6"/>
  <c r="S114" i="6"/>
  <c r="R114" i="6"/>
  <c r="A114" i="6"/>
  <c r="X114" i="6" s="1"/>
  <c r="Q114" i="6"/>
  <c r="O114" i="6"/>
  <c r="M114" i="6"/>
  <c r="H114" i="6"/>
  <c r="E114" i="6"/>
  <c r="D114" i="6"/>
  <c r="F114" i="6"/>
  <c r="V114" i="6"/>
  <c r="U114" i="6"/>
  <c r="T114" i="6"/>
  <c r="G114" i="6"/>
  <c r="P114" i="6"/>
  <c r="I114" i="6"/>
  <c r="N114" i="6"/>
  <c r="O166" i="6"/>
  <c r="A166" i="6"/>
  <c r="X166" i="6" s="1"/>
  <c r="N166" i="6"/>
  <c r="M166" i="6"/>
  <c r="K166" i="6"/>
  <c r="J166" i="6"/>
  <c r="I166" i="6"/>
  <c r="E166" i="6"/>
  <c r="D166" i="6"/>
  <c r="R166" i="6"/>
  <c r="P166" i="6"/>
  <c r="L166" i="6"/>
  <c r="H166" i="6"/>
  <c r="Q166" i="6"/>
  <c r="F166" i="6"/>
  <c r="V166" i="6"/>
  <c r="U166" i="6"/>
  <c r="T166" i="6"/>
  <c r="S166" i="6"/>
  <c r="G166" i="6"/>
  <c r="V161" i="6"/>
  <c r="H161" i="6"/>
  <c r="M161" i="6"/>
  <c r="L161" i="6"/>
  <c r="K161" i="6"/>
  <c r="Q161" i="6"/>
  <c r="P161" i="6"/>
  <c r="O161" i="6"/>
  <c r="U161" i="6"/>
  <c r="T161" i="6"/>
  <c r="S161" i="6"/>
  <c r="N161" i="6"/>
  <c r="I161" i="6"/>
  <c r="F161" i="6"/>
  <c r="D161" i="6"/>
  <c r="A161" i="6"/>
  <c r="X161" i="6" s="1"/>
  <c r="R161" i="6"/>
  <c r="J161" i="6"/>
  <c r="G161" i="6"/>
  <c r="E161" i="6"/>
  <c r="O3" i="6"/>
  <c r="O87" i="6"/>
  <c r="A87" i="6"/>
  <c r="X87" i="6" s="1"/>
  <c r="V87" i="6"/>
  <c r="G87" i="6"/>
  <c r="U87" i="6"/>
  <c r="F87" i="6"/>
  <c r="T87" i="6"/>
  <c r="E87" i="6"/>
  <c r="S87" i="6"/>
  <c r="R87" i="6"/>
  <c r="P87" i="6"/>
  <c r="N87" i="6"/>
  <c r="L87" i="6"/>
  <c r="K87" i="6"/>
  <c r="J87" i="6"/>
  <c r="M87" i="6"/>
  <c r="I87" i="6"/>
  <c r="H87" i="6"/>
  <c r="D87" i="6"/>
  <c r="Q87" i="6"/>
  <c r="M63" i="7"/>
  <c r="L63" i="7"/>
  <c r="H63" i="7"/>
  <c r="E63" i="7"/>
  <c r="A63" i="7"/>
  <c r="K63" i="7"/>
  <c r="J63" i="7"/>
  <c r="F63" i="7"/>
  <c r="Q63" i="7"/>
  <c r="P63" i="7"/>
  <c r="O63" i="7"/>
  <c r="I63" i="7"/>
  <c r="G63" i="7"/>
  <c r="B63" i="7"/>
  <c r="I125" i="7"/>
  <c r="H125" i="7"/>
  <c r="G125" i="7"/>
  <c r="A125" i="7"/>
  <c r="Q125" i="7"/>
  <c r="P125" i="7"/>
  <c r="O125" i="7"/>
  <c r="K125" i="7"/>
  <c r="E125" i="7"/>
  <c r="B125" i="7"/>
  <c r="L125" i="7"/>
  <c r="J125" i="7"/>
  <c r="F125" i="7"/>
  <c r="M125" i="7"/>
  <c r="J144" i="6"/>
  <c r="I144" i="6"/>
  <c r="V144" i="6"/>
  <c r="H144" i="6"/>
  <c r="N144" i="6"/>
  <c r="M144" i="6"/>
  <c r="L144" i="6"/>
  <c r="D144" i="6"/>
  <c r="U144" i="6"/>
  <c r="A144" i="6"/>
  <c r="X144" i="6" s="1"/>
  <c r="T144" i="6"/>
  <c r="R144" i="6"/>
  <c r="P144" i="6"/>
  <c r="K144" i="6"/>
  <c r="G144" i="6"/>
  <c r="F144" i="6"/>
  <c r="E144" i="6"/>
  <c r="Q144" i="6"/>
  <c r="O144" i="6"/>
  <c r="S144" i="6"/>
  <c r="I5" i="6"/>
  <c r="J57" i="7"/>
  <c r="I57" i="7"/>
  <c r="H57" i="7"/>
  <c r="L57" i="7"/>
  <c r="F57" i="7"/>
  <c r="E57" i="7"/>
  <c r="M57" i="7"/>
  <c r="K57" i="7"/>
  <c r="G57" i="7"/>
  <c r="Q57" i="7"/>
  <c r="B57" i="7"/>
  <c r="A57" i="7"/>
  <c r="P57" i="7"/>
  <c r="O57" i="7"/>
  <c r="J5" i="7"/>
  <c r="M56" i="7"/>
  <c r="L56" i="7"/>
  <c r="K56" i="7"/>
  <c r="H56" i="7"/>
  <c r="G56" i="7"/>
  <c r="F56" i="7"/>
  <c r="B56" i="7"/>
  <c r="A56" i="7"/>
  <c r="Q56" i="7"/>
  <c r="P56" i="7"/>
  <c r="O56" i="7"/>
  <c r="J56" i="7"/>
  <c r="I56" i="7"/>
  <c r="E56" i="7"/>
  <c r="T58" i="6"/>
  <c r="F58" i="6"/>
  <c r="S58" i="6"/>
  <c r="E58" i="6"/>
  <c r="R58" i="6"/>
  <c r="D58" i="6"/>
  <c r="I58" i="6"/>
  <c r="G58" i="6"/>
  <c r="V58" i="6"/>
  <c r="U58" i="6"/>
  <c r="A58" i="6"/>
  <c r="X58" i="6" s="1"/>
  <c r="P58" i="6"/>
  <c r="O58" i="6"/>
  <c r="N58" i="6"/>
  <c r="Q58" i="6"/>
  <c r="M58" i="6"/>
  <c r="L58" i="6"/>
  <c r="K58" i="6"/>
  <c r="J58" i="6"/>
  <c r="H58" i="6"/>
  <c r="P142" i="6"/>
  <c r="O142" i="6"/>
  <c r="A142" i="6"/>
  <c r="X142" i="6" s="1"/>
  <c r="N142" i="6"/>
  <c r="H142" i="6"/>
  <c r="G142" i="6"/>
  <c r="F142" i="6"/>
  <c r="I142" i="6"/>
  <c r="D142" i="6"/>
  <c r="V142" i="6"/>
  <c r="K142" i="6"/>
  <c r="E142" i="6"/>
  <c r="U142" i="6"/>
  <c r="T142" i="6"/>
  <c r="S142" i="6"/>
  <c r="Q142" i="6"/>
  <c r="L142" i="6"/>
  <c r="R142" i="6"/>
  <c r="M142" i="6"/>
  <c r="J142" i="6"/>
  <c r="M124" i="7"/>
  <c r="L124" i="7"/>
  <c r="K124" i="7"/>
  <c r="B124" i="7"/>
  <c r="A124" i="7"/>
  <c r="Q124" i="7"/>
  <c r="J124" i="7"/>
  <c r="I124" i="7"/>
  <c r="H124" i="7"/>
  <c r="P124" i="7"/>
  <c r="O124" i="7"/>
  <c r="E124" i="7"/>
  <c r="G124" i="7"/>
  <c r="F124" i="7"/>
  <c r="F159" i="7"/>
  <c r="E159" i="7"/>
  <c r="H159" i="7"/>
  <c r="G159" i="7"/>
  <c r="A159" i="7"/>
  <c r="Q159" i="7"/>
  <c r="P159" i="7"/>
  <c r="O159" i="7"/>
  <c r="M159" i="7"/>
  <c r="B159" i="7"/>
  <c r="I159" i="7"/>
  <c r="K159" i="7"/>
  <c r="J159" i="7"/>
  <c r="L159" i="7"/>
  <c r="L168" i="7"/>
  <c r="K168" i="7"/>
  <c r="J168" i="7"/>
  <c r="B168" i="7"/>
  <c r="A168" i="7"/>
  <c r="Q168" i="7"/>
  <c r="P168" i="7"/>
  <c r="M168" i="7"/>
  <c r="I168" i="7"/>
  <c r="F168" i="7"/>
  <c r="E168" i="7"/>
  <c r="H168" i="7"/>
  <c r="G168" i="7"/>
  <c r="O168" i="7"/>
  <c r="R61" i="6"/>
  <c r="D61" i="6"/>
  <c r="Q61" i="6"/>
  <c r="P61" i="6"/>
  <c r="H61" i="6"/>
  <c r="F61" i="6"/>
  <c r="U61" i="6"/>
  <c r="A61" i="6"/>
  <c r="X61" i="6" s="1"/>
  <c r="T61" i="6"/>
  <c r="O61" i="6"/>
  <c r="N61" i="6"/>
  <c r="M61" i="6"/>
  <c r="S61" i="6"/>
  <c r="L61" i="6"/>
  <c r="K61" i="6"/>
  <c r="J61" i="6"/>
  <c r="E61" i="6"/>
  <c r="V61" i="6"/>
  <c r="G61" i="6"/>
  <c r="I61" i="6"/>
  <c r="Q163" i="6"/>
  <c r="P163" i="6"/>
  <c r="O163" i="6"/>
  <c r="A163" i="6"/>
  <c r="X163" i="6" s="1"/>
  <c r="L163" i="6"/>
  <c r="K163" i="6"/>
  <c r="J163" i="6"/>
  <c r="H163" i="6"/>
  <c r="G163" i="6"/>
  <c r="F163" i="6"/>
  <c r="V163" i="6"/>
  <c r="E163" i="6"/>
  <c r="U163" i="6"/>
  <c r="T163" i="6"/>
  <c r="S163" i="6"/>
  <c r="R163" i="6"/>
  <c r="N163" i="6"/>
  <c r="M163" i="6"/>
  <c r="I163" i="6"/>
  <c r="D163" i="6"/>
  <c r="H94" i="7"/>
  <c r="G94" i="7"/>
  <c r="P94" i="7"/>
  <c r="O94" i="7"/>
  <c r="E94" i="7"/>
  <c r="B94" i="7"/>
  <c r="A94" i="7"/>
  <c r="L94" i="7"/>
  <c r="K94" i="7"/>
  <c r="J94" i="7"/>
  <c r="I94" i="7"/>
  <c r="F94" i="7"/>
  <c r="Q94" i="7"/>
  <c r="M94" i="7"/>
  <c r="L199" i="6"/>
  <c r="K199" i="6"/>
  <c r="J199" i="6"/>
  <c r="F199" i="6"/>
  <c r="V199" i="6"/>
  <c r="E199" i="6"/>
  <c r="U199" i="6"/>
  <c r="D199" i="6"/>
  <c r="O199" i="6"/>
  <c r="M199" i="6"/>
  <c r="I199" i="6"/>
  <c r="H199" i="6"/>
  <c r="A199" i="6"/>
  <c r="X199" i="6" s="1"/>
  <c r="T199" i="6"/>
  <c r="S199" i="6"/>
  <c r="R199" i="6"/>
  <c r="Q199" i="6"/>
  <c r="P199" i="6"/>
  <c r="N199" i="6"/>
  <c r="G199" i="6"/>
  <c r="L147" i="7"/>
  <c r="K147" i="7"/>
  <c r="J147" i="7"/>
  <c r="M147" i="7"/>
  <c r="I147" i="7"/>
  <c r="P147" i="7"/>
  <c r="O147" i="7"/>
  <c r="Q147" i="7"/>
  <c r="H147" i="7"/>
  <c r="G147" i="7"/>
  <c r="F147" i="7"/>
  <c r="E147" i="7"/>
  <c r="A147" i="7"/>
  <c r="B147" i="7"/>
  <c r="J165" i="7"/>
  <c r="I165" i="7"/>
  <c r="H165" i="7"/>
  <c r="B165" i="7"/>
  <c r="A165" i="7"/>
  <c r="F165" i="7"/>
  <c r="E165" i="7"/>
  <c r="L165" i="7"/>
  <c r="G165" i="7"/>
  <c r="Q165" i="7"/>
  <c r="P165" i="7"/>
  <c r="M165" i="7"/>
  <c r="K165" i="7"/>
  <c r="O165" i="7"/>
  <c r="P73" i="7"/>
  <c r="B73" i="7"/>
  <c r="O73" i="7"/>
  <c r="A73" i="7"/>
  <c r="Q73" i="7"/>
  <c r="M73" i="7"/>
  <c r="L73" i="7"/>
  <c r="K73" i="7"/>
  <c r="J73" i="7"/>
  <c r="I73" i="7"/>
  <c r="E73" i="7"/>
  <c r="F73" i="7"/>
  <c r="G73" i="7"/>
  <c r="H73" i="7"/>
  <c r="J78" i="7"/>
  <c r="I78" i="7"/>
  <c r="H78" i="7"/>
  <c r="Q78" i="7"/>
  <c r="M78" i="7"/>
  <c r="L78" i="7"/>
  <c r="K78" i="7"/>
  <c r="G78" i="7"/>
  <c r="F78" i="7"/>
  <c r="B78" i="7"/>
  <c r="A78" i="7"/>
  <c r="P78" i="7"/>
  <c r="O78" i="7"/>
  <c r="E78" i="7"/>
  <c r="J64" i="7"/>
  <c r="I64" i="7"/>
  <c r="H64" i="7"/>
  <c r="F64" i="7"/>
  <c r="B64" i="7"/>
  <c r="A64" i="7"/>
  <c r="G64" i="7"/>
  <c r="E64" i="7"/>
  <c r="Q64" i="7"/>
  <c r="P64" i="7"/>
  <c r="O64" i="7"/>
  <c r="M64" i="7"/>
  <c r="K64" i="7"/>
  <c r="L64" i="7"/>
  <c r="K79" i="6"/>
  <c r="R79" i="6"/>
  <c r="Q79" i="6"/>
  <c r="P79" i="6"/>
  <c r="A79" i="6"/>
  <c r="X79" i="6" s="1"/>
  <c r="V79" i="6"/>
  <c r="D79" i="6"/>
  <c r="U79" i="6"/>
  <c r="T79" i="6"/>
  <c r="O79" i="6"/>
  <c r="M79" i="6"/>
  <c r="L79" i="6"/>
  <c r="I79" i="6"/>
  <c r="H79" i="6"/>
  <c r="G79" i="6"/>
  <c r="J79" i="6"/>
  <c r="F79" i="6"/>
  <c r="E79" i="6"/>
  <c r="S79" i="6"/>
  <c r="N79" i="6"/>
  <c r="J110" i="6"/>
  <c r="I110" i="6"/>
  <c r="V110" i="6"/>
  <c r="H110" i="6"/>
  <c r="G110" i="6"/>
  <c r="F110" i="6"/>
  <c r="E110" i="6"/>
  <c r="S110" i="6"/>
  <c r="Q110" i="6"/>
  <c r="O110" i="6"/>
  <c r="L110" i="6"/>
  <c r="K110" i="6"/>
  <c r="D110" i="6"/>
  <c r="T110" i="6"/>
  <c r="P110" i="6"/>
  <c r="M110" i="6"/>
  <c r="A110" i="6"/>
  <c r="X110" i="6" s="1"/>
  <c r="N110" i="6"/>
  <c r="U110" i="6"/>
  <c r="R110" i="6"/>
  <c r="Q132" i="6"/>
  <c r="P132" i="6"/>
  <c r="T132" i="6"/>
  <c r="D132" i="6"/>
  <c r="S132" i="6"/>
  <c r="A132" i="6"/>
  <c r="X132" i="6" s="1"/>
  <c r="R132" i="6"/>
  <c r="V132" i="6"/>
  <c r="U132" i="6"/>
  <c r="O132" i="6"/>
  <c r="M132" i="6"/>
  <c r="K132" i="6"/>
  <c r="I132" i="6"/>
  <c r="H132" i="6"/>
  <c r="G132" i="6"/>
  <c r="F132" i="6"/>
  <c r="L132" i="6"/>
  <c r="J132" i="6"/>
  <c r="E132" i="6"/>
  <c r="N132" i="6"/>
  <c r="H11" i="7"/>
  <c r="B11" i="7"/>
  <c r="P11" i="7"/>
  <c r="Q11" i="7" s="1"/>
  <c r="A11" i="7"/>
  <c r="E11" i="7"/>
  <c r="P50" i="6"/>
  <c r="O50" i="6"/>
  <c r="A50" i="6"/>
  <c r="X50" i="6" s="1"/>
  <c r="N50" i="6"/>
  <c r="V50" i="6"/>
  <c r="E50" i="6"/>
  <c r="T50" i="6"/>
  <c r="R50" i="6"/>
  <c r="Q50" i="6"/>
  <c r="L50" i="6"/>
  <c r="K50" i="6"/>
  <c r="J50" i="6"/>
  <c r="M50" i="6"/>
  <c r="U50" i="6"/>
  <c r="S50" i="6"/>
  <c r="I50" i="6"/>
  <c r="H50" i="6"/>
  <c r="F50" i="6"/>
  <c r="G50" i="6"/>
  <c r="D50" i="6"/>
  <c r="T109" i="6"/>
  <c r="F109" i="6"/>
  <c r="S109" i="6"/>
  <c r="E109" i="6"/>
  <c r="R109" i="6"/>
  <c r="D109" i="6"/>
  <c r="N109" i="6"/>
  <c r="M109" i="6"/>
  <c r="L109" i="6"/>
  <c r="U109" i="6"/>
  <c r="P109" i="6"/>
  <c r="J109" i="6"/>
  <c r="I109" i="6"/>
  <c r="H109" i="6"/>
  <c r="A109" i="6"/>
  <c r="X109" i="6" s="1"/>
  <c r="V109" i="6"/>
  <c r="Q109" i="6"/>
  <c r="K109" i="6"/>
  <c r="G109" i="6"/>
  <c r="O109" i="6"/>
  <c r="R146" i="6"/>
  <c r="D146" i="6"/>
  <c r="Q146" i="6"/>
  <c r="P146" i="6"/>
  <c r="T146" i="6"/>
  <c r="S146" i="6"/>
  <c r="O146" i="6"/>
  <c r="E146" i="6"/>
  <c r="V146" i="6"/>
  <c r="U146" i="6"/>
  <c r="I146" i="6"/>
  <c r="G146" i="6"/>
  <c r="A146" i="6"/>
  <c r="X146" i="6" s="1"/>
  <c r="N146" i="6"/>
  <c r="M146" i="6"/>
  <c r="L146" i="6"/>
  <c r="K146" i="6"/>
  <c r="J146" i="6"/>
  <c r="H146" i="6"/>
  <c r="F146" i="6"/>
  <c r="P160" i="7"/>
  <c r="B160" i="7"/>
  <c r="O160" i="7"/>
  <c r="A160" i="7"/>
  <c r="G160" i="7"/>
  <c r="F160" i="7"/>
  <c r="E160" i="7"/>
  <c r="I160" i="7"/>
  <c r="H160" i="7"/>
  <c r="Q160" i="7"/>
  <c r="M160" i="7"/>
  <c r="K160" i="7"/>
  <c r="J160" i="7"/>
  <c r="L160" i="7"/>
  <c r="G3" i="7"/>
  <c r="S95" i="6"/>
  <c r="E95" i="6"/>
  <c r="K95" i="6"/>
  <c r="J95" i="6"/>
  <c r="I95" i="6"/>
  <c r="U95" i="6"/>
  <c r="T95" i="6"/>
  <c r="A95" i="6"/>
  <c r="X95" i="6" s="1"/>
  <c r="R95" i="6"/>
  <c r="D95" i="6"/>
  <c r="V95" i="6"/>
  <c r="Q95" i="6"/>
  <c r="O95" i="6"/>
  <c r="N95" i="6"/>
  <c r="M95" i="6"/>
  <c r="P95" i="6"/>
  <c r="L95" i="6"/>
  <c r="H95" i="6"/>
  <c r="G95" i="6"/>
  <c r="F95" i="6"/>
  <c r="A36" i="6"/>
  <c r="L36" i="6"/>
  <c r="V36" i="6"/>
  <c r="H36" i="6" s="1"/>
  <c r="D36" i="6"/>
  <c r="S188" i="6"/>
  <c r="E188" i="6"/>
  <c r="R188" i="6"/>
  <c r="D188" i="6"/>
  <c r="Q188" i="6"/>
  <c r="V188" i="6"/>
  <c r="T188" i="6"/>
  <c r="P188" i="6"/>
  <c r="O188" i="6"/>
  <c r="G188" i="6"/>
  <c r="A188" i="6"/>
  <c r="X188" i="6" s="1"/>
  <c r="N188" i="6"/>
  <c r="M188" i="6"/>
  <c r="L188" i="6"/>
  <c r="U188" i="6"/>
  <c r="K188" i="6"/>
  <c r="J188" i="6"/>
  <c r="I188" i="6"/>
  <c r="H188" i="6"/>
  <c r="F188" i="6"/>
  <c r="A43" i="6"/>
  <c r="D43" i="6"/>
  <c r="V43" i="6"/>
  <c r="I43" i="6" s="1"/>
  <c r="M43" i="6"/>
  <c r="L43" i="6"/>
  <c r="J151" i="7"/>
  <c r="I151" i="7"/>
  <c r="H151" i="7"/>
  <c r="L151" i="7"/>
  <c r="K151" i="7"/>
  <c r="G151" i="7"/>
  <c r="O151" i="7"/>
  <c r="F151" i="7"/>
  <c r="E151" i="7"/>
  <c r="Q151" i="7"/>
  <c r="P151" i="7"/>
  <c r="M151" i="7"/>
  <c r="B151" i="7"/>
  <c r="A151" i="7"/>
  <c r="Q123" i="7"/>
  <c r="P123" i="7"/>
  <c r="B123" i="7"/>
  <c r="O123" i="7"/>
  <c r="A123" i="7"/>
  <c r="H123" i="7"/>
  <c r="G123" i="7"/>
  <c r="F123" i="7"/>
  <c r="M123" i="7"/>
  <c r="J123" i="7"/>
  <c r="I123" i="7"/>
  <c r="E123" i="7"/>
  <c r="L123" i="7"/>
  <c r="K123" i="7"/>
  <c r="M171" i="7"/>
  <c r="L171" i="7"/>
  <c r="J171" i="7"/>
  <c r="B171" i="7"/>
  <c r="A171" i="7"/>
  <c r="Q171" i="7"/>
  <c r="I171" i="7"/>
  <c r="H171" i="7"/>
  <c r="F171" i="7"/>
  <c r="E171" i="7"/>
  <c r="P171" i="7"/>
  <c r="O171" i="7"/>
  <c r="K171" i="7"/>
  <c r="G171" i="7"/>
  <c r="M5" i="6"/>
  <c r="V55" i="6"/>
  <c r="H55" i="6"/>
  <c r="U55" i="6"/>
  <c r="G55" i="6"/>
  <c r="T55" i="6"/>
  <c r="F55" i="6"/>
  <c r="J55" i="6"/>
  <c r="E55" i="6"/>
  <c r="S55" i="6"/>
  <c r="Q55" i="6"/>
  <c r="P55" i="6"/>
  <c r="O55" i="6"/>
  <c r="A55" i="6"/>
  <c r="X55" i="6" s="1"/>
  <c r="R55" i="6"/>
  <c r="N55" i="6"/>
  <c r="M55" i="6"/>
  <c r="L55" i="6"/>
  <c r="K55" i="6"/>
  <c r="I55" i="6"/>
  <c r="D55" i="6"/>
  <c r="N60" i="6"/>
  <c r="M60" i="6"/>
  <c r="L60" i="6"/>
  <c r="O60" i="6"/>
  <c r="J60" i="6"/>
  <c r="H60" i="6"/>
  <c r="G60" i="6"/>
  <c r="V60" i="6"/>
  <c r="E60" i="6"/>
  <c r="U60" i="6"/>
  <c r="D60" i="6"/>
  <c r="T60" i="6"/>
  <c r="F60" i="6"/>
  <c r="A60" i="6"/>
  <c r="X60" i="6" s="1"/>
  <c r="S60" i="6"/>
  <c r="R60" i="6"/>
  <c r="P60" i="6"/>
  <c r="K60" i="6"/>
  <c r="I60" i="6"/>
  <c r="Q60" i="6"/>
  <c r="V198" i="6"/>
  <c r="H198" i="6"/>
  <c r="U198" i="6"/>
  <c r="G198" i="6"/>
  <c r="T198" i="6"/>
  <c r="F198" i="6"/>
  <c r="M198" i="6"/>
  <c r="L198" i="6"/>
  <c r="K198" i="6"/>
  <c r="P198" i="6"/>
  <c r="N198" i="6"/>
  <c r="J198" i="6"/>
  <c r="I198" i="6"/>
  <c r="Q198" i="6"/>
  <c r="O198" i="6"/>
  <c r="E198" i="6"/>
  <c r="S198" i="6"/>
  <c r="R198" i="6"/>
  <c r="A198" i="6"/>
  <c r="X198" i="6" s="1"/>
  <c r="D198" i="6"/>
  <c r="K179" i="6"/>
  <c r="J179" i="6"/>
  <c r="I179" i="6"/>
  <c r="T179" i="6"/>
  <c r="S179" i="6"/>
  <c r="R179" i="6"/>
  <c r="A179" i="6"/>
  <c r="X179" i="6" s="1"/>
  <c r="V179" i="6"/>
  <c r="Q179" i="6"/>
  <c r="L179" i="6"/>
  <c r="H179" i="6"/>
  <c r="G179" i="6"/>
  <c r="P179" i="6"/>
  <c r="N179" i="6"/>
  <c r="M179" i="6"/>
  <c r="F179" i="6"/>
  <c r="U179" i="6"/>
  <c r="O179" i="6"/>
  <c r="E179" i="6"/>
  <c r="D179" i="6"/>
  <c r="L14" i="6"/>
  <c r="D14" i="6"/>
  <c r="V14" i="6"/>
  <c r="T14" i="6" s="1"/>
  <c r="A14" i="6"/>
  <c r="K165" i="6"/>
  <c r="J165" i="6"/>
  <c r="I165" i="6"/>
  <c r="R165" i="6"/>
  <c r="A165" i="6"/>
  <c r="X165" i="6" s="1"/>
  <c r="Q165" i="6"/>
  <c r="P165" i="6"/>
  <c r="F165" i="6"/>
  <c r="E165" i="6"/>
  <c r="D165" i="6"/>
  <c r="M165" i="6"/>
  <c r="H165" i="6"/>
  <c r="G165" i="6"/>
  <c r="V165" i="6"/>
  <c r="T165" i="6"/>
  <c r="S165" i="6"/>
  <c r="O165" i="6"/>
  <c r="N165" i="6"/>
  <c r="U165" i="6"/>
  <c r="L165" i="6"/>
  <c r="P59" i="7"/>
  <c r="B59" i="7"/>
  <c r="O59" i="7"/>
  <c r="A59" i="7"/>
  <c r="J59" i="7"/>
  <c r="G59" i="7"/>
  <c r="F59" i="7"/>
  <c r="E59" i="7"/>
  <c r="L59" i="7"/>
  <c r="K59" i="7"/>
  <c r="I59" i="7"/>
  <c r="M59" i="7"/>
  <c r="Q59" i="7"/>
  <c r="H59" i="7"/>
  <c r="J103" i="6"/>
  <c r="I103" i="6"/>
  <c r="V103" i="6"/>
  <c r="H103" i="6"/>
  <c r="P103" i="6"/>
  <c r="O103" i="6"/>
  <c r="N103" i="6"/>
  <c r="D103" i="6"/>
  <c r="S103" i="6"/>
  <c r="R103" i="6"/>
  <c r="Q103" i="6"/>
  <c r="T103" i="6"/>
  <c r="M103" i="6"/>
  <c r="L103" i="6"/>
  <c r="U103" i="6"/>
  <c r="K103" i="6"/>
  <c r="G103" i="6"/>
  <c r="F103" i="6"/>
  <c r="A103" i="6"/>
  <c r="X103" i="6" s="1"/>
  <c r="E103" i="6"/>
  <c r="J130" i="7"/>
  <c r="H130" i="7"/>
  <c r="M130" i="7"/>
  <c r="L130" i="7"/>
  <c r="K130" i="7"/>
  <c r="I130" i="7"/>
  <c r="G130" i="7"/>
  <c r="E130" i="7"/>
  <c r="Q130" i="7"/>
  <c r="P130" i="7"/>
  <c r="O130" i="7"/>
  <c r="F130" i="7"/>
  <c r="B130" i="7"/>
  <c r="A130" i="7"/>
  <c r="F194" i="7"/>
  <c r="E194" i="7"/>
  <c r="P194" i="7"/>
  <c r="B194" i="7"/>
  <c r="A194" i="7"/>
  <c r="H194" i="7"/>
  <c r="Q194" i="7"/>
  <c r="O194" i="7"/>
  <c r="I194" i="7"/>
  <c r="G194" i="7"/>
  <c r="J194" i="7"/>
  <c r="K194" i="7"/>
  <c r="M194" i="7"/>
  <c r="L194" i="7"/>
  <c r="D33" i="6"/>
  <c r="A33" i="6"/>
  <c r="V33" i="6"/>
  <c r="U33" i="6" s="1"/>
  <c r="L33" i="6"/>
  <c r="N75" i="6"/>
  <c r="M75" i="6"/>
  <c r="L75" i="6"/>
  <c r="H75" i="6"/>
  <c r="G75" i="6"/>
  <c r="F75" i="6"/>
  <c r="V75" i="6"/>
  <c r="T75" i="6"/>
  <c r="R75" i="6"/>
  <c r="Q75" i="6"/>
  <c r="O75" i="6"/>
  <c r="K75" i="6"/>
  <c r="J75" i="6"/>
  <c r="P75" i="6"/>
  <c r="I75" i="6"/>
  <c r="E75" i="6"/>
  <c r="D75" i="6"/>
  <c r="S75" i="6"/>
  <c r="U75" i="6"/>
  <c r="A75" i="6"/>
  <c r="X75" i="6" s="1"/>
  <c r="L155" i="6"/>
  <c r="U155" i="6"/>
  <c r="F155" i="6"/>
  <c r="T155" i="6"/>
  <c r="E155" i="6"/>
  <c r="S155" i="6"/>
  <c r="D155" i="6"/>
  <c r="H155" i="6"/>
  <c r="G155" i="6"/>
  <c r="V155" i="6"/>
  <c r="Q155" i="6"/>
  <c r="P155" i="6"/>
  <c r="O155" i="6"/>
  <c r="R155" i="6"/>
  <c r="M155" i="6"/>
  <c r="J155" i="6"/>
  <c r="I155" i="6"/>
  <c r="A155" i="6"/>
  <c r="X155" i="6" s="1"/>
  <c r="N155" i="6"/>
  <c r="K155" i="6"/>
  <c r="I101" i="7"/>
  <c r="H101" i="7"/>
  <c r="G101" i="7"/>
  <c r="E101" i="7"/>
  <c r="A101" i="7"/>
  <c r="Q101" i="7"/>
  <c r="P101" i="7"/>
  <c r="M101" i="7"/>
  <c r="L101" i="7"/>
  <c r="K101" i="7"/>
  <c r="J101" i="7"/>
  <c r="O101" i="7"/>
  <c r="F101" i="7"/>
  <c r="B101" i="7"/>
  <c r="V113" i="6"/>
  <c r="H113" i="6"/>
  <c r="U113" i="6"/>
  <c r="G113" i="6"/>
  <c r="T113" i="6"/>
  <c r="F113" i="6"/>
  <c r="I113" i="6"/>
  <c r="E113" i="6"/>
  <c r="D113" i="6"/>
  <c r="P113" i="6"/>
  <c r="N113" i="6"/>
  <c r="L113" i="6"/>
  <c r="A113" i="6"/>
  <c r="X113" i="6" s="1"/>
  <c r="S113" i="6"/>
  <c r="Q113" i="6"/>
  <c r="O113" i="6"/>
  <c r="M113" i="6"/>
  <c r="K113" i="6"/>
  <c r="J113" i="6"/>
  <c r="R113" i="6"/>
  <c r="B20" i="7"/>
  <c r="P20" i="7"/>
  <c r="Q20" i="7" s="1"/>
  <c r="A20" i="7"/>
  <c r="G20" i="7"/>
  <c r="O20" i="7"/>
  <c r="H20" i="7"/>
  <c r="F20" i="7"/>
  <c r="E20" i="7"/>
  <c r="F72" i="7"/>
  <c r="E72" i="7"/>
  <c r="B72" i="7"/>
  <c r="P72" i="7"/>
  <c r="O72" i="7"/>
  <c r="J72" i="7"/>
  <c r="I72" i="7"/>
  <c r="H72" i="7"/>
  <c r="G72" i="7"/>
  <c r="Q72" i="7"/>
  <c r="K72" i="7"/>
  <c r="M72" i="7"/>
  <c r="L72" i="7"/>
  <c r="A72" i="7"/>
  <c r="Q15" i="7"/>
  <c r="M15" i="7" s="1"/>
  <c r="B15" i="7"/>
  <c r="P15" i="7"/>
  <c r="O15" i="7" s="1"/>
  <c r="A15" i="7"/>
  <c r="G15" i="7"/>
  <c r="E15" i="7"/>
  <c r="H15" i="7"/>
  <c r="N118" i="6"/>
  <c r="M118" i="6"/>
  <c r="L118" i="6"/>
  <c r="K118" i="6"/>
  <c r="J118" i="6"/>
  <c r="I118" i="6"/>
  <c r="H118" i="6"/>
  <c r="F118" i="6"/>
  <c r="D118" i="6"/>
  <c r="V118" i="6"/>
  <c r="U118" i="6"/>
  <c r="A118" i="6"/>
  <c r="X118" i="6" s="1"/>
  <c r="T118" i="6"/>
  <c r="S118" i="6"/>
  <c r="R118" i="6"/>
  <c r="Q118" i="6"/>
  <c r="P118" i="6"/>
  <c r="O118" i="6"/>
  <c r="E118" i="6"/>
  <c r="G118" i="6"/>
  <c r="K104" i="7"/>
  <c r="J104" i="7"/>
  <c r="I104" i="7"/>
  <c r="B104" i="7"/>
  <c r="O104" i="7"/>
  <c r="L104" i="7"/>
  <c r="H104" i="7"/>
  <c r="G104" i="7"/>
  <c r="Q104" i="7"/>
  <c r="P104" i="7"/>
  <c r="E104" i="7"/>
  <c r="A104" i="7"/>
  <c r="M104" i="7"/>
  <c r="F104" i="7"/>
  <c r="L148" i="6"/>
  <c r="K148" i="6"/>
  <c r="J148" i="6"/>
  <c r="F148" i="6"/>
  <c r="V148" i="6"/>
  <c r="E148" i="6"/>
  <c r="U148" i="6"/>
  <c r="D148" i="6"/>
  <c r="T148" i="6"/>
  <c r="R148" i="6"/>
  <c r="Q148" i="6"/>
  <c r="P148" i="6"/>
  <c r="S148" i="6"/>
  <c r="N148" i="6"/>
  <c r="I148" i="6"/>
  <c r="H148" i="6"/>
  <c r="G148" i="6"/>
  <c r="A148" i="6"/>
  <c r="X148" i="6" s="1"/>
  <c r="O148" i="6"/>
  <c r="M148" i="6"/>
  <c r="I182" i="6"/>
  <c r="V182" i="6"/>
  <c r="H182" i="6"/>
  <c r="U182" i="6"/>
  <c r="G182" i="6"/>
  <c r="D182" i="6"/>
  <c r="S182" i="6"/>
  <c r="R182" i="6"/>
  <c r="A182" i="6"/>
  <c r="X182" i="6" s="1"/>
  <c r="Q182" i="6"/>
  <c r="T182" i="6"/>
  <c r="L182" i="6"/>
  <c r="K182" i="6"/>
  <c r="J182" i="6"/>
  <c r="O182" i="6"/>
  <c r="N182" i="6"/>
  <c r="M182" i="6"/>
  <c r="P182" i="6"/>
  <c r="E182" i="6"/>
  <c r="F182" i="6"/>
  <c r="F138" i="7"/>
  <c r="E138" i="7"/>
  <c r="Q138" i="7"/>
  <c r="P138" i="7"/>
  <c r="O138" i="7"/>
  <c r="M138" i="7"/>
  <c r="L138" i="7"/>
  <c r="J138" i="7"/>
  <c r="I138" i="7"/>
  <c r="H138" i="7"/>
  <c r="K138" i="7"/>
  <c r="G138" i="7"/>
  <c r="B138" i="7"/>
  <c r="A138" i="7"/>
  <c r="Q95" i="7"/>
  <c r="M95" i="7"/>
  <c r="L95" i="7"/>
  <c r="G95" i="7"/>
  <c r="B95" i="7"/>
  <c r="A95" i="7"/>
  <c r="I95" i="7"/>
  <c r="H95" i="7"/>
  <c r="F95" i="7"/>
  <c r="E95" i="7"/>
  <c r="P95" i="7"/>
  <c r="J95" i="7"/>
  <c r="K95" i="7"/>
  <c r="O95" i="7"/>
  <c r="F65" i="7"/>
  <c r="E65" i="7"/>
  <c r="H65" i="7"/>
  <c r="B65" i="7"/>
  <c r="A65" i="7"/>
  <c r="Q65" i="7"/>
  <c r="M65" i="7"/>
  <c r="L65" i="7"/>
  <c r="K65" i="7"/>
  <c r="J65" i="7"/>
  <c r="O65" i="7"/>
  <c r="I65" i="7"/>
  <c r="P65" i="7"/>
  <c r="G65" i="7"/>
  <c r="R98" i="6"/>
  <c r="Q98" i="6"/>
  <c r="N98" i="6"/>
  <c r="M98" i="6"/>
  <c r="L98" i="6"/>
  <c r="G98" i="6"/>
  <c r="F98" i="6"/>
  <c r="E98" i="6"/>
  <c r="D98" i="6"/>
  <c r="A98" i="6"/>
  <c r="X98" i="6" s="1"/>
  <c r="V98" i="6"/>
  <c r="U98" i="6"/>
  <c r="S98" i="6"/>
  <c r="P98" i="6"/>
  <c r="O98" i="6"/>
  <c r="T98" i="6"/>
  <c r="K98" i="6"/>
  <c r="I98" i="6"/>
  <c r="H98" i="6"/>
  <c r="J98" i="6"/>
  <c r="H68" i="7"/>
  <c r="G68" i="7"/>
  <c r="F68" i="7"/>
  <c r="A68" i="7"/>
  <c r="Q68" i="7"/>
  <c r="P68" i="7"/>
  <c r="J68" i="7"/>
  <c r="I68" i="7"/>
  <c r="E68" i="7"/>
  <c r="O68" i="7"/>
  <c r="M68" i="7"/>
  <c r="L68" i="7"/>
  <c r="K68" i="7"/>
  <c r="B68" i="7"/>
  <c r="Q62" i="7"/>
  <c r="P62" i="7"/>
  <c r="B62" i="7"/>
  <c r="I62" i="7"/>
  <c r="F62" i="7"/>
  <c r="E62" i="7"/>
  <c r="A62" i="7"/>
  <c r="O62" i="7"/>
  <c r="M62" i="7"/>
  <c r="H62" i="7"/>
  <c r="G62" i="7"/>
  <c r="K62" i="7"/>
  <c r="J62" i="7"/>
  <c r="L62" i="7"/>
  <c r="D4" i="6"/>
  <c r="E4" i="7"/>
  <c r="E115" i="7"/>
  <c r="J115" i="7"/>
  <c r="I115" i="7"/>
  <c r="H115" i="7"/>
  <c r="A115" i="7"/>
  <c r="Q115" i="7"/>
  <c r="O115" i="7"/>
  <c r="M115" i="7"/>
  <c r="B115" i="7"/>
  <c r="P115" i="7"/>
  <c r="L115" i="7"/>
  <c r="K115" i="7"/>
  <c r="F115" i="7"/>
  <c r="G115" i="7"/>
  <c r="F187" i="7"/>
  <c r="E187" i="7"/>
  <c r="P187" i="7"/>
  <c r="B187" i="7"/>
  <c r="O187" i="7"/>
  <c r="M187" i="7"/>
  <c r="L187" i="7"/>
  <c r="J187" i="7"/>
  <c r="I187" i="7"/>
  <c r="H187" i="7"/>
  <c r="A187" i="7"/>
  <c r="K187" i="7"/>
  <c r="G187" i="7"/>
  <c r="Q187" i="7"/>
  <c r="J186" i="7"/>
  <c r="I186" i="7"/>
  <c r="H186" i="7"/>
  <c r="F186" i="7"/>
  <c r="O186" i="7"/>
  <c r="M186" i="7"/>
  <c r="G186" i="7"/>
  <c r="B186" i="7"/>
  <c r="L186" i="7"/>
  <c r="K186" i="7"/>
  <c r="A186" i="7"/>
  <c r="Q186" i="7"/>
  <c r="P186" i="7"/>
  <c r="E186" i="7"/>
  <c r="M49" i="7"/>
  <c r="L49" i="7"/>
  <c r="K49" i="7"/>
  <c r="J49" i="7"/>
  <c r="I49" i="7"/>
  <c r="P49" i="7"/>
  <c r="F49" i="7"/>
  <c r="E49" i="7"/>
  <c r="H49" i="7"/>
  <c r="A49" i="7"/>
  <c r="G49" i="7"/>
  <c r="Q49" i="7"/>
  <c r="O49" i="7"/>
  <c r="B49" i="7"/>
  <c r="E2" i="7"/>
  <c r="V10" i="6"/>
  <c r="G10" i="6" s="1"/>
  <c r="L10" i="6"/>
  <c r="D10" i="6"/>
  <c r="A10" i="6"/>
  <c r="H127" i="7"/>
  <c r="F127" i="7"/>
  <c r="B127" i="7"/>
  <c r="Q127" i="7"/>
  <c r="A127" i="7"/>
  <c r="P127" i="7"/>
  <c r="G127" i="7"/>
  <c r="E127" i="7"/>
  <c r="M127" i="7"/>
  <c r="L127" i="7"/>
  <c r="K127" i="7"/>
  <c r="O127" i="7"/>
  <c r="J127" i="7"/>
  <c r="I127" i="7"/>
  <c r="P139" i="7"/>
  <c r="B139" i="7"/>
  <c r="O139" i="7"/>
  <c r="A139" i="7"/>
  <c r="Q139" i="7"/>
  <c r="L139" i="7"/>
  <c r="K139" i="7"/>
  <c r="J139" i="7"/>
  <c r="M139" i="7"/>
  <c r="I139" i="7"/>
  <c r="H139" i="7"/>
  <c r="G139" i="7"/>
  <c r="F139" i="7"/>
  <c r="E139" i="7"/>
  <c r="P42" i="7"/>
  <c r="O42" i="7" s="1"/>
  <c r="E42" i="7"/>
  <c r="H42" i="7"/>
  <c r="A42" i="7"/>
  <c r="G42" i="7"/>
  <c r="B42" i="7"/>
  <c r="V154" i="6"/>
  <c r="H154" i="6"/>
  <c r="O154" i="6"/>
  <c r="N154" i="6"/>
  <c r="M154" i="6"/>
  <c r="K154" i="6"/>
  <c r="J154" i="6"/>
  <c r="I154" i="6"/>
  <c r="U154" i="6"/>
  <c r="S154" i="6"/>
  <c r="R154" i="6"/>
  <c r="Q154" i="6"/>
  <c r="L154" i="6"/>
  <c r="F154" i="6"/>
  <c r="D154" i="6"/>
  <c r="A154" i="6"/>
  <c r="X154" i="6" s="1"/>
  <c r="T154" i="6"/>
  <c r="P154" i="6"/>
  <c r="G154" i="6"/>
  <c r="E154" i="6"/>
  <c r="V147" i="6"/>
  <c r="H147" i="6"/>
  <c r="U147" i="6"/>
  <c r="G147" i="6"/>
  <c r="T147" i="6"/>
  <c r="F147" i="6"/>
  <c r="M147" i="6"/>
  <c r="L147" i="6"/>
  <c r="K147" i="6"/>
  <c r="A147" i="6"/>
  <c r="X147" i="6" s="1"/>
  <c r="S147" i="6"/>
  <c r="R147" i="6"/>
  <c r="Q147" i="6"/>
  <c r="O147" i="6"/>
  <c r="J147" i="6"/>
  <c r="E147" i="6"/>
  <c r="P147" i="6"/>
  <c r="I147" i="6"/>
  <c r="D147" i="6"/>
  <c r="N147" i="6"/>
  <c r="P132" i="7"/>
  <c r="B132" i="7"/>
  <c r="I132" i="7"/>
  <c r="H132" i="7"/>
  <c r="G132" i="7"/>
  <c r="O132" i="7"/>
  <c r="L132" i="7"/>
  <c r="K132" i="7"/>
  <c r="J132" i="7"/>
  <c r="Q132" i="7"/>
  <c r="M132" i="7"/>
  <c r="E132" i="7"/>
  <c r="A132" i="7"/>
  <c r="F132" i="7"/>
  <c r="P188" i="7"/>
  <c r="B188" i="7"/>
  <c r="O188" i="7"/>
  <c r="A188" i="7"/>
  <c r="L188" i="7"/>
  <c r="Q188" i="7"/>
  <c r="M188" i="7"/>
  <c r="K188" i="7"/>
  <c r="J188" i="7"/>
  <c r="H188" i="7"/>
  <c r="G188" i="7"/>
  <c r="F188" i="7"/>
  <c r="I188" i="7"/>
  <c r="E188" i="7"/>
  <c r="Q99" i="7"/>
  <c r="P99" i="7"/>
  <c r="B99" i="7"/>
  <c r="O99" i="7"/>
  <c r="A99" i="7"/>
  <c r="G99" i="7"/>
  <c r="F99" i="7"/>
  <c r="E99" i="7"/>
  <c r="K99" i="7"/>
  <c r="J99" i="7"/>
  <c r="I99" i="7"/>
  <c r="L99" i="7"/>
  <c r="H99" i="7"/>
  <c r="M99" i="7"/>
  <c r="E14" i="7"/>
  <c r="A14" i="7"/>
  <c r="P14" i="7"/>
  <c r="J14" i="7" s="1"/>
  <c r="B14" i="7"/>
  <c r="H14" i="7"/>
  <c r="L107" i="6"/>
  <c r="K107" i="6"/>
  <c r="J107" i="6"/>
  <c r="H107" i="6"/>
  <c r="G107" i="6"/>
  <c r="F107" i="6"/>
  <c r="V107" i="6"/>
  <c r="T107" i="6"/>
  <c r="R107" i="6"/>
  <c r="O107" i="6"/>
  <c r="N107" i="6"/>
  <c r="M107" i="6"/>
  <c r="P107" i="6"/>
  <c r="E107" i="6"/>
  <c r="A107" i="6"/>
  <c r="X107" i="6" s="1"/>
  <c r="U107" i="6"/>
  <c r="S107" i="6"/>
  <c r="Q107" i="6"/>
  <c r="I107" i="6"/>
  <c r="D107" i="6"/>
  <c r="L25" i="6"/>
  <c r="V25" i="6"/>
  <c r="F25" i="6" s="1"/>
  <c r="I25" i="6"/>
  <c r="D25" i="6"/>
  <c r="A25" i="6"/>
  <c r="T116" i="6"/>
  <c r="F116" i="6"/>
  <c r="S116" i="6"/>
  <c r="E116" i="6"/>
  <c r="R116" i="6"/>
  <c r="D116" i="6"/>
  <c r="H116" i="6"/>
  <c r="G116" i="6"/>
  <c r="M116" i="6"/>
  <c r="K116" i="6"/>
  <c r="I116" i="6"/>
  <c r="A116" i="6"/>
  <c r="X116" i="6" s="1"/>
  <c r="V116" i="6"/>
  <c r="U116" i="6"/>
  <c r="Q116" i="6"/>
  <c r="P116" i="6"/>
  <c r="O116" i="6"/>
  <c r="N116" i="6"/>
  <c r="L116" i="6"/>
  <c r="J116" i="6"/>
  <c r="A29" i="6"/>
  <c r="V29" i="6"/>
  <c r="O29" i="6" s="1"/>
  <c r="D29" i="6"/>
  <c r="L29" i="6"/>
  <c r="K29" i="6"/>
  <c r="O17" i="7"/>
  <c r="A17" i="7"/>
  <c r="P17" i="7"/>
  <c r="G17" i="7" s="1"/>
  <c r="H17" i="7"/>
  <c r="F17" i="7"/>
  <c r="E17" i="7"/>
  <c r="B17" i="7"/>
  <c r="H43" i="7"/>
  <c r="P43" i="7"/>
  <c r="O43" i="7" s="1"/>
  <c r="E43" i="7"/>
  <c r="B43" i="7"/>
  <c r="A43" i="7"/>
  <c r="Q43" i="7"/>
  <c r="L43" i="7" s="1"/>
  <c r="G43" i="7"/>
  <c r="M70" i="7"/>
  <c r="L70" i="7"/>
  <c r="E70" i="7"/>
  <c r="B70" i="7"/>
  <c r="Q70" i="7"/>
  <c r="A70" i="7"/>
  <c r="P70" i="7"/>
  <c r="O70" i="7"/>
  <c r="I70" i="7"/>
  <c r="H70" i="7"/>
  <c r="G70" i="7"/>
  <c r="K70" i="7"/>
  <c r="J70" i="7"/>
  <c r="F70" i="7"/>
  <c r="H7" i="7"/>
  <c r="E7" i="7"/>
  <c r="B7" i="7"/>
  <c r="P7" i="7"/>
  <c r="Q7" i="7" s="1"/>
  <c r="J7" i="7"/>
  <c r="K7" i="7" s="1"/>
  <c r="A7" i="7"/>
  <c r="J144" i="7"/>
  <c r="I144" i="7"/>
  <c r="H144" i="7"/>
  <c r="O144" i="7"/>
  <c r="M144" i="7"/>
  <c r="K144" i="7"/>
  <c r="G144" i="7"/>
  <c r="E144" i="7"/>
  <c r="Q144" i="7"/>
  <c r="P144" i="7"/>
  <c r="A144" i="7"/>
  <c r="L144" i="7"/>
  <c r="F144" i="7"/>
  <c r="B144" i="7"/>
  <c r="F98" i="7"/>
  <c r="E98" i="7"/>
  <c r="I98" i="7"/>
  <c r="H98" i="7"/>
  <c r="G98" i="7"/>
  <c r="M98" i="7"/>
  <c r="J98" i="7"/>
  <c r="L98" i="7"/>
  <c r="K98" i="7"/>
  <c r="B98" i="7"/>
  <c r="A98" i="7"/>
  <c r="Q98" i="7"/>
  <c r="P98" i="7"/>
  <c r="O98" i="7"/>
  <c r="J52" i="6"/>
  <c r="I52" i="6"/>
  <c r="V52" i="6"/>
  <c r="H52" i="6"/>
  <c r="K52" i="6"/>
  <c r="F52" i="6"/>
  <c r="U52" i="6"/>
  <c r="D52" i="6"/>
  <c r="T52" i="6"/>
  <c r="R52" i="6"/>
  <c r="A52" i="6"/>
  <c r="X52" i="6" s="1"/>
  <c r="Q52" i="6"/>
  <c r="P52" i="6"/>
  <c r="S52" i="6"/>
  <c r="O52" i="6"/>
  <c r="N52" i="6"/>
  <c r="M52" i="6"/>
  <c r="G52" i="6"/>
  <c r="L52" i="6"/>
  <c r="E52" i="6"/>
  <c r="H29" i="7"/>
  <c r="B29" i="7"/>
  <c r="P29" i="7"/>
  <c r="G29" i="7" s="1"/>
  <c r="A29" i="7"/>
  <c r="E29" i="7"/>
  <c r="J195" i="6"/>
  <c r="I195" i="6"/>
  <c r="V195" i="6"/>
  <c r="H195" i="6"/>
  <c r="N195" i="6"/>
  <c r="M195" i="6"/>
  <c r="L195" i="6"/>
  <c r="S195" i="6"/>
  <c r="Q195" i="6"/>
  <c r="P195" i="6"/>
  <c r="O195" i="6"/>
  <c r="E195" i="6"/>
  <c r="U195" i="6"/>
  <c r="T195" i="6"/>
  <c r="F195" i="6"/>
  <c r="A195" i="6"/>
  <c r="X195" i="6" s="1"/>
  <c r="R195" i="6"/>
  <c r="K195" i="6"/>
  <c r="G195" i="6"/>
  <c r="D195" i="6"/>
  <c r="O103" i="7"/>
  <c r="A103" i="7"/>
  <c r="M103" i="7"/>
  <c r="F103" i="7"/>
  <c r="E103" i="7"/>
  <c r="K103" i="7"/>
  <c r="H103" i="7"/>
  <c r="G103" i="7"/>
  <c r="J103" i="7"/>
  <c r="I103" i="7"/>
  <c r="B103" i="7"/>
  <c r="Q103" i="7"/>
  <c r="P103" i="7"/>
  <c r="L103" i="7"/>
  <c r="V27" i="6"/>
  <c r="K27" i="6" s="1"/>
  <c r="H27" i="6"/>
  <c r="T27" i="6"/>
  <c r="A27" i="6"/>
  <c r="L27" i="6"/>
  <c r="O27" i="6"/>
  <c r="E27" i="6"/>
  <c r="D27" i="6"/>
  <c r="F91" i="7"/>
  <c r="E91" i="7"/>
  <c r="B91" i="7"/>
  <c r="P91" i="7"/>
  <c r="M91" i="7"/>
  <c r="L91" i="7"/>
  <c r="K91" i="7"/>
  <c r="J91" i="7"/>
  <c r="I91" i="7"/>
  <c r="H91" i="7"/>
  <c r="G91" i="7"/>
  <c r="A91" i="7"/>
  <c r="Q91" i="7"/>
  <c r="O91" i="7"/>
  <c r="D2" i="6"/>
  <c r="H38" i="6" l="1"/>
  <c r="P44" i="6"/>
  <c r="Q44" i="6" s="1"/>
  <c r="J33" i="6"/>
  <c r="J38" i="6"/>
  <c r="K26" i="6"/>
  <c r="E44" i="6"/>
  <c r="T17" i="6"/>
  <c r="O25" i="6"/>
  <c r="H24" i="6"/>
  <c r="F44" i="6"/>
  <c r="E18" i="6"/>
  <c r="F28" i="6"/>
  <c r="K17" i="6"/>
  <c r="K14" i="6"/>
  <c r="O20" i="6"/>
  <c r="N26" i="6"/>
  <c r="K20" i="6"/>
  <c r="F24" i="7"/>
  <c r="O40" i="7"/>
  <c r="U26" i="6"/>
  <c r="H44" i="6"/>
  <c r="O18" i="6"/>
  <c r="E42" i="6"/>
  <c r="U43" i="6"/>
  <c r="F37" i="6"/>
  <c r="E26" i="6"/>
  <c r="I44" i="6"/>
  <c r="P18" i="6"/>
  <c r="Q18" i="6" s="1"/>
  <c r="F42" i="6"/>
  <c r="I26" i="6"/>
  <c r="T44" i="6"/>
  <c r="M26" i="6"/>
  <c r="J44" i="6"/>
  <c r="K18" i="6"/>
  <c r="F43" i="6"/>
  <c r="O22" i="7"/>
  <c r="O26" i="6"/>
  <c r="K44" i="6"/>
  <c r="T28" i="6"/>
  <c r="F32" i="7"/>
  <c r="I36" i="6"/>
  <c r="K8" i="6"/>
  <c r="E22" i="6"/>
  <c r="J36" i="6"/>
  <c r="M8" i="6"/>
  <c r="J46" i="6"/>
  <c r="N16" i="6"/>
  <c r="T7" i="6"/>
  <c r="O33" i="7"/>
  <c r="Q41" i="7"/>
  <c r="M41" i="7" s="1"/>
  <c r="G22" i="6"/>
  <c r="F21" i="7"/>
  <c r="F41" i="6"/>
  <c r="Q13" i="7"/>
  <c r="M13" i="7" s="1"/>
  <c r="I31" i="6"/>
  <c r="Q33" i="7"/>
  <c r="M33" i="7" s="1"/>
  <c r="I33" i="7" s="1"/>
  <c r="O36" i="6"/>
  <c r="G8" i="6"/>
  <c r="P8" i="6"/>
  <c r="Q8" i="6" s="1"/>
  <c r="F19" i="7"/>
  <c r="Q40" i="7"/>
  <c r="G45" i="7"/>
  <c r="J31" i="6"/>
  <c r="U15" i="6"/>
  <c r="U44" i="6"/>
  <c r="O22" i="6"/>
  <c r="G32" i="7"/>
  <c r="M47" i="7"/>
  <c r="P9" i="6"/>
  <c r="Q9" i="6" s="1"/>
  <c r="M47" i="6"/>
  <c r="M7" i="6"/>
  <c r="H22" i="6"/>
  <c r="F45" i="7"/>
  <c r="U16" i="6"/>
  <c r="P29" i="6"/>
  <c r="Q29" i="6" s="1"/>
  <c r="P36" i="6"/>
  <c r="Q36" i="6" s="1"/>
  <c r="T8" i="6"/>
  <c r="J45" i="7"/>
  <c r="K45" i="7" s="1"/>
  <c r="P22" i="6"/>
  <c r="Q22" i="6" s="1"/>
  <c r="J8" i="6"/>
  <c r="F26" i="6"/>
  <c r="H15" i="6"/>
  <c r="F33" i="7"/>
  <c r="I28" i="6"/>
  <c r="J37" i="7"/>
  <c r="J46" i="7"/>
  <c r="K46" i="7" s="1"/>
  <c r="I8" i="6"/>
  <c r="M36" i="6"/>
  <c r="N46" i="6"/>
  <c r="K7" i="6"/>
  <c r="G37" i="7"/>
  <c r="J20" i="7"/>
  <c r="K20" i="7" s="1"/>
  <c r="O45" i="7"/>
  <c r="J26" i="6"/>
  <c r="I15" i="6"/>
  <c r="M44" i="6"/>
  <c r="G33" i="7"/>
  <c r="H18" i="6"/>
  <c r="P28" i="6"/>
  <c r="Q28" i="6" s="1"/>
  <c r="J25" i="7"/>
  <c r="K25" i="7" s="1"/>
  <c r="J9" i="7"/>
  <c r="K9" i="7" s="1"/>
  <c r="X47" i="6"/>
  <c r="N8" i="6"/>
  <c r="J7" i="6"/>
  <c r="F15" i="7"/>
  <c r="E36" i="6"/>
  <c r="G6" i="7"/>
  <c r="N44" i="6"/>
  <c r="K28" i="6"/>
  <c r="O37" i="7"/>
  <c r="O28" i="7"/>
  <c r="U47" i="6"/>
  <c r="U36" i="6"/>
  <c r="F41" i="7"/>
  <c r="J15" i="7"/>
  <c r="I15" i="7" s="1"/>
  <c r="U8" i="6"/>
  <c r="G31" i="7"/>
  <c r="E19" i="6"/>
  <c r="U7" i="6"/>
  <c r="P34" i="6"/>
  <c r="Q34" i="6" s="1"/>
  <c r="G36" i="7"/>
  <c r="J47" i="6"/>
  <c r="P47" i="6"/>
  <c r="Q47" i="6" s="1"/>
  <c r="E43" i="6"/>
  <c r="F36" i="6"/>
  <c r="E8" i="6"/>
  <c r="F40" i="7"/>
  <c r="G26" i="6"/>
  <c r="T19" i="6"/>
  <c r="N15" i="6"/>
  <c r="G35" i="7"/>
  <c r="O28" i="6"/>
  <c r="J12" i="7"/>
  <c r="K12" i="7" s="1"/>
  <c r="O38" i="7"/>
  <c r="F45" i="6"/>
  <c r="M20" i="7"/>
  <c r="L20" i="7"/>
  <c r="T25" i="6"/>
  <c r="J43" i="7"/>
  <c r="K43" i="7" s="1"/>
  <c r="I29" i="6"/>
  <c r="H25" i="6"/>
  <c r="Q19" i="7"/>
  <c r="M19" i="7" s="1"/>
  <c r="U46" i="6"/>
  <c r="U37" i="6"/>
  <c r="Q31" i="7"/>
  <c r="P19" i="6"/>
  <c r="Q19" i="6" s="1"/>
  <c r="F16" i="6"/>
  <c r="O7" i="6"/>
  <c r="F23" i="7"/>
  <c r="I22" i="6"/>
  <c r="E35" i="6"/>
  <c r="H20" i="6"/>
  <c r="M9" i="6"/>
  <c r="J38" i="7"/>
  <c r="K38" i="7" s="1"/>
  <c r="I21" i="6"/>
  <c r="L24" i="7"/>
  <c r="I24" i="7" s="1"/>
  <c r="P45" i="6"/>
  <c r="Q45" i="6" s="1"/>
  <c r="F16" i="7"/>
  <c r="U19" i="6"/>
  <c r="G23" i="7"/>
  <c r="M21" i="6"/>
  <c r="P41" i="6"/>
  <c r="Q41" i="6" s="1"/>
  <c r="U45" i="6"/>
  <c r="K25" i="6"/>
  <c r="X8" i="6"/>
  <c r="I37" i="6"/>
  <c r="G35" i="6"/>
  <c r="N20" i="6"/>
  <c r="H9" i="6"/>
  <c r="Q38" i="7"/>
  <c r="M38" i="7" s="1"/>
  <c r="O21" i="6"/>
  <c r="E25" i="6"/>
  <c r="M33" i="6"/>
  <c r="F32" i="6"/>
  <c r="F8" i="7"/>
  <c r="K37" i="6"/>
  <c r="Q34" i="7"/>
  <c r="M34" i="7" s="1"/>
  <c r="J19" i="6"/>
  <c r="O6" i="7"/>
  <c r="N28" i="6"/>
  <c r="J35" i="6"/>
  <c r="P20" i="6"/>
  <c r="Q20" i="6" s="1"/>
  <c r="O9" i="6"/>
  <c r="I42" i="6"/>
  <c r="N41" i="6"/>
  <c r="K45" i="6"/>
  <c r="K19" i="6"/>
  <c r="F39" i="7"/>
  <c r="O23" i="7"/>
  <c r="K3" i="7"/>
  <c r="S3" i="6" s="1"/>
  <c r="H32" i="6"/>
  <c r="G8" i="7"/>
  <c r="M37" i="6"/>
  <c r="G25" i="6"/>
  <c r="G33" i="6"/>
  <c r="T43" i="6"/>
  <c r="M19" i="6"/>
  <c r="O39" i="7"/>
  <c r="Q23" i="7"/>
  <c r="M20" i="6"/>
  <c r="O14" i="7"/>
  <c r="J25" i="6"/>
  <c r="G14" i="7"/>
  <c r="I33" i="6"/>
  <c r="M32" i="6"/>
  <c r="J8" i="7"/>
  <c r="K8" i="7" s="1"/>
  <c r="H37" i="6"/>
  <c r="E37" i="6"/>
  <c r="G9" i="6"/>
  <c r="I9" i="6"/>
  <c r="G9" i="7"/>
  <c r="E32" i="6"/>
  <c r="T37" i="6"/>
  <c r="O19" i="6"/>
  <c r="K12" i="6"/>
  <c r="J20" i="6"/>
  <c r="K33" i="6"/>
  <c r="M25" i="6"/>
  <c r="N33" i="6"/>
  <c r="K43" i="6"/>
  <c r="K32" i="6"/>
  <c r="N37" i="6"/>
  <c r="F34" i="7"/>
  <c r="G19" i="6"/>
  <c r="M12" i="6"/>
  <c r="H16" i="6"/>
  <c r="J6" i="6"/>
  <c r="J18" i="6"/>
  <c r="M28" i="6"/>
  <c r="H35" i="6"/>
  <c r="H34" i="6"/>
  <c r="F9" i="6"/>
  <c r="M3" i="7"/>
  <c r="I3" i="7" s="1"/>
  <c r="R3" i="6" s="1"/>
  <c r="K2" i="5" s="1"/>
  <c r="L3" i="7"/>
  <c r="U25" i="6"/>
  <c r="N25" i="6"/>
  <c r="N43" i="6"/>
  <c r="G36" i="6"/>
  <c r="T32" i="6"/>
  <c r="O37" i="6"/>
  <c r="T38" i="6"/>
  <c r="G34" i="7"/>
  <c r="F22" i="7"/>
  <c r="H19" i="6"/>
  <c r="I16" i="6"/>
  <c r="N31" i="6"/>
  <c r="E11" i="6"/>
  <c r="F6" i="6"/>
  <c r="I35" i="6"/>
  <c r="F20" i="6"/>
  <c r="F46" i="7"/>
  <c r="T9" i="6"/>
  <c r="O25" i="7"/>
  <c r="E29" i="6"/>
  <c r="P25" i="6"/>
  <c r="Q25" i="6" s="1"/>
  <c r="P33" i="6"/>
  <c r="Q33" i="6" s="1"/>
  <c r="X14" i="6"/>
  <c r="K36" i="6"/>
  <c r="J32" i="6"/>
  <c r="P37" i="6"/>
  <c r="Q37" i="6" s="1"/>
  <c r="M38" i="6"/>
  <c r="O34" i="7"/>
  <c r="J22" i="7"/>
  <c r="K22" i="7" s="1"/>
  <c r="P26" i="6"/>
  <c r="Q26" i="6" s="1"/>
  <c r="I19" i="6"/>
  <c r="J16" i="6"/>
  <c r="P31" i="6"/>
  <c r="Q31" i="6" s="1"/>
  <c r="M15" i="6"/>
  <c r="T6" i="6"/>
  <c r="U35" i="6"/>
  <c r="T20" i="6"/>
  <c r="G46" i="7"/>
  <c r="F36" i="7"/>
  <c r="O43" i="6"/>
  <c r="O32" i="6"/>
  <c r="J31" i="7"/>
  <c r="E38" i="6"/>
  <c r="M16" i="6"/>
  <c r="F35" i="6"/>
  <c r="G20" i="6"/>
  <c r="G21" i="6"/>
  <c r="I41" i="6"/>
  <c r="G29" i="6"/>
  <c r="F42" i="7"/>
  <c r="J43" i="6"/>
  <c r="P43" i="6"/>
  <c r="Q43" i="6" s="1"/>
  <c r="P32" i="6"/>
  <c r="Q32" i="6" s="1"/>
  <c r="J19" i="7"/>
  <c r="K19" i="7" s="1"/>
  <c r="K46" i="6"/>
  <c r="G38" i="6"/>
  <c r="N19" i="6"/>
  <c r="E31" i="6"/>
  <c r="G39" i="7"/>
  <c r="G15" i="6"/>
  <c r="N7" i="6"/>
  <c r="E28" i="6"/>
  <c r="O35" i="6"/>
  <c r="Q12" i="7"/>
  <c r="O18" i="7"/>
  <c r="O32" i="7"/>
  <c r="U20" i="6"/>
  <c r="O46" i="7"/>
  <c r="H21" i="6"/>
  <c r="M11" i="7"/>
  <c r="L11" i="7"/>
  <c r="K39" i="7"/>
  <c r="K14" i="7"/>
  <c r="M45" i="7"/>
  <c r="L45" i="7"/>
  <c r="M28" i="7"/>
  <c r="L28" i="7"/>
  <c r="M22" i="7"/>
  <c r="L22" i="7"/>
  <c r="K26" i="7"/>
  <c r="L46" i="7"/>
  <c r="M46" i="7"/>
  <c r="L25" i="7"/>
  <c r="M25" i="7"/>
  <c r="M8" i="7"/>
  <c r="L8" i="7"/>
  <c r="M7" i="7"/>
  <c r="L7" i="7"/>
  <c r="M35" i="7"/>
  <c r="L35" i="7"/>
  <c r="K32" i="7"/>
  <c r="K10" i="6"/>
  <c r="G11" i="7"/>
  <c r="O38" i="6"/>
  <c r="E24" i="6"/>
  <c r="O23" i="6"/>
  <c r="T23" i="6"/>
  <c r="U12" i="6"/>
  <c r="T31" i="6"/>
  <c r="G40" i="6"/>
  <c r="X44" i="6"/>
  <c r="K11" i="6"/>
  <c r="Q30" i="7"/>
  <c r="N13" i="6"/>
  <c r="X35" i="6"/>
  <c r="F28" i="7"/>
  <c r="N42" i="6"/>
  <c r="X41" i="6"/>
  <c r="G17" i="6"/>
  <c r="H17" i="6"/>
  <c r="M30" i="6"/>
  <c r="F30" i="6"/>
  <c r="M27" i="6"/>
  <c r="F29" i="6"/>
  <c r="L15" i="7"/>
  <c r="O33" i="6"/>
  <c r="U14" i="6"/>
  <c r="G46" i="6"/>
  <c r="F46" i="6"/>
  <c r="P38" i="6"/>
  <c r="Q38" i="6" s="1"/>
  <c r="T24" i="6"/>
  <c r="M23" i="6"/>
  <c r="F12" i="6"/>
  <c r="E16" i="6"/>
  <c r="J6" i="7"/>
  <c r="I40" i="6"/>
  <c r="H7" i="6"/>
  <c r="F22" i="6"/>
  <c r="P11" i="6"/>
  <c r="Q11" i="6" s="1"/>
  <c r="M11" i="6"/>
  <c r="I6" i="6"/>
  <c r="G30" i="7"/>
  <c r="P13" i="6"/>
  <c r="Q13" i="6" s="1"/>
  <c r="X28" i="6"/>
  <c r="K37" i="7"/>
  <c r="G39" i="6"/>
  <c r="T42" i="6"/>
  <c r="P42" i="6"/>
  <c r="Q42" i="6" s="1"/>
  <c r="X21" i="6"/>
  <c r="N30" i="6"/>
  <c r="T30" i="6"/>
  <c r="P27" i="6"/>
  <c r="Q27" i="6" s="1"/>
  <c r="J29" i="7"/>
  <c r="F7" i="7"/>
  <c r="F43" i="7"/>
  <c r="H29" i="6"/>
  <c r="O10" i="6"/>
  <c r="T33" i="6"/>
  <c r="H14" i="6"/>
  <c r="G14" i="6"/>
  <c r="J13" i="7"/>
  <c r="O19" i="7"/>
  <c r="I46" i="6"/>
  <c r="H46" i="6"/>
  <c r="P23" i="6"/>
  <c r="Q23" i="6" s="1"/>
  <c r="H12" i="6"/>
  <c r="U31" i="6"/>
  <c r="M40" i="6"/>
  <c r="F26" i="7"/>
  <c r="I7" i="6"/>
  <c r="J41" i="7"/>
  <c r="N11" i="6"/>
  <c r="X6" i="6"/>
  <c r="X13" i="6"/>
  <c r="L5" i="7"/>
  <c r="M5" i="7"/>
  <c r="I5" i="7" s="1"/>
  <c r="R5" i="6" s="1"/>
  <c r="J34" i="6"/>
  <c r="H39" i="6"/>
  <c r="Q10" i="7"/>
  <c r="M21" i="7"/>
  <c r="U42" i="6"/>
  <c r="X42" i="6"/>
  <c r="G38" i="7"/>
  <c r="E41" i="6"/>
  <c r="U17" i="6"/>
  <c r="I17" i="6"/>
  <c r="N45" i="6"/>
  <c r="O45" i="6"/>
  <c r="P30" i="6"/>
  <c r="Q30" i="6" s="1"/>
  <c r="J44" i="7"/>
  <c r="X37" i="6"/>
  <c r="X10" i="6"/>
  <c r="O14" i="6"/>
  <c r="M24" i="6"/>
  <c r="P12" i="6"/>
  <c r="Q12" i="6" s="1"/>
  <c r="X16" i="6"/>
  <c r="X11" i="6"/>
  <c r="I39" i="6"/>
  <c r="J17" i="6"/>
  <c r="X45" i="6"/>
  <c r="X30" i="6"/>
  <c r="Q44" i="7"/>
  <c r="Q29" i="7"/>
  <c r="X27" i="6"/>
  <c r="J42" i="7"/>
  <c r="G7" i="7"/>
  <c r="M43" i="7"/>
  <c r="I43" i="7" s="1"/>
  <c r="J17" i="7"/>
  <c r="F10" i="6"/>
  <c r="E33" i="6"/>
  <c r="N14" i="6"/>
  <c r="G43" i="6"/>
  <c r="T36" i="6"/>
  <c r="O11" i="7"/>
  <c r="G32" i="6"/>
  <c r="N32" i="6"/>
  <c r="O8" i="7"/>
  <c r="O46" i="6"/>
  <c r="X38" i="6"/>
  <c r="U38" i="6"/>
  <c r="N24" i="6"/>
  <c r="X23" i="6"/>
  <c r="T12" i="6"/>
  <c r="T16" i="6"/>
  <c r="Q6" i="7"/>
  <c r="K31" i="6"/>
  <c r="K40" i="6"/>
  <c r="P7" i="6"/>
  <c r="Q7" i="6" s="1"/>
  <c r="K22" i="6"/>
  <c r="F11" i="6"/>
  <c r="O6" i="6"/>
  <c r="F13" i="6"/>
  <c r="M35" i="6"/>
  <c r="K35" i="6"/>
  <c r="O12" i="7"/>
  <c r="N34" i="6"/>
  <c r="X39" i="6"/>
  <c r="O39" i="6"/>
  <c r="O10" i="7"/>
  <c r="O42" i="6"/>
  <c r="J42" i="6"/>
  <c r="F21" i="6"/>
  <c r="E21" i="6"/>
  <c r="T41" i="6"/>
  <c r="N17" i="6"/>
  <c r="H45" i="6"/>
  <c r="J30" i="6"/>
  <c r="N39" i="6"/>
  <c r="E10" i="6"/>
  <c r="O29" i="7"/>
  <c r="J29" i="6"/>
  <c r="F14" i="7"/>
  <c r="I14" i="6"/>
  <c r="X19" i="6"/>
  <c r="F27" i="6"/>
  <c r="M10" i="6"/>
  <c r="H10" i="6"/>
  <c r="F33" i="6"/>
  <c r="P14" i="6"/>
  <c r="Q14" i="6" s="1"/>
  <c r="J14" i="6"/>
  <c r="H43" i="6"/>
  <c r="N36" i="6"/>
  <c r="G13" i="7"/>
  <c r="I32" i="6"/>
  <c r="F8" i="6"/>
  <c r="P46" i="6"/>
  <c r="Q46" i="6" s="1"/>
  <c r="M46" i="6"/>
  <c r="K31" i="7"/>
  <c r="F38" i="6"/>
  <c r="U23" i="6"/>
  <c r="E12" i="6"/>
  <c r="G16" i="6"/>
  <c r="X31" i="6"/>
  <c r="M31" i="6"/>
  <c r="T40" i="6"/>
  <c r="Q39" i="7"/>
  <c r="T15" i="6"/>
  <c r="X7" i="6"/>
  <c r="O41" i="7"/>
  <c r="J22" i="6"/>
  <c r="M22" i="6"/>
  <c r="P6" i="6"/>
  <c r="Q6" i="6" s="1"/>
  <c r="X18" i="6"/>
  <c r="E13" i="6"/>
  <c r="T13" i="6"/>
  <c r="N35" i="6"/>
  <c r="F12" i="7"/>
  <c r="J18" i="7"/>
  <c r="F34" i="6"/>
  <c r="Q32" i="7"/>
  <c r="Q37" i="7"/>
  <c r="E39" i="6"/>
  <c r="X9" i="6"/>
  <c r="J21" i="7"/>
  <c r="J28" i="7"/>
  <c r="K42" i="6"/>
  <c r="J41" i="6"/>
  <c r="G41" i="6"/>
  <c r="O17" i="6"/>
  <c r="K30" i="6"/>
  <c r="G23" i="6"/>
  <c r="G12" i="6"/>
  <c r="K16" i="6"/>
  <c r="F31" i="6"/>
  <c r="O31" i="6"/>
  <c r="X40" i="6"/>
  <c r="E15" i="6"/>
  <c r="L26" i="7"/>
  <c r="I26" i="7" s="1"/>
  <c r="G7" i="6"/>
  <c r="F35" i="7"/>
  <c r="T11" i="6"/>
  <c r="F30" i="7"/>
  <c r="I18" i="6"/>
  <c r="G13" i="6"/>
  <c r="T34" i="6"/>
  <c r="I20" i="6"/>
  <c r="F39" i="6"/>
  <c r="F10" i="7"/>
  <c r="J9" i="6"/>
  <c r="J21" i="6"/>
  <c r="K41" i="6"/>
  <c r="U41" i="6"/>
  <c r="P17" i="6"/>
  <c r="Q17" i="6" s="1"/>
  <c r="I45" i="6"/>
  <c r="F25" i="7"/>
  <c r="O16" i="7"/>
  <c r="O9" i="7"/>
  <c r="X36" i="6"/>
  <c r="I27" i="6"/>
  <c r="G27" i="6"/>
  <c r="X25" i="6"/>
  <c r="Q14" i="7"/>
  <c r="P10" i="6"/>
  <c r="Q10" i="6" s="1"/>
  <c r="I10" i="6"/>
  <c r="E14" i="6"/>
  <c r="J11" i="7"/>
  <c r="G27" i="7"/>
  <c r="O24" i="6"/>
  <c r="I23" i="6"/>
  <c r="I12" i="6"/>
  <c r="H31" i="6"/>
  <c r="U40" i="6"/>
  <c r="O35" i="7"/>
  <c r="N22" i="6"/>
  <c r="E6" i="6"/>
  <c r="M13" i="6"/>
  <c r="U13" i="6"/>
  <c r="Q18" i="7"/>
  <c r="X34" i="6"/>
  <c r="G34" i="6"/>
  <c r="I46" i="7"/>
  <c r="J39" i="6"/>
  <c r="J10" i="7"/>
  <c r="K9" i="6"/>
  <c r="E9" i="6"/>
  <c r="G28" i="7"/>
  <c r="U21" i="6"/>
  <c r="K21" i="6"/>
  <c r="H41" i="6"/>
  <c r="X17" i="6"/>
  <c r="T45" i="6"/>
  <c r="J45" i="6"/>
  <c r="G25" i="7"/>
  <c r="O30" i="6"/>
  <c r="F44" i="7"/>
  <c r="Q9" i="7"/>
  <c r="Q36" i="7"/>
  <c r="F27" i="7"/>
  <c r="N27" i="6"/>
  <c r="U27" i="6"/>
  <c r="F29" i="7"/>
  <c r="T10" i="6"/>
  <c r="J10" i="6"/>
  <c r="F14" i="6"/>
  <c r="X43" i="6"/>
  <c r="P24" i="6"/>
  <c r="Q24" i="6" s="1"/>
  <c r="U24" i="6"/>
  <c r="K23" i="6"/>
  <c r="J12" i="6"/>
  <c r="E40" i="6"/>
  <c r="X22" i="6"/>
  <c r="U11" i="6"/>
  <c r="O13" i="6"/>
  <c r="H13" i="6"/>
  <c r="F18" i="7"/>
  <c r="E34" i="6"/>
  <c r="U34" i="6"/>
  <c r="X20" i="6"/>
  <c r="U39" i="6"/>
  <c r="M39" i="6"/>
  <c r="J16" i="7"/>
  <c r="G44" i="7"/>
  <c r="H23" i="6"/>
  <c r="H40" i="6"/>
  <c r="U30" i="6"/>
  <c r="X46" i="6"/>
  <c r="X32" i="6"/>
  <c r="Q27" i="7"/>
  <c r="F24" i="6"/>
  <c r="X15" i="6"/>
  <c r="I34" i="6"/>
  <c r="K39" i="6"/>
  <c r="O7" i="7"/>
  <c r="Q17" i="7"/>
  <c r="M29" i="6"/>
  <c r="N29" i="6"/>
  <c r="U10" i="6"/>
  <c r="M14" i="6"/>
  <c r="F13" i="7"/>
  <c r="H8" i="6"/>
  <c r="K38" i="6"/>
  <c r="G24" i="6"/>
  <c r="I24" i="6"/>
  <c r="J23" i="6"/>
  <c r="E23" i="6"/>
  <c r="N12" i="6"/>
  <c r="O16" i="6"/>
  <c r="N40" i="6"/>
  <c r="J40" i="6"/>
  <c r="J15" i="6"/>
  <c r="O15" i="6"/>
  <c r="J35" i="7"/>
  <c r="H11" i="6"/>
  <c r="K6" i="6"/>
  <c r="G6" i="6"/>
  <c r="J30" i="7"/>
  <c r="I13" i="6"/>
  <c r="P35" i="6"/>
  <c r="Q35" i="6" s="1"/>
  <c r="K34" i="6"/>
  <c r="P39" i="6"/>
  <c r="Q39" i="6" s="1"/>
  <c r="U9" i="6"/>
  <c r="G21" i="7"/>
  <c r="G42" i="6"/>
  <c r="P21" i="6"/>
  <c r="Q21" i="6" s="1"/>
  <c r="M41" i="6"/>
  <c r="F17" i="6"/>
  <c r="E45" i="6"/>
  <c r="G30" i="6"/>
  <c r="J36" i="7"/>
  <c r="X33" i="6"/>
  <c r="F11" i="7"/>
  <c r="K5" i="7"/>
  <c r="S5" i="6" s="1"/>
  <c r="L19" i="7"/>
  <c r="T46" i="6"/>
  <c r="J27" i="7"/>
  <c r="K24" i="6"/>
  <c r="O40" i="6"/>
  <c r="K15" i="6"/>
  <c r="E7" i="6"/>
  <c r="T22" i="6"/>
  <c r="G11" i="6"/>
  <c r="J11" i="6"/>
  <c r="M6" i="6"/>
  <c r="U6" i="6"/>
  <c r="J13" i="6"/>
  <c r="M34" i="6"/>
  <c r="H42" i="6"/>
  <c r="H30" i="6"/>
  <c r="E30" i="6"/>
  <c r="Q16" i="7"/>
  <c r="J27" i="6"/>
  <c r="T29" i="6"/>
  <c r="X29" i="6"/>
  <c r="Q42" i="7"/>
  <c r="N10" i="6"/>
  <c r="H33" i="6"/>
  <c r="U29" i="6"/>
  <c r="X24" i="6"/>
  <c r="X26" i="6"/>
  <c r="N23" i="6"/>
  <c r="X12" i="6"/>
  <c r="F40" i="6"/>
  <c r="I11" i="6"/>
  <c r="E17" i="6"/>
  <c r="L34" i="7" l="1"/>
  <c r="I34" i="7" s="1"/>
  <c r="R34" i="6" s="1"/>
  <c r="L33" i="7"/>
  <c r="S14" i="6"/>
  <c r="I45" i="7"/>
  <c r="R45" i="6" s="1"/>
  <c r="I20" i="7"/>
  <c r="R20" i="6" s="1"/>
  <c r="I25" i="7"/>
  <c r="R25" i="6" s="1"/>
  <c r="S47" i="6"/>
  <c r="R47" i="6"/>
  <c r="L41" i="7"/>
  <c r="I41" i="7" s="1"/>
  <c r="R41" i="6" s="1"/>
  <c r="M40" i="7"/>
  <c r="L40" i="7"/>
  <c r="L38" i="7"/>
  <c r="I38" i="7" s="1"/>
  <c r="R38" i="6" s="1"/>
  <c r="L13" i="7"/>
  <c r="K15" i="7"/>
  <c r="S15" i="6" s="1"/>
  <c r="I8" i="7"/>
  <c r="R8" i="6" s="1"/>
  <c r="M23" i="7"/>
  <c r="L23" i="7"/>
  <c r="L12" i="7"/>
  <c r="M12" i="7"/>
  <c r="I12" i="7" s="1"/>
  <c r="R12" i="6" s="1"/>
  <c r="I7" i="7"/>
  <c r="R7" i="6" s="1"/>
  <c r="S8" i="6"/>
  <c r="L31" i="7"/>
  <c r="M31" i="7"/>
  <c r="I31" i="7" s="1"/>
  <c r="R31" i="6" s="1"/>
  <c r="I22" i="7"/>
  <c r="R22" i="6" s="1"/>
  <c r="I19" i="7"/>
  <c r="R19" i="6" s="1"/>
  <c r="R24" i="6"/>
  <c r="S24" i="6"/>
  <c r="S31" i="6"/>
  <c r="K17" i="7"/>
  <c r="S17" i="6" s="1"/>
  <c r="K16" i="7"/>
  <c r="S16" i="6" s="1"/>
  <c r="L36" i="7"/>
  <c r="M36" i="7"/>
  <c r="I36" i="7" s="1"/>
  <c r="R36" i="6" s="1"/>
  <c r="K10" i="7"/>
  <c r="S10" i="6" s="1"/>
  <c r="S38" i="6"/>
  <c r="S26" i="6"/>
  <c r="R26" i="6"/>
  <c r="K42" i="7"/>
  <c r="S42" i="6" s="1"/>
  <c r="K29" i="7"/>
  <c r="S29" i="6" s="1"/>
  <c r="S22" i="6"/>
  <c r="M9" i="7"/>
  <c r="I9" i="7" s="1"/>
  <c r="R9" i="6" s="1"/>
  <c r="L9" i="7"/>
  <c r="S33" i="6"/>
  <c r="R33" i="6"/>
  <c r="R15" i="6"/>
  <c r="M42" i="7"/>
  <c r="I42" i="7" s="1"/>
  <c r="R42" i="6" s="1"/>
  <c r="L42" i="7"/>
  <c r="K36" i="7"/>
  <c r="S36" i="6" s="1"/>
  <c r="K11" i="7"/>
  <c r="S11" i="6" s="1"/>
  <c r="I11" i="7"/>
  <c r="R11" i="6" s="1"/>
  <c r="L2" i="5"/>
  <c r="L29" i="7"/>
  <c r="M29" i="7"/>
  <c r="I29" i="7" s="1"/>
  <c r="R29" i="6" s="1"/>
  <c r="S37" i="6"/>
  <c r="M10" i="7"/>
  <c r="I10" i="7" s="1"/>
  <c r="R10" i="6" s="1"/>
  <c r="L10" i="7"/>
  <c r="K41" i="7"/>
  <c r="S41" i="6" s="1"/>
  <c r="L17" i="7"/>
  <c r="M17" i="7"/>
  <c r="K18" i="7"/>
  <c r="S18" i="6" s="1"/>
  <c r="K30" i="7"/>
  <c r="S30" i="6" s="1"/>
  <c r="L27" i="7"/>
  <c r="M27" i="7"/>
  <c r="I27" i="7" s="1"/>
  <c r="R27" i="6" s="1"/>
  <c r="S20" i="6"/>
  <c r="S34" i="6"/>
  <c r="M44" i="7"/>
  <c r="L44" i="7"/>
  <c r="L18" i="7"/>
  <c r="M18" i="7"/>
  <c r="I18" i="7" s="1"/>
  <c r="R18" i="6" s="1"/>
  <c r="K28" i="7"/>
  <c r="S28" i="6" s="1"/>
  <c r="I28" i="7"/>
  <c r="R28" i="6" s="1"/>
  <c r="S19" i="6"/>
  <c r="K35" i="7"/>
  <c r="S35" i="6" s="1"/>
  <c r="I35" i="7"/>
  <c r="R35" i="6" s="1"/>
  <c r="S40" i="6"/>
  <c r="S45" i="6"/>
  <c r="K44" i="7"/>
  <c r="S44" i="6" s="1"/>
  <c r="M30" i="7"/>
  <c r="I30" i="7" s="1"/>
  <c r="R30" i="6" s="1"/>
  <c r="L30" i="7"/>
  <c r="S46" i="6"/>
  <c r="R46" i="6"/>
  <c r="I21" i="7"/>
  <c r="R21" i="6" s="1"/>
  <c r="K21" i="7"/>
  <c r="S21" i="6" s="1"/>
  <c r="M14" i="7"/>
  <c r="I14" i="7" s="1"/>
  <c r="R14" i="6" s="1"/>
  <c r="L14" i="7"/>
  <c r="S9" i="6"/>
  <c r="L6" i="7"/>
  <c r="M6" i="7"/>
  <c r="I6" i="7" s="1"/>
  <c r="R6" i="6" s="1"/>
  <c r="I13" i="7"/>
  <c r="R13" i="6" s="1"/>
  <c r="K13" i="7"/>
  <c r="S13" i="6" s="1"/>
  <c r="S43" i="6"/>
  <c r="R43" i="6"/>
  <c r="M16" i="7"/>
  <c r="L16" i="7"/>
  <c r="S7" i="6"/>
  <c r="S25" i="6"/>
  <c r="M37" i="7"/>
  <c r="L37" i="7"/>
  <c r="S39" i="6"/>
  <c r="M2" i="5"/>
  <c r="K6" i="7"/>
  <c r="S6" i="6" s="1"/>
  <c r="S32" i="6"/>
  <c r="S12" i="6"/>
  <c r="K27" i="7"/>
  <c r="S27" i="6" s="1"/>
  <c r="L32" i="7"/>
  <c r="M32" i="7"/>
  <c r="L39" i="7"/>
  <c r="M39" i="7"/>
  <c r="I39" i="7" s="1"/>
  <c r="R39" i="6" s="1"/>
  <c r="S23" i="6"/>
  <c r="I40" i="7" l="1"/>
  <c r="R40" i="6" s="1"/>
  <c r="M15" i="5" s="1"/>
  <c r="I17" i="7"/>
  <c r="R17" i="6" s="1"/>
  <c r="L7" i="5" s="1"/>
  <c r="L18" i="5"/>
  <c r="M18" i="5"/>
  <c r="K18" i="5"/>
  <c r="M3" i="5"/>
  <c r="I37" i="7"/>
  <c r="R37" i="6" s="1"/>
  <c r="L14" i="5" s="1"/>
  <c r="I44" i="7"/>
  <c r="R44" i="6" s="1"/>
  <c r="K16" i="5" s="1"/>
  <c r="L4" i="5"/>
  <c r="I16" i="7"/>
  <c r="R16" i="6" s="1"/>
  <c r="M6" i="5" s="1"/>
  <c r="I23" i="7"/>
  <c r="R23" i="6" s="1"/>
  <c r="L9" i="5" s="1"/>
  <c r="K3" i="5"/>
  <c r="M5" i="5"/>
  <c r="L5" i="5"/>
  <c r="K5" i="5"/>
  <c r="K4" i="5"/>
  <c r="M4" i="5"/>
  <c r="L11" i="5"/>
  <c r="K11" i="5"/>
  <c r="M11" i="5"/>
  <c r="I32" i="7"/>
  <c r="R32" i="6" s="1"/>
  <c r="K12" i="5" s="1"/>
  <c r="L13" i="5"/>
  <c r="K13" i="5"/>
  <c r="L8" i="5"/>
  <c r="M8" i="5"/>
  <c r="K8" i="5"/>
  <c r="M17" i="5"/>
  <c r="K17" i="5"/>
  <c r="M13" i="5"/>
  <c r="L17" i="5"/>
  <c r="L10" i="5"/>
  <c r="K10" i="5"/>
  <c r="M10" i="5"/>
  <c r="L3" i="5"/>
  <c r="L15" i="5" l="1"/>
  <c r="L16" i="5"/>
  <c r="K7" i="5"/>
  <c r="M7" i="5"/>
  <c r="K15" i="5"/>
  <c r="M16" i="5"/>
  <c r="K14" i="5"/>
  <c r="M14" i="5"/>
  <c r="M9" i="5"/>
  <c r="K9" i="5"/>
  <c r="K6" i="5"/>
  <c r="L6" i="5"/>
  <c r="L12" i="5"/>
  <c r="M12" i="5"/>
</calcChain>
</file>

<file path=xl/sharedStrings.xml><?xml version="1.0" encoding="utf-8"?>
<sst xmlns="http://schemas.openxmlformats.org/spreadsheetml/2006/main" count="796" uniqueCount="410">
  <si>
    <t>CRM Input Database — Index</t>
  </si>
  <si>
    <t>Click a sheet name below to jump to it.</t>
  </si>
  <si>
    <t>Sheet</t>
  </si>
  <si>
    <t>Purpose</t>
  </si>
  <si>
    <t>Input Contact Information</t>
  </si>
  <si>
    <t>The only sheet you need to maintain. Enter each partner, company, and contact's details here — every other sheet updates from this automatically.</t>
  </si>
  <si>
    <t>Accounts Overview</t>
  </si>
  <si>
    <t>One row per client account: company profile (sector, website, competitors, HQ) plus a live engagement health summary.</t>
  </si>
  <si>
    <t>Contacts Overview</t>
  </si>
  <si>
    <t>One row per contact: profile details combined with tier, target cadence, and current engagement status.</t>
  </si>
  <si>
    <t>Engagements Overview</t>
  </si>
  <si>
    <t>Tracks each contact's last engagement date and follow-up status, calculated against the cadence rules in Methodology.</t>
  </si>
  <si>
    <t>Bain_POCs</t>
  </si>
  <si>
    <t>Reference list of Bain partners and points of contact — powers the dropdown lists used throughout the workbook.</t>
  </si>
  <si>
    <t>Methodology</t>
  </si>
  <si>
    <t>Reference rules for how Contact Tier, Target Cadence, and Engagement Status are calculated.</t>
  </si>
  <si>
    <t>Tip: sheet names above are clickable links. From any other sheet, right-click the sheet-navigation arrows in the bottom-left corner of Excel to jump straight back here.</t>
  </si>
  <si>
    <t>Partner Name</t>
  </si>
  <si>
    <t>Company Name</t>
  </si>
  <si>
    <t>Contact Person Full Name</t>
  </si>
  <si>
    <t>Designation</t>
  </si>
  <si>
    <t>Mobile/ Whatsapp number</t>
  </si>
  <si>
    <t>Email</t>
  </si>
  <si>
    <t>Linkedin/ public profile URL</t>
  </si>
  <si>
    <t>Base city/ location</t>
  </si>
  <si>
    <t>Preferred channel of outreach</t>
  </si>
  <si>
    <t>Seniority</t>
  </si>
  <si>
    <t>Relationship Quality</t>
  </si>
  <si>
    <t>Account Revenue</t>
  </si>
  <si>
    <t>Automatic tier assigned</t>
  </si>
  <si>
    <t>Manual Tier change?</t>
  </si>
  <si>
    <t>Professional interests Interests</t>
  </si>
  <si>
    <t>Personal Interests</t>
  </si>
  <si>
    <t>Last engagement date</t>
  </si>
  <si>
    <t>Next steps</t>
  </si>
  <si>
    <t>Company - First Occurrence? (helper)</t>
  </si>
  <si>
    <t>Company - Unique Rank (helper)</t>
  </si>
  <si>
    <t>Contact - First Occurrence? (helper, keyed on Name+Company)</t>
  </si>
  <si>
    <t>Contact - Unique Rank (helper, keyed on Name+Company)</t>
  </si>
  <si>
    <t>Contact+Company composite key (helper)</t>
  </si>
  <si>
    <t>Wael Hatoum</t>
  </si>
  <si>
    <t>QatarEnergy</t>
  </si>
  <si>
    <t>Amal Al Noor</t>
  </si>
  <si>
    <t>Chief Executive Officer</t>
  </si>
  <si>
    <t>amal.alnoor@sample-1.example</t>
  </si>
  <si>
    <t>High</t>
  </si>
  <si>
    <t>Khalid Al Thani</t>
  </si>
  <si>
    <t>Chief Strategy Officer</t>
  </si>
  <si>
    <t>khalid.althani@sample-1.example</t>
  </si>
  <si>
    <t>Medium</t>
  </si>
  <si>
    <t>Mariam Al Suwaidi</t>
  </si>
  <si>
    <t>Vice President, Strategy</t>
  </si>
  <si>
    <t>mariam.alsuwaidi@sample-1.example</t>
  </si>
  <si>
    <t>Alberto Michelotti</t>
  </si>
  <si>
    <t>Qatar Airways Group</t>
  </si>
  <si>
    <t>Fahad Al Kuwari</t>
  </si>
  <si>
    <t>fahad.alkuwari@sample-2.example</t>
  </si>
  <si>
    <t>Noor Al Marri</t>
  </si>
  <si>
    <t>noor.almarri@sample-2.example</t>
  </si>
  <si>
    <t>Low</t>
  </si>
  <si>
    <t>Hassan Al Kaabi</t>
  </si>
  <si>
    <t>hassan.alkaabi@sample-2.example</t>
  </si>
  <si>
    <t>Had a conversation - no new projects in pipeline</t>
  </si>
  <si>
    <t>Eric Guraieb</t>
  </si>
  <si>
    <t>Qatar National Bank</t>
  </si>
  <si>
    <t>Layla Al Nuaimi</t>
  </si>
  <si>
    <t>layla.alnuaimi@sample-3.example</t>
  </si>
  <si>
    <t>Omar Al Ansari</t>
  </si>
  <si>
    <t>omar.alansari@sample-3.example</t>
  </si>
  <si>
    <t>Sara Al Farsi</t>
  </si>
  <si>
    <t>sara.alfarsi@sample-3.example</t>
  </si>
  <si>
    <t>Kyle Strong</t>
  </si>
  <si>
    <t>Ooredoo Qatar</t>
  </si>
  <si>
    <t>Yousef Al Mulla</t>
  </si>
  <si>
    <t>yousef.almulla@sample-4.example</t>
  </si>
  <si>
    <t>Aisha Al Hamadi</t>
  </si>
  <si>
    <t>aisha.alhamadi@sample-4.example</t>
  </si>
  <si>
    <t>Rashid Al Jaber</t>
  </si>
  <si>
    <t>rashid.aljaber@sample-4.example</t>
  </si>
  <si>
    <t>Sergey Glushkin</t>
  </si>
  <si>
    <t>Industries Qatar</t>
  </si>
  <si>
    <t>Dana Al Mazrouei</t>
  </si>
  <si>
    <t>dana.almazrouei@sample-5.example</t>
  </si>
  <si>
    <t>Tariq Al Sayed</t>
  </si>
  <si>
    <t>Director, Transformation</t>
  </si>
  <si>
    <t>tariq.alsayed@sample-5.example</t>
  </si>
  <si>
    <t>Lina Al Mansoori</t>
  </si>
  <si>
    <t>Senior Manager, Strategy</t>
  </si>
  <si>
    <t>lina.almansoori@sample-5.example</t>
  </si>
  <si>
    <t>Had a conversation- Might have a new project in pipeline</t>
  </si>
  <si>
    <t>Commercial Bank of Qatar</t>
  </si>
  <si>
    <t>Moza Al Kuwari</t>
  </si>
  <si>
    <t>moza.alkuwari@sample-6.example</t>
  </si>
  <si>
    <t>Saeed Al Romaihi</t>
  </si>
  <si>
    <t>saeed.alromaihi@sample-6.example</t>
  </si>
  <si>
    <t>Hessa Al Hajri</t>
  </si>
  <si>
    <t>hessa.alhajri@sample-6.example</t>
  </si>
  <si>
    <t>Doha Bank</t>
  </si>
  <si>
    <t>Jassim Al Subaie</t>
  </si>
  <si>
    <t>jassim.alsubaie@sample-7.example</t>
  </si>
  <si>
    <t>Reem Al Khulaifi</t>
  </si>
  <si>
    <t>reem.alkhulaifi@sample-7.example</t>
  </si>
  <si>
    <t>Abdulla Al Dosari</t>
  </si>
  <si>
    <t>abdulla.aldosari@sample-7.example</t>
  </si>
  <si>
    <t>Meeting fixed for next month</t>
  </si>
  <si>
    <t>Qatar Insurance Company</t>
  </si>
  <si>
    <t>Fatima Al Mohannadi</t>
  </si>
  <si>
    <t>fatima.almohannadi@sample-8.example</t>
  </si>
  <si>
    <t>Hamad Al Nasr</t>
  </si>
  <si>
    <t>hamad.alnasr@sample-8.example</t>
  </si>
  <si>
    <t>Shaikha Al Muftah</t>
  </si>
  <si>
    <t>shaikha.almuftah@sample-8.example</t>
  </si>
  <si>
    <t>Nakilat</t>
  </si>
  <si>
    <t>Bader Al Emadi</t>
  </si>
  <si>
    <t>bader.alemadi@sample-9.example</t>
  </si>
  <si>
    <t>Maryam Al Rayes</t>
  </si>
  <si>
    <t>maryam.alrayes@sample-9.example</t>
  </si>
  <si>
    <t>Meeting fixed for next week</t>
  </si>
  <si>
    <t>Naveed Vakil</t>
  </si>
  <si>
    <t>United Development Company</t>
  </si>
  <si>
    <t>Noura Al Derham</t>
  </si>
  <si>
    <t>noura.alderham@sample-10.example</t>
  </si>
  <si>
    <t>Waleed Al Khater</t>
  </si>
  <si>
    <t>waleed.alkhater@sample-10.example</t>
  </si>
  <si>
    <t>Hind Al Qasimi</t>
  </si>
  <si>
    <t>hind.alqasimi@sample-10.example</t>
  </si>
  <si>
    <t>Reda Jennane</t>
  </si>
  <si>
    <t>Milaha</t>
  </si>
  <si>
    <t>Majed Al Shafi</t>
  </si>
  <si>
    <t>majed.alshafi@sample-11.example</t>
  </si>
  <si>
    <t>Jawaher Al Murikhi</t>
  </si>
  <si>
    <t>jawaher.almurikhi@sample-11.example</t>
  </si>
  <si>
    <t>Thamer Al Misnad</t>
  </si>
  <si>
    <t>thamer.almisnad@sample-11.example</t>
  </si>
  <si>
    <t>Riccardo Terruzzi</t>
  </si>
  <si>
    <t>Baladna</t>
  </si>
  <si>
    <t>Latifa Al Shamlan</t>
  </si>
  <si>
    <t>latifa.alshamlan@sample-12.example</t>
  </si>
  <si>
    <t>Mansour Al Dehaimi</t>
  </si>
  <si>
    <t>mansour.aldehaimi@sample-12.example</t>
  </si>
  <si>
    <t>Meirah Al Obaidly</t>
  </si>
  <si>
    <t>meirah.alobaidly@sample-12.example</t>
  </si>
  <si>
    <t>Stanislav Gaiduk</t>
  </si>
  <si>
    <t>Emirates Group</t>
  </si>
  <si>
    <t>Khalifa Al Yafei</t>
  </si>
  <si>
    <t>khalifa.alyafei@sample-13.example</t>
  </si>
  <si>
    <t>Wafa Al Humaid</t>
  </si>
  <si>
    <t>Manager, Transformation</t>
  </si>
  <si>
    <t>wafa.alhumaid@sample-13.example</t>
  </si>
  <si>
    <t>Nasser Al Khaldi</t>
  </si>
  <si>
    <t>Program Manager</t>
  </si>
  <si>
    <t>nasser.alkhaldi@sample-13.example</t>
  </si>
  <si>
    <t>Badaoui Saroufim</t>
  </si>
  <si>
    <t>DP World</t>
  </si>
  <si>
    <t>Asma Al Buainain</t>
  </si>
  <si>
    <t>asma.albuainain@sample-14.example</t>
  </si>
  <si>
    <t>Turki Al Sowaidi</t>
  </si>
  <si>
    <t>turki.alsowaidi@sample-14.example</t>
  </si>
  <si>
    <t>Amna Al Kaldi</t>
  </si>
  <si>
    <t>amna.alkaldi@sample-14.example</t>
  </si>
  <si>
    <t>Meher Ben Marzouk</t>
  </si>
  <si>
    <t>Emaar Properties</t>
  </si>
  <si>
    <t>Sultan Al Meer</t>
  </si>
  <si>
    <t>sultan.almeer@sample-15.example</t>
  </si>
  <si>
    <t>Hoor Al Hajj</t>
  </si>
  <si>
    <t>hoor.alhajj@sample-15.example</t>
  </si>
  <si>
    <t>Zayed Al Rashdi</t>
  </si>
  <si>
    <t>zayed.alrashdi@sample-15.example</t>
  </si>
  <si>
    <t>Invest Qatar</t>
  </si>
  <si>
    <t>Sheikh Ali Alwaleed Al-Thani</t>
  </si>
  <si>
    <t>sheikh.althani@sample-16.example</t>
  </si>
  <si>
    <t>Account ID</t>
  </si>
  <si>
    <t>Account Name</t>
  </si>
  <si>
    <t>Sector</t>
  </si>
  <si>
    <t>Website</t>
  </si>
  <si>
    <t>Products/ Services</t>
  </si>
  <si>
    <t>Competitors</t>
  </si>
  <si>
    <t>Headquarters</t>
  </si>
  <si>
    <t>Primary Guradian</t>
  </si>
  <si>
    <t>Secondary PoC</t>
  </si>
  <si>
    <t>Engagements</t>
  </si>
  <si>
    <t>On Track</t>
  </si>
  <si>
    <t>For Review</t>
  </si>
  <si>
    <t>Overdue</t>
  </si>
  <si>
    <t>Energy</t>
  </si>
  <si>
    <t>https://www.qatarenergy.qa/</t>
  </si>
  <si>
    <t>Oil &amp; Gas</t>
  </si>
  <si>
    <t>Saudi Aramco; ExxonMobil; Shell; TotalEnergies; ADNOC</t>
  </si>
  <si>
    <t>Qatar, Middle East</t>
  </si>
  <si>
    <t>Transportation</t>
  </si>
  <si>
    <t>https://www.qatarairways.com</t>
  </si>
  <si>
    <t>Aviation</t>
  </si>
  <si>
    <t>Emirates; Etihad Airways; Turkish Airlines; Singapore Airlines; Cathay Pacific</t>
  </si>
  <si>
    <t>Financial Services</t>
  </si>
  <si>
    <t>https://www.qnb.com</t>
  </si>
  <si>
    <t>Banking</t>
  </si>
  <si>
    <t>Emirates NBD; First Abu Dhabi Bank; Qatar Islamic Bank; Commercial Bank of Qatar; Doha Bank</t>
  </si>
  <si>
    <t>Technology &amp; Telecom</t>
  </si>
  <si>
    <t>https://www.ooredoo.qa</t>
  </si>
  <si>
    <t>Telecommunications</t>
  </si>
  <si>
    <t>Vodafone Qatar; stc (Saudi Telecom Company); e&amp; (Etisalat); du (Emirates Integrated Telecom); Zain Group</t>
  </si>
  <si>
    <t>Industrials</t>
  </si>
  <si>
    <t>https://iq.com.qa/</t>
  </si>
  <si>
    <t>Petrochemicals &amp; Manufacturing</t>
  </si>
  <si>
    <t>SABIC; Yara International; OCI N.V.; ADNOC (Borouge); Ma'aden</t>
  </si>
  <si>
    <t>https://www.cbq.qa</t>
  </si>
  <si>
    <t>QNB; Doha Bank; Qatar Islamic Bank; Qatar International Islamic Bank; Ahli Bank Qatar</t>
  </si>
  <si>
    <t>https://qa.dohabank.com/</t>
  </si>
  <si>
    <t>QNB; Commercial Bank of Qatar; Qatar Islamic Bank; Ahli Bank Qatar; Al Khalij Commercial Bank</t>
  </si>
  <si>
    <t>https://qic-group.com/</t>
  </si>
  <si>
    <t>Insurance</t>
  </si>
  <si>
    <t>Gulf Insurance Group; Doha Insurance Group; Qatar General Insurance &amp; Reinsurance; Al Khaleej Takaful Insurance; Sukoon (Oman Insurance Company)</t>
  </si>
  <si>
    <t>https://www.nakilat.com.qa</t>
  </si>
  <si>
    <t>Maritime &amp; Logistics</t>
  </si>
  <si>
    <t>Mitsui O.S.K. Lines (MOL); NYK Line; GasLog; Teekay LNG Partners; MISC Berhad</t>
  </si>
  <si>
    <t>Real Estate</t>
  </si>
  <si>
    <t>https://www.udcqatar.com</t>
  </si>
  <si>
    <t>Property Development</t>
  </si>
  <si>
    <t>Ezdan Holding Group; Barwa Real Estate Group; Qatari Diar; Msheireb Properties; Al Faisal Holding</t>
  </si>
  <si>
    <t>https://www.milaha.com/</t>
  </si>
  <si>
    <t>AD Ports Group; GAC Group; Gulf Warehousing Company (GWC); Bahri (National Shipping Company of Saudi Arabia); NYK Line</t>
  </si>
  <si>
    <t>Sidhant Shetty</t>
  </si>
  <si>
    <t>Consumer Goods</t>
  </si>
  <si>
    <t>https://www.baladna.com</t>
  </si>
  <si>
    <t>Food &amp; Beverage</t>
  </si>
  <si>
    <t>Almarai; NADEC (National Agricultural Development Company); Al Rawabi Dairy; Arla Foods; SADAFCO</t>
  </si>
  <si>
    <t>Shantanu Mittal</t>
  </si>
  <si>
    <t>https://www.emirates.com</t>
  </si>
  <si>
    <t>Etihad Airways; Turkish Airlines; Singapore Airlines; Cathay Pacific; Lufthansa Group</t>
  </si>
  <si>
    <t>United Arab Emirates, Middle East</t>
  </si>
  <si>
    <t>Freddy Cabrera</t>
  </si>
  <si>
    <t>https://www.dpworld.com</t>
  </si>
  <si>
    <t>Ports &amp; Logistics</t>
  </si>
  <si>
    <t>AD Ports Group; PSA International; APM Terminals (Maersk); Hutchison Ports; COSCO Shipping Ports</t>
  </si>
  <si>
    <t>Mark Jreissaty</t>
  </si>
  <si>
    <t>https://www.emaar.com</t>
  </si>
  <si>
    <t>DAMAC Properties; Aldar Properties; Nakheel; Sobha Realty; Dubai Holding (Meraas)</t>
  </si>
  <si>
    <t>Omar Jadallah</t>
  </si>
  <si>
    <t>Government &amp; Public Sector</t>
  </si>
  <si>
    <t>https://www.invest.qa</t>
  </si>
  <si>
    <t>Investment promotion agency</t>
  </si>
  <si>
    <t>Dubai FDI (Dubai Investment Development Agency); Abu Dhabi Investment Office (ADIO); Invest Saudi (MISA); Bahrain EDB; Kuwait Direct Investment Promotion Authority (KDIPA)</t>
  </si>
  <si>
    <t>Contact ID</t>
  </si>
  <si>
    <t>Contact Name</t>
  </si>
  <si>
    <t>Company</t>
  </si>
  <si>
    <t>Job Title</t>
  </si>
  <si>
    <t>Mobile/ Whatsap number</t>
  </si>
  <si>
    <t>Linkedin/ Public profile URL</t>
  </si>
  <si>
    <t>Tier</t>
  </si>
  <si>
    <t>Target Cadence</t>
  </si>
  <si>
    <t>Status</t>
  </si>
  <si>
    <t>Days Since Engagement</t>
  </si>
  <si>
    <t>Professional Interests</t>
  </si>
  <si>
    <t>Engagement ID</t>
  </si>
  <si>
    <t>Primary Guardian</t>
  </si>
  <si>
    <t>Last Engagement Date</t>
  </si>
  <si>
    <t>Review Threshold Day</t>
  </si>
  <si>
    <t>Overdue Threshold Day</t>
  </si>
  <si>
    <t>As Of</t>
  </si>
  <si>
    <t>Next Steps</t>
  </si>
  <si>
    <t>Input Row # (helper)</t>
  </si>
  <si>
    <t>Tier (helper)</t>
  </si>
  <si>
    <t>Account Row # (helper)</t>
  </si>
  <si>
    <t>Partner Full Name</t>
  </si>
  <si>
    <t>Position</t>
  </si>
  <si>
    <t>Access Role</t>
  </si>
  <si>
    <t>waelhatoum@bain.example</t>
  </si>
  <si>
    <t>Senior Partner</t>
  </si>
  <si>
    <t>Admin</t>
  </si>
  <si>
    <t>albertomichelotti@bain.example</t>
  </si>
  <si>
    <t>Partner</t>
  </si>
  <si>
    <t>ericguraieb@bain.example</t>
  </si>
  <si>
    <t>kylestrong@bain.example</t>
  </si>
  <si>
    <t>User</t>
  </si>
  <si>
    <t>sergeyglushkin@bain.example</t>
  </si>
  <si>
    <t>naveedvakil@bain.example</t>
  </si>
  <si>
    <t>redajennane@bain.example</t>
  </si>
  <si>
    <t>Associate Partner</t>
  </si>
  <si>
    <t>riccardoterruzzi@bain.example</t>
  </si>
  <si>
    <t>stanislavgaiduk@bain.example</t>
  </si>
  <si>
    <t>badaouisaroufim@bain.example</t>
  </si>
  <si>
    <t>meherbenmarzouk@bain.example</t>
  </si>
  <si>
    <t>sidhantshetty@bain.example</t>
  </si>
  <si>
    <t>Senior Manager</t>
  </si>
  <si>
    <t>shantanumittal@bain.example</t>
  </si>
  <si>
    <t>freddycabrera@bain.example</t>
  </si>
  <si>
    <t>markjreissaty@bain.example</t>
  </si>
  <si>
    <t>omarjadallah@bain.example</t>
  </si>
  <si>
    <t>CRM Tiering &amp; Status Methodology</t>
  </si>
  <si>
    <t>Reference rules used to derive Contact Tier, Target Cadence, and Engagement Status.</t>
  </si>
  <si>
    <t>Topic</t>
  </si>
  <si>
    <t>Categories</t>
  </si>
  <si>
    <t>Definition</t>
  </si>
  <si>
    <t>Status Thresholds</t>
  </si>
  <si>
    <t>On track</t>
  </si>
  <si>
    <t>For review</t>
  </si>
  <si>
    <t>Tier
Derived from three ratings: Seniority, Relationship Quality, Account Revenue (each High / Medium / Low)</t>
  </si>
  <si>
    <t>Tier 1</t>
  </si>
  <si>
    <t>At least 2 High ratings, and either Seniority or Account Revenue is High</t>
  </si>
  <si>
    <t>Monthly</t>
  </si>
  <si>
    <t xml:space="preserve"> ≤ 30 days</t>
  </si>
  <si>
    <t>31–60 days</t>
  </si>
  <si>
    <t xml:space="preserve"> ≥ 61 days</t>
  </si>
  <si>
    <t>Tier 2</t>
  </si>
  <si>
    <t>At least one High rating and at least one Medium rating</t>
  </si>
  <si>
    <t>Quarterly</t>
  </si>
  <si>
    <t xml:space="preserve"> ≤ 90 days</t>
  </si>
  <si>
    <t>91-180 days</t>
  </si>
  <si>
    <t xml:space="preserve"> ≥ 181 days</t>
  </si>
  <si>
    <t>Tier 3</t>
  </si>
  <si>
    <t>Does not meet the Tier 1 or Tier 2 thresholds (default)</t>
  </si>
  <si>
    <t>Semi-annually</t>
  </si>
  <si>
    <t xml:space="preserve"> ≤ 180 days</t>
  </si>
  <si>
    <t>181-365 days</t>
  </si>
  <si>
    <t xml:space="preserve"> ≥ 366 days</t>
  </si>
  <si>
    <t>Days since last engagement is within the tier's target cadence</t>
  </si>
  <si>
    <t>Days since last engagement is at or beyond the tier's In Review day but before Overdue</t>
  </si>
  <si>
    <t>Days since last engagement is at or beyond the tier's Overdue day</t>
  </si>
  <si>
    <t>No Task</t>
  </si>
  <si>
    <t>No engagement logged yet (e.g. a newly added contact); status begins here and updates as engagements are logged</t>
  </si>
  <si>
    <t>Energy transition — interested in decarbonisation pathways and global demand shifts; LNG — interested in the strategic role of LNG in the energy transition.</t>
  </si>
  <si>
    <t>Golf — follows major golf events; Travel — enjoys distinctive destinations, resorts and courses.</t>
  </si>
  <si>
    <t>Corporate strategy — interested in portfolio choices and how energy companies create value across assets; Energy trading — follows market volatility and trading opportunities.</t>
  </si>
  <si>
    <t>Reading — enjoys business and current-affairs books; Padel — follows or plays padel socially.</t>
  </si>
  <si>
    <t>Decarbonisation — interested in scalable emissions reduction; Capital projects — interested in project economics and delivery of large energy investments.</t>
  </si>
  <si>
    <t>Photography — enjoys destination and architectural photography; Travel — interested in culturally or visually distinctive places.</t>
  </si>
  <si>
    <t>Airline strategy — interested in network economics, growth and profitability; Fleet expansion — interested in fleet choices and how they support network growth and customer experience.</t>
  </si>
  <si>
    <t>Football — follows major football competitions; Aviation history — enjoys stories about iconic aircraft, airlines and aviation milestones.</t>
  </si>
  <si>
    <t>Network planning — interested in route economics and hub connectivity; Regional growth — interested in expansion opportunities across the GCC and adjacent markets.</t>
  </si>
  <si>
    <t>Tennis — follows major tournaments; Travel — enjoys destinations linked to sport or culture.</t>
  </si>
  <si>
    <t>Customer experience — interested in improving the end-to-end passenger journey; Digital aviation — interested in practical uses of digital tools and data in aviation.</t>
  </si>
  <si>
    <t>Running — enjoys recreational running; Technology — follows consumer technology, wearables and fitness devices.</t>
  </si>
  <si>
    <t>Capital markets — interested in financing trends and regional capital flows; Corporate banking — interested in how banks deepen relationships with large corporates.</t>
  </si>
  <si>
    <t>Golf — follows the sport and major events; Economics — enjoys discussing macroeconomic trends, markets and implications for the GCC.</t>
  </si>
  <si>
    <t>Digital banking — interested in digital business models and fintech partnerships; M&amp;A — interested in the strategic rationale behind banking deals.</t>
  </si>
  <si>
    <t>Padel — enjoys playing socially; Reading — enjoys business, leadership and current-affairs books.</t>
  </si>
  <si>
    <t>Payments — interested in digital payments and simpler customer journeys; Wealth management — interested in affluent-customer propositions and trusted advisory relationships.</t>
  </si>
  <si>
    <t>Art — enjoys exhibitions and galleries; Travel — enjoys culturally rich destinations, local design and architecture.</t>
  </si>
  <si>
    <t>5G — interested in monetising next-generation connectivity; Digital platforms — interested in building adjacent digital services beyond the traditional telecom core.</t>
  </si>
  <si>
    <t>Football — follows major leagues and competitions; Technology — enjoys useful new devices and consumer technology.</t>
  </si>
  <si>
    <t>AI and analytics — interested in practical AI applications and data-led decision-making; B2B growth — interested in scaling enterprise digital services.</t>
  </si>
  <si>
    <t>Cycling — enjoys recreational cycling; Podcasts — listens to business, technology and leadership podcasts.</t>
  </si>
  <si>
    <t>Customer experience — interested in creating simple digital journeys; Cybersecurity — interested in trust, privacy and cyber resilience.</t>
  </si>
  <si>
    <t>Running — enjoys recreational running; Photography — enjoys city, travel or event-based photography.</t>
  </si>
  <si>
    <t>Petrochemicals — interested in industry competitiveness and future economics; Industrial decarbonisation — interested in lower-carbon production in energy-intensive industries.</t>
  </si>
  <si>
    <t>Sailing — enjoys maritime experiences and sailing events; Travel — enjoys coastal and waterfront destinations.</t>
  </si>
  <si>
    <t>Digital manufacturing — interested in automation and technology-enabled operations; Operational excellence — interested in plant productivity and measurable performance improvement.</t>
  </si>
  <si>
    <t>Golf — follows major tournaments; Formula 1 — follows races and is interested in performance, engineering and strategy.</t>
  </si>
  <si>
    <t>Supply-chain resilience — interested in supplier risk and reliability; Capital projects — interested in effective delivery of major industrial investments.</t>
  </si>
  <si>
    <t>Hiking — enjoys accessible outdoor trails; Reading — enjoys books on business, history and current affairs.</t>
  </si>
  <si>
    <t>SME banking — interested in improving propositions and financing for growing businesses; Digital banking — interested in digital onboarding and simpler customer journeys.</t>
  </si>
  <si>
    <t>Padel — enjoys playing socially; Travel — enjoys short regional trips and city breaks.</t>
  </si>
  <si>
    <t>Banking transformation — interested in simplifying operations and improving service; Process automation — interested in digitising workflows and improving efficiency.</t>
  </si>
  <si>
    <t>Cycling — enjoys recreational cycling; Technology — follows technology related to mobility, fitness and productivity.</t>
  </si>
  <si>
    <t>Payments — interested in frictionless payment journeys; Customer experience — interested in using customer insight to improve everyday banking interactions.</t>
  </si>
  <si>
    <t>Cooking — enjoys trying new recipes and regional cuisines; Photography — enjoys food and travel photography.</t>
  </si>
  <si>
    <t>Capital markets — interested in funding, liquidity and changing market conditions; Balance-sheet strategy — interested in asset allocation and navigating different rate environments.</t>
  </si>
  <si>
    <t>Golf — follows major competitions; Football — follows major teams, players and events.</t>
  </si>
  <si>
    <t>Corporate banking — interested in sector-led client growth and transaction opportunities; M&amp;A — interested in the strategic logic behind regional deals.</t>
  </si>
  <si>
    <t>Reading — enjoys business and current-affairs books; Travel — enjoys culturally interesting destinations and city breaks.</t>
  </si>
  <si>
    <t>Risk and regulation — interested in compliance, resilience and sound risk management; Digital banking — interested in balancing digital innovation with appropriate controls.</t>
  </si>
  <si>
    <t>Running — enjoys recreational running; Padel — enjoys playing socially and follows local events.</t>
  </si>
  <si>
    <t>InsurTech — interested in digital insurance models; Climate risk — interested in climate-related exposure and new approaches to pricing and managing risk.</t>
  </si>
  <si>
    <t>Tennis — follows major tournaments; Art — enjoys exhibitions, galleries and contemporary art.</t>
  </si>
  <si>
    <t>Underwriting transformation — interested in modernising underwriting processes; Risk analytics — interested in data-led risk selection and pricing.</t>
  </si>
  <si>
    <t>Cycling — enjoys cycling and scenic routes; Travel — enjoys outdoor and destination-based trips.</t>
  </si>
  <si>
    <t>Distribution strategy — interested in digital and partner channels; Customer experience — interested in retention and simpler insurance journeys.</t>
  </si>
  <si>
    <t>Cooking — enjoys exploring recipes; Reading — reads across business, culture and current affairs.</t>
  </si>
  <si>
    <t>Sustainability — interested in lower-emission maritime operations; Green shipping — interested in alternative fuels and the commercial path to greener fleets.</t>
  </si>
  <si>
    <t>Sailing — enjoys maritime activities; Environmental volunteering — interested in conservation and coastal community initiatives.</t>
  </si>
  <si>
    <t>Fleet renewal — interested in vessel investment and modernisation choices; Maritime decarbonisation — interested in fuel transition and lower-emission shipping.</t>
  </si>
  <si>
    <t>Photography — enjoys coastal and landscape photography; Travel — enjoys destinations with a strong maritime character.</t>
  </si>
  <si>
    <t>Real-estate growth — interested in destination development and portfolio performance; Operational excellence — interested in delivering high-quality resident and visitor experiences.</t>
  </si>
  <si>
    <t>Running — enjoys active outdoor running; Sailing — follows or participates in sailing and local maritime events.</t>
  </si>
  <si>
    <t>Urban development — interested in placemaking and the evolution of mixed-use destinations; Real-estate investment — interested in portfolio returns and investment opportunities.</t>
  </si>
  <si>
    <t>Architecture — enjoys contemporary architecture and design-led developments; Art — enjoys exhibitions connected to urban culture.</t>
  </si>
  <si>
    <t>Smart cities — interested in connected communities and digital infrastructure; Mixed-use development — interested in integrated residential, retail and hospitality destinations.</t>
  </si>
  <si>
    <t>Golf — follows the sport; Travel — enjoys well-designed resorts, cities and leisure destinations.</t>
  </si>
  <si>
    <t>Sustainable logistics — interested in lower-carbon operations; Customer experience — interested in making shipping and logistics services easier for customers.</t>
  </si>
  <si>
    <t>Photography — enjoys visual storytelling and architecture; Design — interested in product and service design.</t>
  </si>
  <si>
    <t>M&amp;A — interested in the rationale behind shipping and logistics deals; Fleet financing — interested in asset-backed financing and investment choices.</t>
  </si>
  <si>
    <t>Golf — follows the sport; Sailing — enjoys maritime and coastal events and destinations.</t>
  </si>
  <si>
    <t>Digital transformation — interested in using technology and data to improve operations; Port operations — interested in automation and efficiency across maritime and logistics networks.</t>
  </si>
  <si>
    <t>Padel — enjoys playing socially; Technology — follows useful digital tools, devices and emerging technology.</t>
  </si>
  <si>
    <t>Regional growth — interested in market expansion across the GCC; Food-sector strategy — interested in food security and scaling consumer brands.</t>
  </si>
  <si>
    <t>Football — follows major competitions; Travel — enjoys trips linked to events, culture and new destinations.</t>
  </si>
  <si>
    <t>Food security — interested in resilient local supply; Consumer growth — interested in brand building and expanding dairy and food propositions.</t>
  </si>
  <si>
    <t>Cooking — enjoys food and healthy recipes; Wellness — interested in practical fitness and wellbeing.</t>
  </si>
  <si>
    <t>Supply-chain transformation — interested in availability, forecasting and supply performance; Digital commerce — interested in direct-to-consumer growth in food and retail.</t>
  </si>
  <si>
    <t>Running — enjoys recreational running; Photography — enjoys landscapes, city life and travel photography.</t>
  </si>
  <si>
    <t>Route-to-market — interested in stronger commercial channels and service consistency; Operational excellence — interested in productivity across complex aviation operations.</t>
  </si>
  <si>
    <t>Football — follows major competitions; Travel — enjoys destinations with sporting or cultural appeal.</t>
  </si>
  <si>
    <t>Aviation sustainability — interested in lower-carbon flying; Network planning — interested in route economics and balancing growth with environmental goals.</t>
  </si>
  <si>
    <t>Tennis — follows major events; Travel — enjoys trips connected to culture, food or live sport.</t>
  </si>
  <si>
    <t>Digital transformation — interested in using technology and data to improve travel; Customer experience — interested in loyalty and simpler passenger journeys.</t>
  </si>
  <si>
    <t>Cycling — enjoys cycling; Technology — follows mobility, wearables and consumer technology.</t>
  </si>
  <si>
    <t>Program delivery — interested in executing large transformation programmes; Logistics operations — interested in improving end-to-end supply-chain performance.</t>
  </si>
  <si>
    <t>Running — enjoys recreational running; Photography — enjoys urban, travel or event-based photography.</t>
  </si>
  <si>
    <t>Trade corridors — interested in shifts in global trade flows; Port operations — interested in port productivity and the competitiveness of regional logistics hubs.</t>
  </si>
  <si>
    <t>Golf — follows the sport; Sailing — enjoys coastal destinations, marinas and sailing events.</t>
  </si>
  <si>
    <t>Logistics automation — interested in smart ports, robotics and data visibility; Digital transformation — interested in creating more seamless customer and operational processes.</t>
  </si>
  <si>
    <t>Padel — enjoys playing socially; Technology — follows useful devices, apps and emerging technologies.</t>
  </si>
  <si>
    <t>Real-estate portfolio strategy — interested in performance across large mixed-use developments; Operational resilience — interested in maintaining service quality and reliability.</t>
  </si>
  <si>
    <t>Football — follows the sport; Travel — enjoys city, resort and hospitality experiences in new destinations.</t>
  </si>
  <si>
    <t>Real-estate investment — interested in portfolio returns; Hospitality — interested in destination and guest propositions; Mixed-use development — interested in placemaking and integrated lifestyle destinations.</t>
  </si>
  <si>
    <t>Golf — follows the sport; Architecture — enjoys landmark buildings, urban design and design-led destinations.</t>
  </si>
  <si>
    <t>Smart cities — interested in connected communities; Digital sales — interested in data-led customer acquisition and digital journeys for property buyers.</t>
  </si>
  <si>
    <t>Photography — enjoys photography linked to cities and travel; Design — interested in architecture, visual design and the built environment.</t>
  </si>
  <si>
    <t>Capital markets — interested in investor trends and flows; AI — interested in technology and its business applications; Investment promotion — interested in how policy and market positioning can attract high-value businesses to Qatar.</t>
  </si>
  <si>
    <t>Football — follows major events; Photography — enjoys travel, event and urban photography.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</si>
</sst>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mm/dd/yy"/>
  </numFmts>
  <fonts count="13" x14ac:knownFonts="1">
    <font>
      <sz val="12"/>
      <color theme="1"/>
      <name val="Calibri"/>
      <family val="2"/>
      <charset val="1"/>
    </font>
    <font>
      <b/>
      <sz val="16"/>
      <color rgb="FF1F3864"/>
      <name val="Calibri"/>
      <charset val="1"/>
    </font>
    <font>
      <i/>
      <sz val="10"/>
      <color rgb="FF595959"/>
      <name val="Calibri"/>
      <charset val="1"/>
    </font>
    <font>
      <b/>
      <sz val="12"/>
      <color rgb="FFFFFFFF"/>
      <name val="Calibri"/>
      <charset val="1"/>
    </font>
    <font>
      <u/>
      <sz val="10"/>
      <color theme="4" tint="-0.249977111117893"/>
      <name val="Arial"/>
      <family val="2"/>
      <charset val="1"/>
    </font>
    <font>
      <sz val="10"/>
      <name val="Arial"/>
      <charset val="1"/>
    </font>
    <font>
      <sz val="12"/>
      <color rgb="FF000000"/>
      <name val="Calibri"/>
      <charset val="1"/>
    </font>
    <font>
      <b/>
      <sz val="11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u/>
      <sz val="12"/>
      <color theme="10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1"/>
        <bgColor rgb="FF003300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 applyAlignment="1"/>
    <xf numFmtId="0" fontId="0" fillId="0" borderId="0" xfId="0" applyAlignment="1"/>
    <xf numFmtId="0" fontId="0" fillId="0" borderId="0" xfId="0"/>
    <xf numFmtId="0" fontId="2" fillId="0" borderId="0" xfId="0" applyFont="1" applyAlignment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/>
    </xf>
    <xf numFmtId="0" fontId="7" fillId="2" borderId="3" xfId="0" applyFont="1" applyFill="1" applyBorder="1" applyAlignment="1">
      <alignment horizontal="left" vertical="center"/>
    </xf>
    <xf numFmtId="164" fontId="0" fillId="0" borderId="0" xfId="0" applyNumberFormat="1" applyAlignment="1"/>
    <xf numFmtId="0" fontId="0" fillId="0" borderId="0" xfId="0" applyAlignment="1">
      <alignment horizontal="center"/>
    </xf>
    <xf numFmtId="1" fontId="0" fillId="0" borderId="0" xfId="0" applyNumberFormat="1" applyAlignment="1"/>
    <xf numFmtId="165" fontId="0" fillId="0" borderId="0" xfId="0" applyNumberFormat="1" applyAlignment="1"/>
    <xf numFmtId="0" fontId="8" fillId="3" borderId="4" xfId="0" applyFont="1" applyFill="1" applyBorder="1" applyAlignment="1"/>
    <xf numFmtId="0" fontId="0" fillId="0" borderId="4" xfId="0" applyBorder="1" applyAlignment="1"/>
    <xf numFmtId="0" fontId="9" fillId="0" borderId="0" xfId="0" applyFont="1" applyAlignment="1"/>
    <xf numFmtId="0" fontId="10" fillId="2" borderId="3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2" fillId="0" borderId="3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10" fillId="2" borderId="5" xfId="0" applyFont="1" applyFill="1" applyBorder="1" applyAlignment="1">
      <alignment horizontal="left" vertical="center"/>
    </xf>
    <xf numFmtId="0" fontId="0" fillId="0" borderId="5" xfId="0" applyBorder="1"/>
    <xf numFmtId="0" fontId="10" fillId="2" borderId="6" xfId="0" applyFont="1" applyFill="1" applyBorder="1" applyAlignment="1">
      <alignment horizontal="center" vertical="center"/>
    </xf>
    <xf numFmtId="0" fontId="0" fillId="0" borderId="7" xfId="0" applyBorder="1"/>
    <xf numFmtId="0" fontId="11" fillId="0" borderId="3" xfId="0" applyFont="1" applyBorder="1" applyAlignment="1">
      <alignment horizontal="left" vertical="center" wrapText="1"/>
    </xf>
    <xf numFmtId="0" fontId="0" fillId="0" borderId="6" xfId="0" applyBorder="1"/>
    <xf numFmtId="0" fontId="10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7609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D12"/>
  <sheetViews>
    <sheetView showGridLines="0" zoomScaleNormal="100" workbookViewId="0">
      <pane ySplit="4" topLeftCell="A5" activePane="bottomLeft" state="frozen"/>
      <selection pane="bottomLeft" activeCell="B5" sqref="B5"/>
    </sheetView>
  </sheetViews>
  <sheetFormatPr defaultColWidth="8.58203125" defaultRowHeight="15.5" x14ac:dyDescent="0.35"/>
  <cols>
    <col min="1" max="1" width="16" style="1" customWidth="1"/>
    <col min="2" max="2" width="46" style="1" customWidth="1"/>
    <col min="3" max="3" width="50" style="1" customWidth="1"/>
    <col min="4" max="4" width="10" style="1" customWidth="1"/>
  </cols>
  <sheetData>
    <row r="1" spans="1:4" ht="21.75" customHeight="1" x14ac:dyDescent="0.5">
      <c r="A1" s="25" t="s">
        <v>0</v>
      </c>
      <c r="B1" s="26"/>
      <c r="C1" s="26"/>
      <c r="D1" s="26"/>
    </row>
    <row r="2" spans="1:4" ht="15.75" customHeight="1" x14ac:dyDescent="0.35">
      <c r="A2" s="27" t="s">
        <v>1</v>
      </c>
      <c r="B2" s="26"/>
      <c r="C2" s="26"/>
      <c r="D2" s="26"/>
    </row>
    <row r="4" spans="1:4" ht="19.5" customHeight="1" x14ac:dyDescent="0.35">
      <c r="A4" s="4" t="s">
        <v>2</v>
      </c>
      <c r="B4" s="5" t="s">
        <v>3</v>
      </c>
      <c r="C4" s="6"/>
      <c r="D4" s="6"/>
    </row>
    <row r="5" spans="1:4" ht="30" customHeight="1" x14ac:dyDescent="0.35">
      <c r="A5" s="7" t="s">
        <v>4</v>
      </c>
      <c r="B5" s="8" t="s">
        <v>5</v>
      </c>
      <c r="C5" s="9"/>
      <c r="D5" s="10"/>
    </row>
    <row r="6" spans="1:4" ht="30" customHeight="1" x14ac:dyDescent="0.35">
      <c r="A6" s="7" t="s">
        <v>6</v>
      </c>
      <c r="B6" s="8" t="s">
        <v>7</v>
      </c>
      <c r="C6" s="9"/>
      <c r="D6" s="10"/>
    </row>
    <row r="7" spans="1:4" ht="30" customHeight="1" x14ac:dyDescent="0.35">
      <c r="A7" s="7" t="s">
        <v>8</v>
      </c>
      <c r="B7" s="8" t="s">
        <v>9</v>
      </c>
      <c r="C7" s="9"/>
      <c r="D7" s="10"/>
    </row>
    <row r="8" spans="1:4" ht="30" customHeight="1" x14ac:dyDescent="0.35">
      <c r="A8" s="7" t="s">
        <v>10</v>
      </c>
      <c r="B8" s="8" t="s">
        <v>11</v>
      </c>
      <c r="C8" s="9"/>
      <c r="D8" s="10"/>
    </row>
    <row r="9" spans="1:4" ht="30" customHeight="1" x14ac:dyDescent="0.35">
      <c r="A9" s="7" t="s">
        <v>12</v>
      </c>
      <c r="B9" s="8" t="s">
        <v>13</v>
      </c>
      <c r="C9" s="9"/>
      <c r="D9" s="10"/>
    </row>
    <row r="10" spans="1:4" ht="30" customHeight="1" x14ac:dyDescent="0.35">
      <c r="A10" s="7" t="s">
        <v>14</v>
      </c>
      <c r="B10" s="8" t="s">
        <v>15</v>
      </c>
    </row>
    <row r="12" spans="1:4" ht="15" customHeight="1" x14ac:dyDescent="0.35">
      <c r="A12" s="27" t="s">
        <v>16</v>
      </c>
      <c r="B12" s="26"/>
      <c r="C12" s="26"/>
      <c r="D12" s="26"/>
    </row>
  </sheetData>
  <mergeCells count="3">
    <mergeCell ref="A1:D1"/>
    <mergeCell ref="A12:D12"/>
    <mergeCell ref="A2:D2"/>
  </mergeCells>
  <hyperlinks>
    <hyperlink ref="A5" location="'Input Contact Information'!A1" display="Input Contact Information" xr:uid="{00000000-0004-0000-0000-000000000000}"/>
    <hyperlink ref="A6" location="'Accounts Overview'!A1" display="Accounts Overview" xr:uid="{00000000-0004-0000-0000-000001000000}"/>
    <hyperlink ref="A7" location="'Contacts Overview'!A1" display="Contacts Overview" xr:uid="{00000000-0004-0000-0000-000002000000}"/>
    <hyperlink ref="A8" location="'Engagements Overview'!A1" display="Engagements Overview" xr:uid="{00000000-0004-0000-0000-000003000000}"/>
    <hyperlink ref="A9" location="'Bain_POCs'!A1" display="Bain_POCs" xr:uid="{00000000-0004-0000-0000-000004000000}"/>
    <hyperlink ref="A10" location="'Methodology'!A1" display="Methodology" xr:uid="{00000000-0004-0000-00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"/>
  <sheetViews>
    <sheetView zoomScaleNormal="100" workbookViewId="0">
      <selection activeCell="D18" sqref="D18"/>
    </sheetView>
  </sheetViews>
  <sheetFormatPr defaultColWidth="8.58203125" defaultRowHeight="15.5" x14ac:dyDescent="0.3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0"/>
  <sheetViews>
    <sheetView zoomScaleNormal="100" workbookViewId="0">
      <pane ySplit="1" topLeftCell="A2" activePane="bottomLeft" state="frozen"/>
      <selection activeCell="K1" sqref="K1"/>
      <selection pane="bottomLeft" activeCell="B2" sqref="B2:B4"/>
    </sheetView>
  </sheetViews>
  <sheetFormatPr defaultColWidth="8.58203125" defaultRowHeight="15.5" x14ac:dyDescent="0.35"/>
  <cols>
    <col min="1" max="1" width="19.1640625" style="1" customWidth="1"/>
    <col min="2" max="2" width="21.08203125" style="1" customWidth="1"/>
    <col min="3" max="3" width="23" style="1" customWidth="1"/>
    <col min="4" max="4" width="29.33203125" style="1" customWidth="1"/>
    <col min="5" max="5" width="15.58203125" style="1" customWidth="1"/>
    <col min="6" max="6" width="20" style="1" customWidth="1"/>
    <col min="7" max="8" width="28.33203125" style="1" customWidth="1"/>
    <col min="9" max="9" width="29.9140625" style="1" customWidth="1"/>
    <col min="11" max="11" width="10.5" style="1" customWidth="1"/>
    <col min="12" max="12" width="14.9140625" style="1" customWidth="1"/>
    <col min="13" max="13" width="22" style="1" customWidth="1"/>
    <col min="14" max="14" width="19.08203125" style="1" customWidth="1"/>
    <col min="15" max="15" width="39.4140625" style="1" customWidth="1"/>
    <col min="16" max="16" width="36.6640625" style="1" customWidth="1"/>
    <col min="17" max="17" width="19.08203125" style="1" customWidth="1"/>
    <col min="18" max="18" width="22.1640625" style="1" customWidth="1"/>
    <col min="19" max="19" width="13" style="1" hidden="1" customWidth="1"/>
    <col min="20" max="23" width="13" style="2" hidden="1" customWidth="1"/>
  </cols>
  <sheetData>
    <row r="1" spans="1:23" ht="15" customHeight="1" x14ac:dyDescent="0.35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  <c r="J1" s="11" t="s">
        <v>26</v>
      </c>
      <c r="K1" s="11" t="s">
        <v>27</v>
      </c>
      <c r="L1" s="11" t="s">
        <v>28</v>
      </c>
      <c r="M1" s="11" t="s">
        <v>29</v>
      </c>
      <c r="N1" s="11" t="s">
        <v>30</v>
      </c>
      <c r="O1" s="11" t="s">
        <v>31</v>
      </c>
      <c r="P1" s="11" t="s">
        <v>32</v>
      </c>
      <c r="Q1" s="11" t="s">
        <v>33</v>
      </c>
      <c r="R1" s="11" t="s">
        <v>34</v>
      </c>
      <c r="S1" s="11" t="s">
        <v>35</v>
      </c>
      <c r="T1" s="11" t="s">
        <v>36</v>
      </c>
      <c r="U1" s="11" t="s">
        <v>37</v>
      </c>
      <c r="V1" s="11" t="s">
        <v>38</v>
      </c>
      <c r="W1" s="11" t="s">
        <v>39</v>
      </c>
    </row>
    <row r="2" spans="1:23" ht="15" customHeight="1" x14ac:dyDescent="0.35">
      <c r="A2" s="1" t="s">
        <v>40</v>
      </c>
      <c r="B2" s="1" t="s">
        <v>41</v>
      </c>
      <c r="C2" s="1" t="s">
        <v>42</v>
      </c>
      <c r="D2" s="1" t="s">
        <v>43</v>
      </c>
      <c r="F2" s="1" t="s">
        <v>44</v>
      </c>
      <c r="I2" s="1" t="s">
        <v>22</v>
      </c>
      <c r="J2" s="1" t="s">
        <v>45</v>
      </c>
      <c r="K2" s="1" t="s">
        <v>45</v>
      </c>
      <c r="L2" s="1" t="s">
        <v>45</v>
      </c>
      <c r="M2" s="1" t="str">
        <f t="shared" ref="M2:M33" si="0">IF(OR(J2="",K2="",L2=""),"",IF(AND(COUNTIF(J2:L2,"High")&gt;=2,OR(J2="High",L2="High")),"Tier 1",IF(AND(COUNTIF(J2:L2,"High")&gt;=1,COUNTIF(J2:L2,"Medium")&gt;=1),"Tier 2","Tier 3")))</f>
        <v>Tier 1</v>
      </c>
      <c r="O2" s="23" t="s">
        <v>320</v>
      </c>
      <c r="P2" s="23" t="s">
        <v>321</v>
      </c>
      <c r="Q2" s="12">
        <v>46219</v>
      </c>
      <c r="S2" s="1">
        <f>IF(B2="",0,IF(COUNTIF($B$2:$B2,B2)=1,1,0))</f>
        <v>1</v>
      </c>
      <c r="T2" s="1">
        <f>IF(S2=1,SUM($S$2:S2),"")</f>
        <v>1</v>
      </c>
      <c r="U2" s="1">
        <f>IF(W2="",0,IF(COUNTIF($W$2:$W2,W2)=1,1,0))</f>
        <v>1</v>
      </c>
      <c r="V2" s="1">
        <f>IF(U2=1,SUM($U$2:U2),"")</f>
        <v>1</v>
      </c>
      <c r="W2" s="1" t="str">
        <f t="shared" ref="W2:W33" si="1">IF(OR(C2="",B2=""),"",TRIM(C2)&amp;"|"&amp;TRIM(B2))</f>
        <v>Amal Al Noor|QatarEnergy</v>
      </c>
    </row>
    <row r="3" spans="1:23" ht="15" customHeight="1" x14ac:dyDescent="0.35">
      <c r="A3" s="1" t="s">
        <v>40</v>
      </c>
      <c r="B3" s="1" t="s">
        <v>41</v>
      </c>
      <c r="C3" s="1" t="s">
        <v>46</v>
      </c>
      <c r="D3" s="1" t="s">
        <v>47</v>
      </c>
      <c r="F3" s="1" t="s">
        <v>48</v>
      </c>
      <c r="I3" s="1" t="s">
        <v>22</v>
      </c>
      <c r="J3" s="1" t="s">
        <v>45</v>
      </c>
      <c r="K3" s="1" t="s">
        <v>49</v>
      </c>
      <c r="L3" s="1" t="s">
        <v>45</v>
      </c>
      <c r="M3" s="1" t="str">
        <f t="shared" si="0"/>
        <v>Tier 1</v>
      </c>
      <c r="O3" s="23" t="s">
        <v>322</v>
      </c>
      <c r="P3" s="23" t="s">
        <v>323</v>
      </c>
      <c r="Q3" s="12">
        <v>46184</v>
      </c>
      <c r="S3" s="1">
        <f>IF(B3="",0,IF(COUNTIF($B$2:$B3,B3)=1,1,0))</f>
        <v>0</v>
      </c>
      <c r="T3" s="1" t="str">
        <f>IF(S3=1,SUM($S$2:S3),"")</f>
        <v/>
      </c>
      <c r="U3" s="1">
        <f>IF(W3="",0,IF(COUNTIF($W$2:$W3,W3)=1,1,0))</f>
        <v>1</v>
      </c>
      <c r="V3" s="1">
        <f>IF(U3=1,SUM($U$2:U3),"")</f>
        <v>2</v>
      </c>
      <c r="W3" s="1" t="str">
        <f t="shared" si="1"/>
        <v>Khalid Al Thani|QatarEnergy</v>
      </c>
    </row>
    <row r="4" spans="1:23" ht="15" customHeight="1" x14ac:dyDescent="0.35">
      <c r="A4" s="1" t="s">
        <v>40</v>
      </c>
      <c r="B4" s="1" t="s">
        <v>41</v>
      </c>
      <c r="C4" s="1" t="s">
        <v>50</v>
      </c>
      <c r="D4" s="1" t="s">
        <v>51</v>
      </c>
      <c r="F4" s="1" t="s">
        <v>52</v>
      </c>
      <c r="I4" s="1" t="s">
        <v>22</v>
      </c>
      <c r="J4" s="1" t="s">
        <v>45</v>
      </c>
      <c r="K4" s="1" t="s">
        <v>49</v>
      </c>
      <c r="L4" s="1" t="s">
        <v>45</v>
      </c>
      <c r="M4" s="1" t="str">
        <f t="shared" si="0"/>
        <v>Tier 1</v>
      </c>
      <c r="O4" s="23" t="s">
        <v>324</v>
      </c>
      <c r="P4" s="23" t="s">
        <v>325</v>
      </c>
      <c r="Q4" s="12">
        <v>46154</v>
      </c>
      <c r="S4" s="1">
        <f>IF(B4="",0,IF(COUNTIF($B$2:$B4,B4)=1,1,0))</f>
        <v>0</v>
      </c>
      <c r="T4" s="1" t="str">
        <f>IF(S4=1,SUM($S$2:S4),"")</f>
        <v/>
      </c>
      <c r="U4" s="1">
        <f>IF(W4="",0,IF(COUNTIF($W$2:$W4,W4)=1,1,0))</f>
        <v>1</v>
      </c>
      <c r="V4" s="1">
        <f>IF(U4=1,SUM($U$2:U4),"")</f>
        <v>3</v>
      </c>
      <c r="W4" s="1" t="str">
        <f t="shared" si="1"/>
        <v>Mariam Al Suwaidi|QatarEnergy</v>
      </c>
    </row>
    <row r="5" spans="1:23" ht="15" customHeight="1" x14ac:dyDescent="0.35">
      <c r="A5" s="1" t="s">
        <v>53</v>
      </c>
      <c r="B5" s="1" t="s">
        <v>54</v>
      </c>
      <c r="C5" s="1" t="s">
        <v>55</v>
      </c>
      <c r="D5" s="1" t="s">
        <v>43</v>
      </c>
      <c r="F5" s="1" t="s">
        <v>56</v>
      </c>
      <c r="I5" s="1" t="s">
        <v>22</v>
      </c>
      <c r="J5" s="1" t="s">
        <v>45</v>
      </c>
      <c r="K5" s="1" t="s">
        <v>49</v>
      </c>
      <c r="L5" s="1" t="s">
        <v>45</v>
      </c>
      <c r="M5" s="1" t="str">
        <f t="shared" si="0"/>
        <v>Tier 1</v>
      </c>
      <c r="O5" s="23" t="s">
        <v>326</v>
      </c>
      <c r="P5" s="23" t="s">
        <v>327</v>
      </c>
      <c r="Q5" s="12">
        <v>46219</v>
      </c>
      <c r="S5" s="1">
        <f>IF(B5="",0,IF(COUNTIF($B$2:$B5,B5)=1,1,0))</f>
        <v>1</v>
      </c>
      <c r="T5" s="1">
        <f>IF(S5=1,SUM($S$2:S5),"")</f>
        <v>2</v>
      </c>
      <c r="U5" s="1">
        <f>IF(W5="",0,IF(COUNTIF($W$2:$W5,W5)=1,1,0))</f>
        <v>1</v>
      </c>
      <c r="V5" s="1">
        <f>IF(U5=1,SUM($U$2:U5),"")</f>
        <v>4</v>
      </c>
      <c r="W5" s="1" t="str">
        <f t="shared" si="1"/>
        <v>Fahad Al Kuwari|Qatar Airways Group</v>
      </c>
    </row>
    <row r="6" spans="1:23" ht="15" customHeight="1" x14ac:dyDescent="0.35">
      <c r="A6" s="1" t="s">
        <v>53</v>
      </c>
      <c r="B6" s="1" t="s">
        <v>54</v>
      </c>
      <c r="C6" s="1" t="s">
        <v>57</v>
      </c>
      <c r="D6" s="1" t="s">
        <v>47</v>
      </c>
      <c r="F6" s="1" t="s">
        <v>58</v>
      </c>
      <c r="I6" s="1" t="s">
        <v>22</v>
      </c>
      <c r="J6" s="1" t="s">
        <v>49</v>
      </c>
      <c r="K6" s="1" t="s">
        <v>59</v>
      </c>
      <c r="L6" s="1" t="s">
        <v>45</v>
      </c>
      <c r="M6" s="1" t="str">
        <f t="shared" si="0"/>
        <v>Tier 2</v>
      </c>
      <c r="O6" s="23" t="s">
        <v>328</v>
      </c>
      <c r="P6" s="23" t="s">
        <v>329</v>
      </c>
      <c r="Q6" s="12">
        <v>46184</v>
      </c>
      <c r="S6" s="1">
        <f>IF(B6="",0,IF(COUNTIF($B$2:$B6,B6)=1,1,0))</f>
        <v>0</v>
      </c>
      <c r="T6" s="1" t="str">
        <f>IF(S6=1,SUM($S$2:S6),"")</f>
        <v/>
      </c>
      <c r="U6" s="1">
        <f>IF(W6="",0,IF(COUNTIF($W$2:$W6,W6)=1,1,0))</f>
        <v>1</v>
      </c>
      <c r="V6" s="1">
        <f>IF(U6=1,SUM($U$2:U6),"")</f>
        <v>5</v>
      </c>
      <c r="W6" s="1" t="str">
        <f t="shared" si="1"/>
        <v>Noor Al Marri|Qatar Airways Group</v>
      </c>
    </row>
    <row r="7" spans="1:23" ht="15" customHeight="1" x14ac:dyDescent="0.35">
      <c r="A7" s="1" t="s">
        <v>53</v>
      </c>
      <c r="B7" s="1" t="s">
        <v>54</v>
      </c>
      <c r="C7" s="1" t="s">
        <v>60</v>
      </c>
      <c r="D7" s="1" t="s">
        <v>51</v>
      </c>
      <c r="F7" s="1" t="s">
        <v>61</v>
      </c>
      <c r="I7" s="1" t="s">
        <v>22</v>
      </c>
      <c r="J7" s="1" t="s">
        <v>45</v>
      </c>
      <c r="K7" s="1" t="s">
        <v>59</v>
      </c>
      <c r="L7" s="1" t="s">
        <v>45</v>
      </c>
      <c r="M7" s="1" t="str">
        <f t="shared" si="0"/>
        <v>Tier 1</v>
      </c>
      <c r="O7" s="23" t="s">
        <v>330</v>
      </c>
      <c r="P7" s="23" t="s">
        <v>331</v>
      </c>
      <c r="Q7" s="12">
        <v>46288</v>
      </c>
      <c r="R7" s="1" t="s">
        <v>62</v>
      </c>
      <c r="S7" s="1">
        <f>IF(B7="",0,IF(COUNTIF($B$2:$B7,B7)=1,1,0))</f>
        <v>0</v>
      </c>
      <c r="T7" s="1" t="str">
        <f>IF(S7=1,SUM($S$2:S7),"")</f>
        <v/>
      </c>
      <c r="U7" s="1">
        <f>IF(W7="",0,IF(COUNTIF($W$2:$W7,W7)=1,1,0))</f>
        <v>1</v>
      </c>
      <c r="V7" s="1">
        <f>IF(U7=1,SUM($U$2:U7),"")</f>
        <v>6</v>
      </c>
      <c r="W7" s="1" t="str">
        <f t="shared" si="1"/>
        <v>Hassan Al Kaabi|Qatar Airways Group</v>
      </c>
    </row>
    <row r="8" spans="1:23" ht="15" customHeight="1" x14ac:dyDescent="0.35">
      <c r="A8" s="1" t="s">
        <v>63</v>
      </c>
      <c r="B8" s="1" t="s">
        <v>64</v>
      </c>
      <c r="C8" s="1" t="s">
        <v>65</v>
      </c>
      <c r="D8" s="1" t="s">
        <v>43</v>
      </c>
      <c r="F8" s="1" t="s">
        <v>66</v>
      </c>
      <c r="I8" s="1" t="s">
        <v>22</v>
      </c>
      <c r="J8" s="1" t="s">
        <v>45</v>
      </c>
      <c r="K8" s="1" t="s">
        <v>45</v>
      </c>
      <c r="L8" s="1" t="s">
        <v>45</v>
      </c>
      <c r="M8" s="1" t="str">
        <f t="shared" si="0"/>
        <v>Tier 1</v>
      </c>
      <c r="O8" s="23" t="s">
        <v>332</v>
      </c>
      <c r="P8" s="23" t="s">
        <v>333</v>
      </c>
      <c r="Q8" s="12">
        <v>46219</v>
      </c>
      <c r="S8" s="1">
        <f>IF(B8="",0,IF(COUNTIF($B$2:$B8,B8)=1,1,0))</f>
        <v>1</v>
      </c>
      <c r="T8" s="1">
        <f>IF(S8=1,SUM($S$2:S8),"")</f>
        <v>3</v>
      </c>
      <c r="U8" s="1">
        <f>IF(W8="",0,IF(COUNTIF($W$2:$W8,W8)=1,1,0))</f>
        <v>1</v>
      </c>
      <c r="V8" s="1">
        <f>IF(U8=1,SUM($U$2:U8),"")</f>
        <v>7</v>
      </c>
      <c r="W8" s="1" t="str">
        <f t="shared" si="1"/>
        <v>Layla Al Nuaimi|Qatar National Bank</v>
      </c>
    </row>
    <row r="9" spans="1:23" ht="15" customHeight="1" x14ac:dyDescent="0.35">
      <c r="A9" s="1" t="s">
        <v>63</v>
      </c>
      <c r="B9" s="1" t="s">
        <v>64</v>
      </c>
      <c r="C9" s="1" t="s">
        <v>67</v>
      </c>
      <c r="D9" s="1" t="s">
        <v>47</v>
      </c>
      <c r="F9" s="1" t="s">
        <v>68</v>
      </c>
      <c r="I9" s="1" t="s">
        <v>22</v>
      </c>
      <c r="J9" s="1" t="s">
        <v>45</v>
      </c>
      <c r="K9" s="1" t="s">
        <v>49</v>
      </c>
      <c r="L9" s="1" t="s">
        <v>45</v>
      </c>
      <c r="M9" s="1" t="str">
        <f t="shared" si="0"/>
        <v>Tier 1</v>
      </c>
      <c r="O9" s="23" t="s">
        <v>334</v>
      </c>
      <c r="P9" s="23" t="s">
        <v>335</v>
      </c>
      <c r="Q9" s="12">
        <v>46184</v>
      </c>
      <c r="S9" s="1">
        <f>IF(B9="",0,IF(COUNTIF($B$2:$B9,B9)=1,1,0))</f>
        <v>0</v>
      </c>
      <c r="T9" s="1" t="str">
        <f>IF(S9=1,SUM($S$2:S9),"")</f>
        <v/>
      </c>
      <c r="U9" s="1">
        <f>IF(W9="",0,IF(COUNTIF($W$2:$W9,W9)=1,1,0))</f>
        <v>1</v>
      </c>
      <c r="V9" s="1">
        <f>IF(U9=1,SUM($U$2:U9),"")</f>
        <v>8</v>
      </c>
      <c r="W9" s="1" t="str">
        <f t="shared" si="1"/>
        <v>Omar Al Ansari|Qatar National Bank</v>
      </c>
    </row>
    <row r="10" spans="1:23" ht="15" customHeight="1" x14ac:dyDescent="0.35">
      <c r="A10" s="1" t="s">
        <v>63</v>
      </c>
      <c r="B10" s="1" t="s">
        <v>64</v>
      </c>
      <c r="C10" s="1" t="s">
        <v>69</v>
      </c>
      <c r="D10" s="1" t="s">
        <v>51</v>
      </c>
      <c r="F10" s="1" t="s">
        <v>70</v>
      </c>
      <c r="I10" s="1" t="s">
        <v>22</v>
      </c>
      <c r="J10" s="1" t="s">
        <v>45</v>
      </c>
      <c r="K10" s="1" t="s">
        <v>49</v>
      </c>
      <c r="L10" s="1" t="s">
        <v>45</v>
      </c>
      <c r="M10" s="1" t="str">
        <f t="shared" si="0"/>
        <v>Tier 1</v>
      </c>
      <c r="O10" s="23" t="s">
        <v>336</v>
      </c>
      <c r="P10" s="23" t="s">
        <v>337</v>
      </c>
      <c r="Q10" s="12">
        <v>46154</v>
      </c>
      <c r="S10" s="1">
        <f>IF(B10="",0,IF(COUNTIF($B$2:$B10,B10)=1,1,0))</f>
        <v>0</v>
      </c>
      <c r="T10" s="1" t="str">
        <f>IF(S10=1,SUM($S$2:S10),"")</f>
        <v/>
      </c>
      <c r="U10" s="1">
        <f>IF(W10="",0,IF(COUNTIF($W$2:$W10,W10)=1,1,0))</f>
        <v>1</v>
      </c>
      <c r="V10" s="1">
        <f>IF(U10=1,SUM($U$2:U10),"")</f>
        <v>9</v>
      </c>
      <c r="W10" s="1" t="str">
        <f t="shared" si="1"/>
        <v>Sara Al Farsi|Qatar National Bank</v>
      </c>
    </row>
    <row r="11" spans="1:23" ht="15" customHeight="1" x14ac:dyDescent="0.35">
      <c r="A11" s="1" t="s">
        <v>71</v>
      </c>
      <c r="B11" s="1" t="s">
        <v>72</v>
      </c>
      <c r="C11" s="1" t="s">
        <v>73</v>
      </c>
      <c r="D11" s="1" t="s">
        <v>43</v>
      </c>
      <c r="F11" s="1" t="s">
        <v>74</v>
      </c>
      <c r="I11" s="1" t="s">
        <v>22</v>
      </c>
      <c r="J11" s="1" t="s">
        <v>45</v>
      </c>
      <c r="K11" s="1" t="s">
        <v>49</v>
      </c>
      <c r="L11" s="1" t="s">
        <v>45</v>
      </c>
      <c r="M11" s="1" t="str">
        <f t="shared" si="0"/>
        <v>Tier 1</v>
      </c>
      <c r="O11" s="23" t="s">
        <v>338</v>
      </c>
      <c r="P11" s="23" t="s">
        <v>339</v>
      </c>
      <c r="Q11" s="12">
        <v>46219</v>
      </c>
      <c r="S11" s="1">
        <f>IF(B11="",0,IF(COUNTIF($B$2:$B11,B11)=1,1,0))</f>
        <v>1</v>
      </c>
      <c r="T11" s="1">
        <f>IF(S11=1,SUM($S$2:S11),"")</f>
        <v>4</v>
      </c>
      <c r="U11" s="1">
        <f>IF(W11="",0,IF(COUNTIF($W$2:$W11,W11)=1,1,0))</f>
        <v>1</v>
      </c>
      <c r="V11" s="1">
        <f>IF(U11=1,SUM($U$2:U11),"")</f>
        <v>10</v>
      </c>
      <c r="W11" s="1" t="str">
        <f t="shared" si="1"/>
        <v>Yousef Al Mulla|Ooredoo Qatar</v>
      </c>
    </row>
    <row r="12" spans="1:23" ht="15" customHeight="1" x14ac:dyDescent="0.35">
      <c r="A12" s="1" t="s">
        <v>71</v>
      </c>
      <c r="B12" s="1" t="s">
        <v>72</v>
      </c>
      <c r="C12" s="1" t="s">
        <v>75</v>
      </c>
      <c r="D12" s="1" t="s">
        <v>47</v>
      </c>
      <c r="F12" s="1" t="s">
        <v>76</v>
      </c>
      <c r="I12" s="1" t="s">
        <v>22</v>
      </c>
      <c r="J12" s="1" t="s">
        <v>45</v>
      </c>
      <c r="K12" s="1" t="s">
        <v>59</v>
      </c>
      <c r="L12" s="1" t="s">
        <v>45</v>
      </c>
      <c r="M12" s="1" t="str">
        <f t="shared" si="0"/>
        <v>Tier 1</v>
      </c>
      <c r="O12" s="23" t="s">
        <v>340</v>
      </c>
      <c r="P12" s="23" t="s">
        <v>341</v>
      </c>
      <c r="Q12" s="12">
        <v>46184</v>
      </c>
      <c r="S12" s="1">
        <f>IF(B12="",0,IF(COUNTIF($B$2:$B12,B12)=1,1,0))</f>
        <v>0</v>
      </c>
      <c r="T12" s="1" t="str">
        <f>IF(S12=1,SUM($S$2:S12),"")</f>
        <v/>
      </c>
      <c r="U12" s="1">
        <f>IF(W12="",0,IF(COUNTIF($W$2:$W12,W12)=1,1,0))</f>
        <v>1</v>
      </c>
      <c r="V12" s="1">
        <f>IF(U12=1,SUM($U$2:U12),"")</f>
        <v>11</v>
      </c>
      <c r="W12" s="1" t="str">
        <f t="shared" si="1"/>
        <v>Aisha Al Hamadi|Ooredoo Qatar</v>
      </c>
    </row>
    <row r="13" spans="1:23" ht="15" customHeight="1" x14ac:dyDescent="0.35">
      <c r="A13" s="1" t="s">
        <v>71</v>
      </c>
      <c r="B13" s="1" t="s">
        <v>72</v>
      </c>
      <c r="C13" s="1" t="s">
        <v>77</v>
      </c>
      <c r="D13" s="1" t="s">
        <v>51</v>
      </c>
      <c r="F13" s="1" t="s">
        <v>78</v>
      </c>
      <c r="I13" s="1" t="s">
        <v>22</v>
      </c>
      <c r="J13" s="1" t="s">
        <v>45</v>
      </c>
      <c r="K13" s="1" t="s">
        <v>59</v>
      </c>
      <c r="L13" s="1" t="s">
        <v>45</v>
      </c>
      <c r="M13" s="1" t="str">
        <f t="shared" si="0"/>
        <v>Tier 1</v>
      </c>
      <c r="O13" s="23" t="s">
        <v>342</v>
      </c>
      <c r="P13" s="23" t="s">
        <v>343</v>
      </c>
      <c r="Q13" s="12">
        <v>46154</v>
      </c>
      <c r="S13" s="1">
        <f>IF(B13="",0,IF(COUNTIF($B$2:$B13,B13)=1,1,0))</f>
        <v>0</v>
      </c>
      <c r="T13" s="1" t="str">
        <f>IF(S13=1,SUM($S$2:S13),"")</f>
        <v/>
      </c>
      <c r="U13" s="1">
        <f>IF(W13="",0,IF(COUNTIF($W$2:$W13,W13)=1,1,0))</f>
        <v>1</v>
      </c>
      <c r="V13" s="1">
        <f>IF(U13=1,SUM($U$2:U13),"")</f>
        <v>12</v>
      </c>
      <c r="W13" s="1" t="str">
        <f t="shared" si="1"/>
        <v>Rashid Al Jaber|Ooredoo Qatar</v>
      </c>
    </row>
    <row r="14" spans="1:23" ht="15" customHeight="1" x14ac:dyDescent="0.35">
      <c r="A14" s="1" t="s">
        <v>79</v>
      </c>
      <c r="B14" s="1" t="s">
        <v>80</v>
      </c>
      <c r="C14" s="1" t="s">
        <v>81</v>
      </c>
      <c r="D14" s="1" t="s">
        <v>51</v>
      </c>
      <c r="F14" s="1" t="s">
        <v>82</v>
      </c>
      <c r="I14" s="1" t="s">
        <v>22</v>
      </c>
      <c r="J14" s="1" t="s">
        <v>49</v>
      </c>
      <c r="K14" s="1" t="s">
        <v>45</v>
      </c>
      <c r="L14" s="1" t="s">
        <v>45</v>
      </c>
      <c r="M14" s="1" t="str">
        <f t="shared" si="0"/>
        <v>Tier 1</v>
      </c>
      <c r="O14" s="23" t="s">
        <v>344</v>
      </c>
      <c r="P14" s="23" t="s">
        <v>345</v>
      </c>
      <c r="Q14" s="12">
        <v>46219</v>
      </c>
      <c r="S14" s="1">
        <f>IF(B14="",0,IF(COUNTIF($B$2:$B14,B14)=1,1,0))</f>
        <v>1</v>
      </c>
      <c r="T14" s="1">
        <f>IF(S14=1,SUM($S$2:S14),"")</f>
        <v>5</v>
      </c>
      <c r="U14" s="1">
        <f>IF(W14="",0,IF(COUNTIF($W$2:$W14,W14)=1,1,0))</f>
        <v>1</v>
      </c>
      <c r="V14" s="1">
        <f>IF(U14=1,SUM($U$2:U14),"")</f>
        <v>13</v>
      </c>
      <c r="W14" s="1" t="str">
        <f t="shared" si="1"/>
        <v>Dana Al Mazrouei|Industries Qatar</v>
      </c>
    </row>
    <row r="15" spans="1:23" ht="15" customHeight="1" x14ac:dyDescent="0.35">
      <c r="A15" s="1" t="s">
        <v>79</v>
      </c>
      <c r="B15" s="1" t="s">
        <v>80</v>
      </c>
      <c r="C15" s="1" t="s">
        <v>83</v>
      </c>
      <c r="D15" s="1" t="s">
        <v>84</v>
      </c>
      <c r="F15" s="1" t="s">
        <v>85</v>
      </c>
      <c r="I15" s="1" t="s">
        <v>22</v>
      </c>
      <c r="J15" s="1" t="s">
        <v>45</v>
      </c>
      <c r="K15" s="1" t="s">
        <v>49</v>
      </c>
      <c r="L15" s="1" t="s">
        <v>45</v>
      </c>
      <c r="M15" s="1" t="str">
        <f t="shared" si="0"/>
        <v>Tier 1</v>
      </c>
      <c r="O15" s="23" t="s">
        <v>346</v>
      </c>
      <c r="P15" s="23" t="s">
        <v>347</v>
      </c>
      <c r="Q15" s="12">
        <v>46184</v>
      </c>
      <c r="S15" s="1">
        <f>IF(B15="",0,IF(COUNTIF($B$2:$B15,B15)=1,1,0))</f>
        <v>0</v>
      </c>
      <c r="T15" s="1" t="str">
        <f>IF(S15=1,SUM($S$2:S15),"")</f>
        <v/>
      </c>
      <c r="U15" s="1">
        <f>IF(W15="",0,IF(COUNTIF($W$2:$W15,W15)=1,1,0))</f>
        <v>1</v>
      </c>
      <c r="V15" s="1">
        <f>IF(U15=1,SUM($U$2:U15),"")</f>
        <v>14</v>
      </c>
      <c r="W15" s="1" t="str">
        <f t="shared" si="1"/>
        <v>Tariq Al Sayed|Industries Qatar</v>
      </c>
    </row>
    <row r="16" spans="1:23" ht="15" customHeight="1" x14ac:dyDescent="0.35">
      <c r="A16" s="1" t="s">
        <v>79</v>
      </c>
      <c r="B16" s="1" t="s">
        <v>80</v>
      </c>
      <c r="C16" s="1" t="s">
        <v>86</v>
      </c>
      <c r="D16" s="1" t="s">
        <v>87</v>
      </c>
      <c r="F16" s="1" t="s">
        <v>88</v>
      </c>
      <c r="I16" s="1" t="s">
        <v>22</v>
      </c>
      <c r="J16" s="1" t="s">
        <v>49</v>
      </c>
      <c r="K16" s="1" t="s">
        <v>49</v>
      </c>
      <c r="L16" s="1" t="s">
        <v>45</v>
      </c>
      <c r="M16" s="1" t="str">
        <f t="shared" si="0"/>
        <v>Tier 2</v>
      </c>
      <c r="O16" s="23" t="s">
        <v>348</v>
      </c>
      <c r="P16" s="23" t="s">
        <v>349</v>
      </c>
      <c r="Q16" s="12">
        <v>46154</v>
      </c>
      <c r="R16" s="1" t="s">
        <v>89</v>
      </c>
      <c r="S16" s="1">
        <f>IF(B16="",0,IF(COUNTIF($B$2:$B16,B16)=1,1,0))</f>
        <v>0</v>
      </c>
      <c r="T16" s="1" t="str">
        <f>IF(S16=1,SUM($S$2:S16),"")</f>
        <v/>
      </c>
      <c r="U16" s="1">
        <f>IF(W16="",0,IF(COUNTIF($W$2:$W16,W16)=1,1,0))</f>
        <v>1</v>
      </c>
      <c r="V16" s="1">
        <f>IF(U16=1,SUM($U$2:U16),"")</f>
        <v>15</v>
      </c>
      <c r="W16" s="1" t="str">
        <f t="shared" si="1"/>
        <v>Lina Al Mansoori|Industries Qatar</v>
      </c>
    </row>
    <row r="17" spans="1:23" ht="15" customHeight="1" x14ac:dyDescent="0.35">
      <c r="A17" s="1" t="s">
        <v>53</v>
      </c>
      <c r="B17" s="1" t="s">
        <v>90</v>
      </c>
      <c r="C17" s="1" t="s">
        <v>91</v>
      </c>
      <c r="D17" s="1" t="s">
        <v>51</v>
      </c>
      <c r="F17" s="1" t="s">
        <v>92</v>
      </c>
      <c r="I17" s="1" t="s">
        <v>22</v>
      </c>
      <c r="J17" s="1" t="s">
        <v>49</v>
      </c>
      <c r="K17" s="1" t="s">
        <v>49</v>
      </c>
      <c r="L17" s="1" t="s">
        <v>45</v>
      </c>
      <c r="M17" s="1" t="str">
        <f t="shared" si="0"/>
        <v>Tier 2</v>
      </c>
      <c r="O17" s="23" t="s">
        <v>350</v>
      </c>
      <c r="P17" s="23" t="s">
        <v>351</v>
      </c>
      <c r="Q17" s="12">
        <v>46199</v>
      </c>
      <c r="S17" s="1">
        <f>IF(B17="",0,IF(COUNTIF($B$2:$B17,B17)=1,1,0))</f>
        <v>1</v>
      </c>
      <c r="T17" s="1">
        <f>IF(S17=1,SUM($S$2:S17),"")</f>
        <v>6</v>
      </c>
      <c r="U17" s="1">
        <f>IF(W17="",0,IF(COUNTIF($W$2:$W17,W17)=1,1,0))</f>
        <v>1</v>
      </c>
      <c r="V17" s="1">
        <f>IF(U17=1,SUM($U$2:U17),"")</f>
        <v>16</v>
      </c>
      <c r="W17" s="1" t="str">
        <f t="shared" si="1"/>
        <v>Moza Al Kuwari|Commercial Bank of Qatar</v>
      </c>
    </row>
    <row r="18" spans="1:23" ht="15" customHeight="1" x14ac:dyDescent="0.35">
      <c r="A18" s="1" t="s">
        <v>53</v>
      </c>
      <c r="B18" s="1" t="s">
        <v>90</v>
      </c>
      <c r="C18" s="1" t="s">
        <v>93</v>
      </c>
      <c r="D18" s="1" t="s">
        <v>84</v>
      </c>
      <c r="F18" s="1" t="s">
        <v>94</v>
      </c>
      <c r="I18" s="1" t="s">
        <v>22</v>
      </c>
      <c r="J18" s="1" t="s">
        <v>49</v>
      </c>
      <c r="K18" s="1" t="s">
        <v>59</v>
      </c>
      <c r="L18" s="1" t="s">
        <v>45</v>
      </c>
      <c r="M18" s="1" t="str">
        <f t="shared" si="0"/>
        <v>Tier 2</v>
      </c>
      <c r="O18" s="23" t="s">
        <v>352</v>
      </c>
      <c r="P18" s="23" t="s">
        <v>353</v>
      </c>
      <c r="Q18" s="12">
        <v>46109</v>
      </c>
      <c r="S18" s="1">
        <f>IF(B18="",0,IF(COUNTIF($B$2:$B18,B18)=1,1,0))</f>
        <v>0</v>
      </c>
      <c r="T18" s="1" t="str">
        <f>IF(S18=1,SUM($S$2:S18),"")</f>
        <v/>
      </c>
      <c r="U18" s="1">
        <f>IF(W18="",0,IF(COUNTIF($W$2:$W18,W18)=1,1,0))</f>
        <v>1</v>
      </c>
      <c r="V18" s="1">
        <f>IF(U18=1,SUM($U$2:U18),"")</f>
        <v>17</v>
      </c>
      <c r="W18" s="1" t="str">
        <f t="shared" si="1"/>
        <v>Saeed Al Romaihi|Commercial Bank of Qatar</v>
      </c>
    </row>
    <row r="19" spans="1:23" ht="15" customHeight="1" x14ac:dyDescent="0.35">
      <c r="A19" s="1" t="s">
        <v>53</v>
      </c>
      <c r="B19" s="1" t="s">
        <v>90</v>
      </c>
      <c r="C19" s="1" t="s">
        <v>95</v>
      </c>
      <c r="D19" s="1" t="s">
        <v>87</v>
      </c>
      <c r="F19" s="1" t="s">
        <v>96</v>
      </c>
      <c r="I19" s="1" t="s">
        <v>22</v>
      </c>
      <c r="J19" s="1" t="s">
        <v>49</v>
      </c>
      <c r="K19" s="1" t="s">
        <v>59</v>
      </c>
      <c r="L19" s="1" t="s">
        <v>45</v>
      </c>
      <c r="M19" s="1" t="str">
        <f t="shared" si="0"/>
        <v>Tier 2</v>
      </c>
      <c r="O19" s="23" t="s">
        <v>354</v>
      </c>
      <c r="P19" s="23" t="s">
        <v>355</v>
      </c>
      <c r="Q19" s="12">
        <v>46009</v>
      </c>
      <c r="S19" s="1">
        <f>IF(B19="",0,IF(COUNTIF($B$2:$B19,B19)=1,1,0))</f>
        <v>0</v>
      </c>
      <c r="T19" s="1" t="str">
        <f>IF(S19=1,SUM($S$2:S19),"")</f>
        <v/>
      </c>
      <c r="U19" s="1">
        <f>IF(W19="",0,IF(COUNTIF($W$2:$W19,W19)=1,1,0))</f>
        <v>1</v>
      </c>
      <c r="V19" s="1">
        <f>IF(U19=1,SUM($U$2:U19),"")</f>
        <v>18</v>
      </c>
      <c r="W19" s="1" t="str">
        <f t="shared" si="1"/>
        <v>Hessa Al Hajri|Commercial Bank of Qatar</v>
      </c>
    </row>
    <row r="20" spans="1:23" ht="15" customHeight="1" x14ac:dyDescent="0.35">
      <c r="A20" s="1" t="s">
        <v>63</v>
      </c>
      <c r="B20" s="1" t="s">
        <v>97</v>
      </c>
      <c r="C20" s="1" t="s">
        <v>98</v>
      </c>
      <c r="D20" s="1" t="s">
        <v>43</v>
      </c>
      <c r="F20" s="1" t="s">
        <v>99</v>
      </c>
      <c r="I20" s="1" t="s">
        <v>22</v>
      </c>
      <c r="J20" s="1" t="s">
        <v>45</v>
      </c>
      <c r="K20" s="1" t="s">
        <v>49</v>
      </c>
      <c r="L20" s="1" t="s">
        <v>49</v>
      </c>
      <c r="M20" s="1" t="str">
        <f t="shared" si="0"/>
        <v>Tier 2</v>
      </c>
      <c r="O20" s="23" t="s">
        <v>356</v>
      </c>
      <c r="P20" s="23" t="s">
        <v>357</v>
      </c>
      <c r="Q20" s="12">
        <v>46199</v>
      </c>
      <c r="S20" s="1">
        <f>IF(B20="",0,IF(COUNTIF($B$2:$B20,B20)=1,1,0))</f>
        <v>1</v>
      </c>
      <c r="T20" s="1">
        <f>IF(S20=1,SUM($S$2:S20),"")</f>
        <v>7</v>
      </c>
      <c r="U20" s="1">
        <f>IF(W20="",0,IF(COUNTIF($W$2:$W20,W20)=1,1,0))</f>
        <v>1</v>
      </c>
      <c r="V20" s="1">
        <f>IF(U20=1,SUM($U$2:U20),"")</f>
        <v>19</v>
      </c>
      <c r="W20" s="1" t="str">
        <f t="shared" si="1"/>
        <v>Jassim Al Subaie|Doha Bank</v>
      </c>
    </row>
    <row r="21" spans="1:23" ht="15" customHeight="1" x14ac:dyDescent="0.35">
      <c r="A21" s="1" t="s">
        <v>63</v>
      </c>
      <c r="B21" s="1" t="s">
        <v>97</v>
      </c>
      <c r="C21" s="1" t="s">
        <v>100</v>
      </c>
      <c r="D21" s="1" t="s">
        <v>47</v>
      </c>
      <c r="F21" s="1" t="s">
        <v>101</v>
      </c>
      <c r="I21" s="1" t="s">
        <v>22</v>
      </c>
      <c r="J21" s="1" t="s">
        <v>45</v>
      </c>
      <c r="K21" s="1" t="s">
        <v>59</v>
      </c>
      <c r="L21" s="1" t="s">
        <v>49</v>
      </c>
      <c r="M21" s="1" t="str">
        <f t="shared" si="0"/>
        <v>Tier 2</v>
      </c>
      <c r="O21" s="23" t="s">
        <v>358</v>
      </c>
      <c r="P21" s="23" t="s">
        <v>359</v>
      </c>
      <c r="Q21" s="12">
        <v>46109</v>
      </c>
      <c r="S21" s="1">
        <f>IF(B21="",0,IF(COUNTIF($B$2:$B21,B21)=1,1,0))</f>
        <v>0</v>
      </c>
      <c r="T21" s="1" t="str">
        <f>IF(S21=1,SUM($S$2:S21),"")</f>
        <v/>
      </c>
      <c r="U21" s="1">
        <f>IF(W21="",0,IF(COUNTIF($W$2:$W21,W21)=1,1,0))</f>
        <v>1</v>
      </c>
      <c r="V21" s="1">
        <f>IF(U21=1,SUM($U$2:U21),"")</f>
        <v>20</v>
      </c>
      <c r="W21" s="1" t="str">
        <f t="shared" si="1"/>
        <v>Reem Al Khulaifi|Doha Bank</v>
      </c>
    </row>
    <row r="22" spans="1:23" ht="15" customHeight="1" x14ac:dyDescent="0.35">
      <c r="A22" s="1" t="s">
        <v>63</v>
      </c>
      <c r="B22" s="1" t="s">
        <v>97</v>
      </c>
      <c r="C22" s="1" t="s">
        <v>102</v>
      </c>
      <c r="D22" s="1" t="s">
        <v>51</v>
      </c>
      <c r="F22" s="1" t="s">
        <v>103</v>
      </c>
      <c r="I22" s="1" t="s">
        <v>22</v>
      </c>
      <c r="J22" s="1" t="s">
        <v>45</v>
      </c>
      <c r="K22" s="1" t="s">
        <v>59</v>
      </c>
      <c r="L22" s="1" t="s">
        <v>49</v>
      </c>
      <c r="M22" s="1" t="str">
        <f t="shared" si="0"/>
        <v>Tier 2</v>
      </c>
      <c r="O22" s="23" t="s">
        <v>360</v>
      </c>
      <c r="P22" s="23" t="s">
        <v>361</v>
      </c>
      <c r="Q22" s="12">
        <v>46009</v>
      </c>
      <c r="R22" s="1" t="s">
        <v>104</v>
      </c>
      <c r="S22" s="1">
        <f>IF(B22="",0,IF(COUNTIF($B$2:$B22,B22)=1,1,0))</f>
        <v>0</v>
      </c>
      <c r="T22" s="1" t="str">
        <f>IF(S22=1,SUM($S$2:S22),"")</f>
        <v/>
      </c>
      <c r="U22" s="1">
        <f>IF(W22="",0,IF(COUNTIF($W$2:$W22,W22)=1,1,0))</f>
        <v>1</v>
      </c>
      <c r="V22" s="1">
        <f>IF(U22=1,SUM($U$2:U22),"")</f>
        <v>21</v>
      </c>
      <c r="W22" s="1" t="str">
        <f t="shared" si="1"/>
        <v>Abdulla Al Dosari|Doha Bank</v>
      </c>
    </row>
    <row r="23" spans="1:23" ht="15" customHeight="1" x14ac:dyDescent="0.35">
      <c r="A23" s="1" t="s">
        <v>71</v>
      </c>
      <c r="B23" s="1" t="s">
        <v>105</v>
      </c>
      <c r="C23" s="1" t="s">
        <v>106</v>
      </c>
      <c r="D23" s="1" t="s">
        <v>51</v>
      </c>
      <c r="F23" s="1" t="s">
        <v>107</v>
      </c>
      <c r="I23" s="1" t="s">
        <v>22</v>
      </c>
      <c r="J23" s="1" t="s">
        <v>49</v>
      </c>
      <c r="K23" s="1" t="s">
        <v>45</v>
      </c>
      <c r="L23" s="1" t="s">
        <v>49</v>
      </c>
      <c r="M23" s="1" t="str">
        <f t="shared" si="0"/>
        <v>Tier 2</v>
      </c>
      <c r="O23" s="23" t="s">
        <v>362</v>
      </c>
      <c r="P23" s="23" t="s">
        <v>363</v>
      </c>
      <c r="Q23" s="12">
        <v>46199</v>
      </c>
      <c r="S23" s="1">
        <f>IF(B23="",0,IF(COUNTIF($B$2:$B23,B23)=1,1,0))</f>
        <v>1</v>
      </c>
      <c r="T23" s="1">
        <f>IF(S23=1,SUM($S$2:S23),"")</f>
        <v>8</v>
      </c>
      <c r="U23" s="1">
        <f>IF(W23="",0,IF(COUNTIF($W$2:$W23,W23)=1,1,0))</f>
        <v>1</v>
      </c>
      <c r="V23" s="1">
        <f>IF(U23=1,SUM($U$2:U23),"")</f>
        <v>22</v>
      </c>
      <c r="W23" s="1" t="str">
        <f t="shared" si="1"/>
        <v>Fatima Al Mohannadi|Qatar Insurance Company</v>
      </c>
    </row>
    <row r="24" spans="1:23" ht="15" customHeight="1" x14ac:dyDescent="0.35">
      <c r="A24" s="1" t="s">
        <v>71</v>
      </c>
      <c r="B24" s="1" t="s">
        <v>105</v>
      </c>
      <c r="C24" s="1" t="s">
        <v>108</v>
      </c>
      <c r="D24" s="1" t="s">
        <v>84</v>
      </c>
      <c r="F24" s="1" t="s">
        <v>109</v>
      </c>
      <c r="I24" s="1" t="s">
        <v>22</v>
      </c>
      <c r="J24" s="1" t="s">
        <v>49</v>
      </c>
      <c r="K24" s="1" t="s">
        <v>49</v>
      </c>
      <c r="L24" s="1" t="s">
        <v>49</v>
      </c>
      <c r="M24" s="1" t="str">
        <f t="shared" si="0"/>
        <v>Tier 3</v>
      </c>
      <c r="O24" s="23" t="s">
        <v>364</v>
      </c>
      <c r="P24" s="23" t="s">
        <v>365</v>
      </c>
      <c r="Q24" s="12">
        <v>46109</v>
      </c>
      <c r="S24" s="1">
        <f>IF(B24="",0,IF(COUNTIF($B$2:$B24,B24)=1,1,0))</f>
        <v>0</v>
      </c>
      <c r="T24" s="1" t="str">
        <f>IF(S24=1,SUM($S$2:S24),"")</f>
        <v/>
      </c>
      <c r="U24" s="1">
        <f>IF(W24="",0,IF(COUNTIF($W$2:$W24,W24)=1,1,0))</f>
        <v>1</v>
      </c>
      <c r="V24" s="1">
        <f>IF(U24=1,SUM($U$2:U24),"")</f>
        <v>23</v>
      </c>
      <c r="W24" s="1" t="str">
        <f t="shared" si="1"/>
        <v>Hamad Al Nasr|Qatar Insurance Company</v>
      </c>
    </row>
    <row r="25" spans="1:23" ht="15" customHeight="1" x14ac:dyDescent="0.35">
      <c r="A25" s="1" t="s">
        <v>71</v>
      </c>
      <c r="B25" s="1" t="s">
        <v>105</v>
      </c>
      <c r="C25" s="1" t="s">
        <v>110</v>
      </c>
      <c r="D25" s="1" t="s">
        <v>87</v>
      </c>
      <c r="F25" s="1" t="s">
        <v>111</v>
      </c>
      <c r="I25" s="1" t="s">
        <v>22</v>
      </c>
      <c r="J25" s="1" t="s">
        <v>49</v>
      </c>
      <c r="K25" s="1" t="s">
        <v>49</v>
      </c>
      <c r="L25" s="1" t="s">
        <v>49</v>
      </c>
      <c r="M25" s="1" t="str">
        <f t="shared" si="0"/>
        <v>Tier 3</v>
      </c>
      <c r="O25" s="23" t="s">
        <v>366</v>
      </c>
      <c r="P25" s="23" t="s">
        <v>367</v>
      </c>
      <c r="Q25" s="12">
        <v>46009</v>
      </c>
      <c r="S25" s="1">
        <f>IF(B25="",0,IF(COUNTIF($B$2:$B25,B25)=1,1,0))</f>
        <v>0</v>
      </c>
      <c r="T25" s="1" t="str">
        <f>IF(S25=1,SUM($S$2:S25),"")</f>
        <v/>
      </c>
      <c r="U25" s="1">
        <f>IF(W25="",0,IF(COUNTIF($W$2:$W25,W25)=1,1,0))</f>
        <v>1</v>
      </c>
      <c r="V25" s="1">
        <f>IF(U25=1,SUM($U$2:U25),"")</f>
        <v>24</v>
      </c>
      <c r="W25" s="1" t="str">
        <f t="shared" si="1"/>
        <v>Shaikha Al Muftah|Qatar Insurance Company</v>
      </c>
    </row>
    <row r="26" spans="1:23" ht="15" customHeight="1" x14ac:dyDescent="0.35">
      <c r="A26" s="1" t="s">
        <v>79</v>
      </c>
      <c r="B26" s="1" t="s">
        <v>112</v>
      </c>
      <c r="C26" s="1" t="s">
        <v>113</v>
      </c>
      <c r="D26" s="1" t="s">
        <v>51</v>
      </c>
      <c r="F26" s="1" t="s">
        <v>114</v>
      </c>
      <c r="I26" s="1" t="s">
        <v>22</v>
      </c>
      <c r="J26" s="1" t="s">
        <v>49</v>
      </c>
      <c r="K26" s="1" t="s">
        <v>49</v>
      </c>
      <c r="L26" s="1" t="s">
        <v>45</v>
      </c>
      <c r="M26" s="1" t="str">
        <f t="shared" si="0"/>
        <v>Tier 2</v>
      </c>
      <c r="O26" s="23" t="s">
        <v>368</v>
      </c>
      <c r="P26" s="23" t="s">
        <v>369</v>
      </c>
      <c r="Q26" s="12">
        <v>46199</v>
      </c>
      <c r="S26" s="1">
        <f>IF(B26="",0,IF(COUNTIF($B$2:$B26,B26)=1,1,0))</f>
        <v>1</v>
      </c>
      <c r="T26" s="1">
        <f>IF(S26=1,SUM($S$2:S26),"")</f>
        <v>9</v>
      </c>
      <c r="U26" s="1">
        <f>IF(W26="",0,IF(COUNTIF($W$2:$W26,W26)=1,1,0))</f>
        <v>1</v>
      </c>
      <c r="V26" s="1">
        <f>IF(U26=1,SUM($U$2:U26),"")</f>
        <v>25</v>
      </c>
      <c r="W26" s="1" t="str">
        <f t="shared" si="1"/>
        <v>Bader Al Emadi|Nakilat</v>
      </c>
    </row>
    <row r="27" spans="1:23" ht="15" customHeight="1" x14ac:dyDescent="0.35">
      <c r="A27" s="1" t="s">
        <v>79</v>
      </c>
      <c r="B27" s="1" t="s">
        <v>112</v>
      </c>
      <c r="C27" s="1" t="s">
        <v>115</v>
      </c>
      <c r="D27" s="1" t="s">
        <v>84</v>
      </c>
      <c r="F27" s="1" t="s">
        <v>116</v>
      </c>
      <c r="I27" s="1" t="s">
        <v>22</v>
      </c>
      <c r="J27" s="1" t="s">
        <v>49</v>
      </c>
      <c r="K27" s="1" t="s">
        <v>59</v>
      </c>
      <c r="L27" s="1" t="s">
        <v>45</v>
      </c>
      <c r="M27" s="1" t="str">
        <f t="shared" si="0"/>
        <v>Tier 2</v>
      </c>
      <c r="O27" s="23" t="s">
        <v>370</v>
      </c>
      <c r="P27" s="23" t="s">
        <v>371</v>
      </c>
      <c r="Q27" s="12">
        <v>46109</v>
      </c>
      <c r="R27" s="1" t="s">
        <v>117</v>
      </c>
      <c r="S27" s="1">
        <f>IF(B27="",0,IF(COUNTIF($B$2:$B27,B27)=1,1,0))</f>
        <v>0</v>
      </c>
      <c r="T27" s="1" t="str">
        <f>IF(S27=1,SUM($S$2:S27),"")</f>
        <v/>
      </c>
      <c r="U27" s="1">
        <f>IF(W27="",0,IF(COUNTIF($W$2:$W27,W27)=1,1,0))</f>
        <v>1</v>
      </c>
      <c r="V27" s="1">
        <f>IF(U27=1,SUM($U$2:U27),"")</f>
        <v>26</v>
      </c>
      <c r="W27" s="1" t="str">
        <f t="shared" si="1"/>
        <v>Maryam Al Rayes|Nakilat</v>
      </c>
    </row>
    <row r="28" spans="1:23" ht="15" customHeight="1" x14ac:dyDescent="0.35">
      <c r="A28" s="1" t="s">
        <v>118</v>
      </c>
      <c r="B28" s="1" t="s">
        <v>119</v>
      </c>
      <c r="C28" s="1" t="s">
        <v>120</v>
      </c>
      <c r="D28" s="1" t="s">
        <v>43</v>
      </c>
      <c r="F28" s="1" t="s">
        <v>121</v>
      </c>
      <c r="I28" s="1" t="s">
        <v>22</v>
      </c>
      <c r="J28" s="1" t="s">
        <v>45</v>
      </c>
      <c r="K28" s="1" t="s">
        <v>49</v>
      </c>
      <c r="L28" s="1" t="s">
        <v>49</v>
      </c>
      <c r="M28" s="1" t="str">
        <f t="shared" si="0"/>
        <v>Tier 2</v>
      </c>
      <c r="O28" s="23" t="s">
        <v>372</v>
      </c>
      <c r="P28" s="23" t="s">
        <v>373</v>
      </c>
      <c r="Q28" s="12">
        <v>46199</v>
      </c>
      <c r="S28" s="1">
        <f>IF(B28="",0,IF(COUNTIF($B$2:$B28,B28)=1,1,0))</f>
        <v>1</v>
      </c>
      <c r="T28" s="1">
        <f>IF(S28=1,SUM($S$2:S28),"")</f>
        <v>10</v>
      </c>
      <c r="U28" s="1">
        <f>IF(W28="",0,IF(COUNTIF($W$2:$W28,W28)=1,1,0))</f>
        <v>1</v>
      </c>
      <c r="V28" s="1">
        <f>IF(U28=1,SUM($U$2:U28),"")</f>
        <v>27</v>
      </c>
      <c r="W28" s="1" t="str">
        <f t="shared" si="1"/>
        <v>Noura Al Derham|United Development Company</v>
      </c>
    </row>
    <row r="29" spans="1:23" ht="15" customHeight="1" x14ac:dyDescent="0.35">
      <c r="A29" s="1" t="s">
        <v>118</v>
      </c>
      <c r="B29" s="1" t="s">
        <v>119</v>
      </c>
      <c r="C29" s="1" t="s">
        <v>122</v>
      </c>
      <c r="D29" s="1" t="s">
        <v>47</v>
      </c>
      <c r="F29" s="1" t="s">
        <v>123</v>
      </c>
      <c r="I29" s="1" t="s">
        <v>22</v>
      </c>
      <c r="J29" s="1" t="s">
        <v>45</v>
      </c>
      <c r="K29" s="1" t="s">
        <v>59</v>
      </c>
      <c r="L29" s="1" t="s">
        <v>49</v>
      </c>
      <c r="M29" s="1" t="str">
        <f t="shared" si="0"/>
        <v>Tier 2</v>
      </c>
      <c r="O29" s="23" t="s">
        <v>374</v>
      </c>
      <c r="P29" s="23" t="s">
        <v>375</v>
      </c>
      <c r="Q29" s="12">
        <v>46109</v>
      </c>
      <c r="S29" s="1">
        <f>IF(B29="",0,IF(COUNTIF($B$2:$B29,B29)=1,1,0))</f>
        <v>0</v>
      </c>
      <c r="T29" s="1" t="str">
        <f>IF(S29=1,SUM($S$2:S29),"")</f>
        <v/>
      </c>
      <c r="U29" s="1">
        <f>IF(W29="",0,IF(COUNTIF($W$2:$W29,W29)=1,1,0))</f>
        <v>1</v>
      </c>
      <c r="V29" s="1">
        <f>IF(U29=1,SUM($U$2:U29),"")</f>
        <v>28</v>
      </c>
      <c r="W29" s="1" t="str">
        <f t="shared" si="1"/>
        <v>Waleed Al Khater|United Development Company</v>
      </c>
    </row>
    <row r="30" spans="1:23" ht="15" customHeight="1" x14ac:dyDescent="0.35">
      <c r="A30" s="1" t="s">
        <v>118</v>
      </c>
      <c r="B30" s="1" t="s">
        <v>119</v>
      </c>
      <c r="C30" s="1" t="s">
        <v>124</v>
      </c>
      <c r="D30" s="1" t="s">
        <v>51</v>
      </c>
      <c r="F30" s="1" t="s">
        <v>125</v>
      </c>
      <c r="I30" s="1" t="s">
        <v>22</v>
      </c>
      <c r="J30" s="1" t="s">
        <v>45</v>
      </c>
      <c r="K30" s="1" t="s">
        <v>59</v>
      </c>
      <c r="L30" s="1" t="s">
        <v>49</v>
      </c>
      <c r="M30" s="1" t="str">
        <f t="shared" si="0"/>
        <v>Tier 2</v>
      </c>
      <c r="O30" s="23" t="s">
        <v>376</v>
      </c>
      <c r="P30" s="23" t="s">
        <v>377</v>
      </c>
      <c r="Q30" s="12">
        <v>46009</v>
      </c>
      <c r="S30" s="1">
        <f>IF(B30="",0,IF(COUNTIF($B$2:$B30,B30)=1,1,0))</f>
        <v>0</v>
      </c>
      <c r="T30" s="1" t="str">
        <f>IF(S30=1,SUM($S$2:S30),"")</f>
        <v/>
      </c>
      <c r="U30" s="1">
        <f>IF(W30="",0,IF(COUNTIF($W$2:$W30,W30)=1,1,0))</f>
        <v>1</v>
      </c>
      <c r="V30" s="1">
        <f>IF(U30=1,SUM($U$2:U30),"")</f>
        <v>29</v>
      </c>
      <c r="W30" s="1" t="str">
        <f t="shared" si="1"/>
        <v>Hind Al Qasimi|United Development Company</v>
      </c>
    </row>
    <row r="31" spans="1:23" ht="15" customHeight="1" x14ac:dyDescent="0.35">
      <c r="A31" s="1" t="s">
        <v>126</v>
      </c>
      <c r="B31" s="1" t="s">
        <v>127</v>
      </c>
      <c r="C31" s="1" t="s">
        <v>128</v>
      </c>
      <c r="D31" s="1" t="s">
        <v>51</v>
      </c>
      <c r="F31" s="1" t="s">
        <v>129</v>
      </c>
      <c r="I31" s="1" t="s">
        <v>22</v>
      </c>
      <c r="J31" s="1" t="s">
        <v>49</v>
      </c>
      <c r="K31" s="1" t="s">
        <v>49</v>
      </c>
      <c r="L31" s="1" t="s">
        <v>49</v>
      </c>
      <c r="M31" s="1" t="str">
        <f t="shared" si="0"/>
        <v>Tier 3</v>
      </c>
      <c r="O31" s="23" t="s">
        <v>378</v>
      </c>
      <c r="P31" s="23" t="s">
        <v>379</v>
      </c>
      <c r="Q31" s="12">
        <v>46139</v>
      </c>
      <c r="S31" s="1">
        <f>IF(B31="",0,IF(COUNTIF($B$2:$B31,B31)=1,1,0))</f>
        <v>1</v>
      </c>
      <c r="T31" s="1">
        <f>IF(S31=1,SUM($S$2:S31),"")</f>
        <v>11</v>
      </c>
      <c r="U31" s="1">
        <f>IF(W31="",0,IF(COUNTIF($W$2:$W31,W31)=1,1,0))</f>
        <v>1</v>
      </c>
      <c r="V31" s="1">
        <f>IF(U31=1,SUM($U$2:U31),"")</f>
        <v>30</v>
      </c>
      <c r="W31" s="1" t="str">
        <f t="shared" si="1"/>
        <v>Majed Al Shafi|Milaha</v>
      </c>
    </row>
    <row r="32" spans="1:23" ht="15" customHeight="1" x14ac:dyDescent="0.35">
      <c r="A32" s="1" t="s">
        <v>126</v>
      </c>
      <c r="B32" s="1" t="s">
        <v>127</v>
      </c>
      <c r="C32" s="1" t="s">
        <v>130</v>
      </c>
      <c r="D32" s="1" t="s">
        <v>84</v>
      </c>
      <c r="F32" s="1" t="s">
        <v>131</v>
      </c>
      <c r="I32" s="1" t="s">
        <v>22</v>
      </c>
      <c r="J32" s="1" t="s">
        <v>49</v>
      </c>
      <c r="K32" s="1" t="s">
        <v>59</v>
      </c>
      <c r="L32" s="1" t="s">
        <v>49</v>
      </c>
      <c r="M32" s="1" t="str">
        <f t="shared" si="0"/>
        <v>Tier 3</v>
      </c>
      <c r="O32" s="23" t="s">
        <v>380</v>
      </c>
      <c r="P32" s="23" t="s">
        <v>381</v>
      </c>
      <c r="Q32" s="12">
        <v>45979</v>
      </c>
      <c r="S32" s="1">
        <f>IF(B32="",0,IF(COUNTIF($B$2:$B32,B32)=1,1,0))</f>
        <v>0</v>
      </c>
      <c r="T32" s="1" t="str">
        <f>IF(S32=1,SUM($S$2:S32),"")</f>
        <v/>
      </c>
      <c r="U32" s="1">
        <f>IF(W32="",0,IF(COUNTIF($W$2:$W32,W32)=1,1,0))</f>
        <v>1</v>
      </c>
      <c r="V32" s="1">
        <f>IF(U32=1,SUM($U$2:U32),"")</f>
        <v>31</v>
      </c>
      <c r="W32" s="1" t="str">
        <f t="shared" si="1"/>
        <v>Jawaher Al Murikhi|Milaha</v>
      </c>
    </row>
    <row r="33" spans="1:23" ht="15" customHeight="1" x14ac:dyDescent="0.35">
      <c r="A33" s="1" t="s">
        <v>126</v>
      </c>
      <c r="B33" s="1" t="s">
        <v>127</v>
      </c>
      <c r="C33" s="1" t="s">
        <v>132</v>
      </c>
      <c r="D33" s="1" t="s">
        <v>87</v>
      </c>
      <c r="F33" s="1" t="s">
        <v>133</v>
      </c>
      <c r="I33" s="1" t="s">
        <v>22</v>
      </c>
      <c r="J33" s="1" t="s">
        <v>49</v>
      </c>
      <c r="K33" s="1" t="s">
        <v>59</v>
      </c>
      <c r="L33" s="1" t="s">
        <v>49</v>
      </c>
      <c r="M33" s="1" t="str">
        <f t="shared" si="0"/>
        <v>Tier 3</v>
      </c>
      <c r="O33" s="23" t="s">
        <v>382</v>
      </c>
      <c r="P33" s="23" t="s">
        <v>383</v>
      </c>
      <c r="Q33" s="12">
        <v>45809</v>
      </c>
      <c r="S33" s="1">
        <f>IF(B33="",0,IF(COUNTIF($B$2:$B33,B33)=1,1,0))</f>
        <v>0</v>
      </c>
      <c r="T33" s="1" t="str">
        <f>IF(S33=1,SUM($S$2:S33),"")</f>
        <v/>
      </c>
      <c r="U33" s="1">
        <f>IF(W33="",0,IF(COUNTIF($W$2:$W33,W33)=1,1,0))</f>
        <v>1</v>
      </c>
      <c r="V33" s="1">
        <f>IF(U33=1,SUM($U$2:U33),"")</f>
        <v>32</v>
      </c>
      <c r="W33" s="1" t="str">
        <f t="shared" si="1"/>
        <v>Thamer Al Misnad|Milaha</v>
      </c>
    </row>
    <row r="34" spans="1:23" ht="15" customHeight="1" x14ac:dyDescent="0.35">
      <c r="A34" s="1" t="s">
        <v>134</v>
      </c>
      <c r="B34" s="1" t="s">
        <v>135</v>
      </c>
      <c r="C34" s="1" t="s">
        <v>136</v>
      </c>
      <c r="D34" s="1" t="s">
        <v>51</v>
      </c>
      <c r="F34" s="1" t="s">
        <v>137</v>
      </c>
      <c r="I34" s="1" t="s">
        <v>22</v>
      </c>
      <c r="J34" s="1" t="s">
        <v>49</v>
      </c>
      <c r="K34" s="1" t="s">
        <v>59</v>
      </c>
      <c r="L34" s="1" t="s">
        <v>59</v>
      </c>
      <c r="M34" s="1" t="str">
        <f t="shared" ref="M34:M65" si="2">IF(OR(J34="",K34="",L34=""),"",IF(AND(COUNTIF(J34:L34,"High")&gt;=2,OR(J34="High",L34="High")),"Tier 1",IF(AND(COUNTIF(J34:L34,"High")&gt;=1,COUNTIF(J34:L34,"Medium")&gt;=1),"Tier 2","Tier 3")))</f>
        <v>Tier 3</v>
      </c>
      <c r="O34" s="23" t="s">
        <v>384</v>
      </c>
      <c r="P34" s="23" t="s">
        <v>385</v>
      </c>
      <c r="Q34" s="12">
        <v>46139</v>
      </c>
      <c r="S34" s="1">
        <f>IF(B34="",0,IF(COUNTIF($B$2:$B34,B34)=1,1,0))</f>
        <v>1</v>
      </c>
      <c r="T34" s="1">
        <f>IF(S34=1,SUM($S$2:S34),"")</f>
        <v>12</v>
      </c>
      <c r="U34" s="1">
        <f>IF(W34="",0,IF(COUNTIF($W$2:$W34,W34)=1,1,0))</f>
        <v>1</v>
      </c>
      <c r="V34" s="1">
        <f>IF(U34=1,SUM($U$2:U34),"")</f>
        <v>33</v>
      </c>
      <c r="W34" s="1" t="str">
        <f t="shared" ref="W34:W65" si="3">IF(OR(C34="",B34=""),"",TRIM(C34)&amp;"|"&amp;TRIM(B34))</f>
        <v>Latifa Al Shamlan|Baladna</v>
      </c>
    </row>
    <row r="35" spans="1:23" ht="15" customHeight="1" x14ac:dyDescent="0.35">
      <c r="A35" s="1" t="s">
        <v>134</v>
      </c>
      <c r="B35" s="1" t="s">
        <v>135</v>
      </c>
      <c r="C35" s="1" t="s">
        <v>138</v>
      </c>
      <c r="D35" s="1" t="s">
        <v>84</v>
      </c>
      <c r="F35" s="1" t="s">
        <v>139</v>
      </c>
      <c r="I35" s="1" t="s">
        <v>22</v>
      </c>
      <c r="J35" s="1" t="s">
        <v>49</v>
      </c>
      <c r="K35" s="1" t="s">
        <v>59</v>
      </c>
      <c r="L35" s="1" t="s">
        <v>59</v>
      </c>
      <c r="M35" s="1" t="str">
        <f t="shared" si="2"/>
        <v>Tier 3</v>
      </c>
      <c r="O35" s="23" t="s">
        <v>386</v>
      </c>
      <c r="P35" s="23" t="s">
        <v>387</v>
      </c>
      <c r="Q35" s="12">
        <v>45979</v>
      </c>
      <c r="S35" s="1">
        <f>IF(B35="",0,IF(COUNTIF($B$2:$B35,B35)=1,1,0))</f>
        <v>0</v>
      </c>
      <c r="T35" s="1" t="str">
        <f>IF(S35=1,SUM($S$2:S35),"")</f>
        <v/>
      </c>
      <c r="U35" s="1">
        <f>IF(W35="",0,IF(COUNTIF($W$2:$W35,W35)=1,1,0))</f>
        <v>1</v>
      </c>
      <c r="V35" s="1">
        <f>IF(U35=1,SUM($U$2:U35),"")</f>
        <v>34</v>
      </c>
      <c r="W35" s="1" t="str">
        <f t="shared" si="3"/>
        <v>Mansour Al Dehaimi|Baladna</v>
      </c>
    </row>
    <row r="36" spans="1:23" ht="15" customHeight="1" x14ac:dyDescent="0.35">
      <c r="A36" s="1" t="s">
        <v>134</v>
      </c>
      <c r="B36" s="1" t="s">
        <v>135</v>
      </c>
      <c r="C36" s="1" t="s">
        <v>140</v>
      </c>
      <c r="D36" s="1" t="s">
        <v>87</v>
      </c>
      <c r="F36" s="1" t="s">
        <v>141</v>
      </c>
      <c r="I36" s="1" t="s">
        <v>22</v>
      </c>
      <c r="J36" s="1" t="s">
        <v>49</v>
      </c>
      <c r="K36" s="1" t="s">
        <v>59</v>
      </c>
      <c r="L36" s="1" t="s">
        <v>59</v>
      </c>
      <c r="M36" s="1" t="str">
        <f t="shared" si="2"/>
        <v>Tier 3</v>
      </c>
      <c r="O36" s="23" t="s">
        <v>388</v>
      </c>
      <c r="P36" s="23" t="s">
        <v>389</v>
      </c>
      <c r="Q36" s="12">
        <v>45809</v>
      </c>
      <c r="S36" s="1">
        <f>IF(B36="",0,IF(COUNTIF($B$2:$B36,B36)=1,1,0))</f>
        <v>0</v>
      </c>
      <c r="T36" s="1" t="str">
        <f>IF(S36=1,SUM($S$2:S36),"")</f>
        <v/>
      </c>
      <c r="U36" s="1">
        <f>IF(W36="",0,IF(COUNTIF($W$2:$W36,W36)=1,1,0))</f>
        <v>1</v>
      </c>
      <c r="V36" s="1">
        <f>IF(U36=1,SUM($U$2:U36),"")</f>
        <v>35</v>
      </c>
      <c r="W36" s="1" t="str">
        <f t="shared" si="3"/>
        <v>Meirah Al Obaidly|Baladna</v>
      </c>
    </row>
    <row r="37" spans="1:23" ht="15" customHeight="1" x14ac:dyDescent="0.35">
      <c r="A37" s="1" t="s">
        <v>142</v>
      </c>
      <c r="B37" s="1" t="s">
        <v>143</v>
      </c>
      <c r="C37" s="1" t="s">
        <v>144</v>
      </c>
      <c r="D37" s="1" t="s">
        <v>87</v>
      </c>
      <c r="F37" s="1" t="s">
        <v>145</v>
      </c>
      <c r="I37" s="1" t="s">
        <v>22</v>
      </c>
      <c r="J37" s="1" t="s">
        <v>59</v>
      </c>
      <c r="K37" s="1" t="s">
        <v>49</v>
      </c>
      <c r="L37" s="1" t="s">
        <v>59</v>
      </c>
      <c r="M37" s="1" t="str">
        <f t="shared" si="2"/>
        <v>Tier 3</v>
      </c>
      <c r="O37" s="23" t="s">
        <v>390</v>
      </c>
      <c r="P37" s="23" t="s">
        <v>391</v>
      </c>
      <c r="Q37" s="12">
        <v>46139</v>
      </c>
      <c r="S37" s="1">
        <f>IF(B37="",0,IF(COUNTIF($B$2:$B37,B37)=1,1,0))</f>
        <v>1</v>
      </c>
      <c r="T37" s="1">
        <f>IF(S37=1,SUM($S$2:S37),"")</f>
        <v>13</v>
      </c>
      <c r="U37" s="1">
        <f>IF(W37="",0,IF(COUNTIF($W$2:$W37,W37)=1,1,0))</f>
        <v>1</v>
      </c>
      <c r="V37" s="1">
        <f>IF(U37=1,SUM($U$2:U37),"")</f>
        <v>36</v>
      </c>
      <c r="W37" s="1" t="str">
        <f t="shared" si="3"/>
        <v>Khalifa Al Yafei|Emirates Group</v>
      </c>
    </row>
    <row r="38" spans="1:23" ht="15" customHeight="1" x14ac:dyDescent="0.35">
      <c r="A38" s="1" t="s">
        <v>142</v>
      </c>
      <c r="B38" s="1" t="s">
        <v>143</v>
      </c>
      <c r="C38" s="1" t="s">
        <v>146</v>
      </c>
      <c r="D38" s="1" t="s">
        <v>147</v>
      </c>
      <c r="F38" s="1" t="s">
        <v>148</v>
      </c>
      <c r="I38" s="1" t="s">
        <v>22</v>
      </c>
      <c r="J38" s="1" t="s">
        <v>59</v>
      </c>
      <c r="K38" s="1" t="s">
        <v>59</v>
      </c>
      <c r="L38" s="1" t="s">
        <v>59</v>
      </c>
      <c r="M38" s="1" t="str">
        <f t="shared" si="2"/>
        <v>Tier 3</v>
      </c>
      <c r="O38" s="23" t="s">
        <v>392</v>
      </c>
      <c r="P38" s="23" t="s">
        <v>393</v>
      </c>
      <c r="Q38" s="12">
        <v>45979</v>
      </c>
      <c r="S38" s="1">
        <f>IF(B38="",0,IF(COUNTIF($B$2:$B38,B38)=1,1,0))</f>
        <v>0</v>
      </c>
      <c r="T38" s="1" t="str">
        <f>IF(S38=1,SUM($S$2:S38),"")</f>
        <v/>
      </c>
      <c r="U38" s="1">
        <f>IF(W38="",0,IF(COUNTIF($W$2:$W38,W38)=1,1,0))</f>
        <v>1</v>
      </c>
      <c r="V38" s="1">
        <f>IF(U38=1,SUM($U$2:U38),"")</f>
        <v>37</v>
      </c>
      <c r="W38" s="1" t="str">
        <f t="shared" si="3"/>
        <v>Wafa Al Humaid|Emirates Group</v>
      </c>
    </row>
    <row r="39" spans="1:23" ht="15" customHeight="1" x14ac:dyDescent="0.35">
      <c r="A39" s="1" t="s">
        <v>142</v>
      </c>
      <c r="B39" s="1" t="s">
        <v>143</v>
      </c>
      <c r="C39" s="1" t="s">
        <v>149</v>
      </c>
      <c r="D39" s="1" t="s">
        <v>150</v>
      </c>
      <c r="F39" s="1" t="s">
        <v>151</v>
      </c>
      <c r="I39" s="1" t="s">
        <v>22</v>
      </c>
      <c r="J39" s="1" t="s">
        <v>59</v>
      </c>
      <c r="K39" s="1" t="s">
        <v>59</v>
      </c>
      <c r="L39" s="1" t="s">
        <v>59</v>
      </c>
      <c r="M39" s="1" t="str">
        <f t="shared" si="2"/>
        <v>Tier 3</v>
      </c>
      <c r="O39" s="23" t="s">
        <v>394</v>
      </c>
      <c r="P39" s="23" t="s">
        <v>395</v>
      </c>
      <c r="Q39" s="12">
        <v>45809</v>
      </c>
      <c r="S39" s="1">
        <f>IF(B39="",0,IF(COUNTIF($B$2:$B39,B39)=1,1,0))</f>
        <v>0</v>
      </c>
      <c r="T39" s="1" t="str">
        <f>IF(S39=1,SUM($S$2:S39),"")</f>
        <v/>
      </c>
      <c r="U39" s="1">
        <f>IF(W39="",0,IF(COUNTIF($W$2:$W39,W39)=1,1,0))</f>
        <v>1</v>
      </c>
      <c r="V39" s="1">
        <f>IF(U39=1,SUM($U$2:U39),"")</f>
        <v>38</v>
      </c>
      <c r="W39" s="1" t="str">
        <f t="shared" si="3"/>
        <v>Nasser Al Khaldi|Emirates Group</v>
      </c>
    </row>
    <row r="40" spans="1:23" ht="15" customHeight="1" x14ac:dyDescent="0.35">
      <c r="A40" s="1" t="s">
        <v>152</v>
      </c>
      <c r="B40" s="1" t="s">
        <v>153</v>
      </c>
      <c r="C40" s="1" t="s">
        <v>154</v>
      </c>
      <c r="D40" s="1" t="s">
        <v>87</v>
      </c>
      <c r="F40" s="1" t="s">
        <v>155</v>
      </c>
      <c r="I40" s="1" t="s">
        <v>22</v>
      </c>
      <c r="J40" s="1" t="s">
        <v>59</v>
      </c>
      <c r="K40" s="1" t="s">
        <v>59</v>
      </c>
      <c r="L40" s="1" t="s">
        <v>49</v>
      </c>
      <c r="M40" s="1" t="str">
        <f t="shared" si="2"/>
        <v>Tier 3</v>
      </c>
      <c r="O40" s="23" t="s">
        <v>396</v>
      </c>
      <c r="P40" s="23" t="s">
        <v>397</v>
      </c>
      <c r="Q40" s="12">
        <v>46139</v>
      </c>
      <c r="S40" s="1">
        <f>IF(B40="",0,IF(COUNTIF($B$2:$B40,B40)=1,1,0))</f>
        <v>1</v>
      </c>
      <c r="T40" s="1">
        <f>IF(S40=1,SUM($S$2:S40),"")</f>
        <v>14</v>
      </c>
      <c r="U40" s="1">
        <f>IF(W40="",0,IF(COUNTIF($W$2:$W40,W40)=1,1,0))</f>
        <v>1</v>
      </c>
      <c r="V40" s="1">
        <f>IF(U40=1,SUM($U$2:U40),"")</f>
        <v>39</v>
      </c>
      <c r="W40" s="1" t="str">
        <f t="shared" si="3"/>
        <v>Asma Al Buainain|DP World</v>
      </c>
    </row>
    <row r="41" spans="1:23" ht="15" customHeight="1" x14ac:dyDescent="0.35">
      <c r="A41" s="1" t="s">
        <v>152</v>
      </c>
      <c r="B41" s="1" t="s">
        <v>153</v>
      </c>
      <c r="C41" s="1" t="s">
        <v>156</v>
      </c>
      <c r="D41" s="1" t="s">
        <v>147</v>
      </c>
      <c r="F41" s="1" t="s">
        <v>157</v>
      </c>
      <c r="I41" s="1" t="s">
        <v>22</v>
      </c>
      <c r="J41" s="1" t="s">
        <v>59</v>
      </c>
      <c r="K41" s="1" t="s">
        <v>59</v>
      </c>
      <c r="L41" s="1" t="s">
        <v>49</v>
      </c>
      <c r="M41" s="1" t="str">
        <f t="shared" si="2"/>
        <v>Tier 3</v>
      </c>
      <c r="O41" s="23" t="s">
        <v>398</v>
      </c>
      <c r="P41" s="23" t="s">
        <v>399</v>
      </c>
      <c r="Q41" s="12">
        <v>45979</v>
      </c>
      <c r="S41" s="1">
        <f>IF(B41="",0,IF(COUNTIF($B$2:$B41,B41)=1,1,0))</f>
        <v>0</v>
      </c>
      <c r="T41" s="1" t="str">
        <f>IF(S41=1,SUM($S$2:S41),"")</f>
        <v/>
      </c>
      <c r="U41" s="1">
        <f>IF(W41="",0,IF(COUNTIF($W$2:$W41,W41)=1,1,0))</f>
        <v>1</v>
      </c>
      <c r="V41" s="1">
        <f>IF(U41=1,SUM($U$2:U41),"")</f>
        <v>40</v>
      </c>
      <c r="W41" s="1" t="str">
        <f t="shared" si="3"/>
        <v>Turki Al Sowaidi|DP World</v>
      </c>
    </row>
    <row r="42" spans="1:23" ht="15" customHeight="1" x14ac:dyDescent="0.35">
      <c r="A42" s="1" t="s">
        <v>152</v>
      </c>
      <c r="B42" s="1" t="s">
        <v>153</v>
      </c>
      <c r="C42" s="1" t="s">
        <v>158</v>
      </c>
      <c r="D42" s="1" t="s">
        <v>150</v>
      </c>
      <c r="F42" s="1" t="s">
        <v>159</v>
      </c>
      <c r="I42" s="1" t="s">
        <v>22</v>
      </c>
      <c r="J42" s="1" t="s">
        <v>59</v>
      </c>
      <c r="K42" s="1" t="s">
        <v>59</v>
      </c>
      <c r="L42" s="1" t="s">
        <v>49</v>
      </c>
      <c r="M42" s="1" t="str">
        <f t="shared" si="2"/>
        <v>Tier 3</v>
      </c>
      <c r="O42" s="23" t="s">
        <v>400</v>
      </c>
      <c r="P42" s="23" t="s">
        <v>401</v>
      </c>
      <c r="Q42" s="12">
        <v>45809</v>
      </c>
      <c r="S42" s="1">
        <f>IF(B42="",0,IF(COUNTIF($B$2:$B42,B42)=1,1,0))</f>
        <v>0</v>
      </c>
      <c r="T42" s="1" t="str">
        <f>IF(S42=1,SUM($S$2:S42),"")</f>
        <v/>
      </c>
      <c r="U42" s="1">
        <f>IF(W42="",0,IF(COUNTIF($W$2:$W42,W42)=1,1,0))</f>
        <v>1</v>
      </c>
      <c r="V42" s="1">
        <f>IF(U42=1,SUM($U$2:U42),"")</f>
        <v>41</v>
      </c>
      <c r="W42" s="1" t="str">
        <f t="shared" si="3"/>
        <v>Amna Al Kaldi|DP World</v>
      </c>
    </row>
    <row r="43" spans="1:23" ht="15" customHeight="1" x14ac:dyDescent="0.35">
      <c r="A43" s="1" t="s">
        <v>160</v>
      </c>
      <c r="B43" s="1" t="s">
        <v>161</v>
      </c>
      <c r="C43" s="1" t="s">
        <v>162</v>
      </c>
      <c r="D43" s="1" t="s">
        <v>51</v>
      </c>
      <c r="F43" s="1" t="s">
        <v>163</v>
      </c>
      <c r="I43" s="1" t="s">
        <v>22</v>
      </c>
      <c r="J43" s="1" t="s">
        <v>49</v>
      </c>
      <c r="K43" s="1" t="s">
        <v>49</v>
      </c>
      <c r="L43" s="1" t="s">
        <v>59</v>
      </c>
      <c r="M43" s="1" t="str">
        <f t="shared" si="2"/>
        <v>Tier 3</v>
      </c>
      <c r="O43" s="23" t="s">
        <v>402</v>
      </c>
      <c r="P43" s="23" t="s">
        <v>403</v>
      </c>
      <c r="Q43" s="12">
        <v>46139</v>
      </c>
      <c r="S43" s="1">
        <f>IF(B43="",0,IF(COUNTIF($B$2:$B43,B43)=1,1,0))</f>
        <v>1</v>
      </c>
      <c r="T43" s="1">
        <f>IF(S43=1,SUM($S$2:S43),"")</f>
        <v>15</v>
      </c>
      <c r="U43" s="1">
        <f>IF(W43="",0,IF(COUNTIF($W$2:$W43,W43)=1,1,0))</f>
        <v>1</v>
      </c>
      <c r="V43" s="1">
        <f>IF(U43=1,SUM($U$2:U43),"")</f>
        <v>42</v>
      </c>
      <c r="W43" s="1" t="str">
        <f t="shared" si="3"/>
        <v>Sultan Al Meer|Emaar Properties</v>
      </c>
    </row>
    <row r="44" spans="1:23" ht="15" customHeight="1" x14ac:dyDescent="0.35">
      <c r="A44" s="1" t="s">
        <v>160</v>
      </c>
      <c r="B44" s="1" t="s">
        <v>161</v>
      </c>
      <c r="C44" s="1" t="s">
        <v>164</v>
      </c>
      <c r="D44" s="1" t="s">
        <v>84</v>
      </c>
      <c r="F44" s="1" t="s">
        <v>165</v>
      </c>
      <c r="I44" s="1" t="s">
        <v>22</v>
      </c>
      <c r="J44" s="1" t="s">
        <v>49</v>
      </c>
      <c r="K44" s="1" t="s">
        <v>59</v>
      </c>
      <c r="L44" s="1" t="s">
        <v>59</v>
      </c>
      <c r="M44" s="1" t="str">
        <f t="shared" si="2"/>
        <v>Tier 3</v>
      </c>
      <c r="O44" s="23" t="s">
        <v>404</v>
      </c>
      <c r="P44" s="23" t="s">
        <v>405</v>
      </c>
      <c r="Q44" s="12">
        <v>45979</v>
      </c>
      <c r="S44" s="1">
        <f>IF(B44="",0,IF(COUNTIF($B$2:$B44,B44)=1,1,0))</f>
        <v>0</v>
      </c>
      <c r="T44" s="1" t="str">
        <f>IF(S44=1,SUM($S$2:S44),"")</f>
        <v/>
      </c>
      <c r="U44" s="1">
        <f>IF(W44="",0,IF(COUNTIF($W$2:$W44,W44)=1,1,0))</f>
        <v>1</v>
      </c>
      <c r="V44" s="1">
        <f>IF(U44=1,SUM($U$2:U44),"")</f>
        <v>43</v>
      </c>
      <c r="W44" s="1" t="str">
        <f t="shared" si="3"/>
        <v>Hoor Al Hajj|Emaar Properties</v>
      </c>
    </row>
    <row r="45" spans="1:23" ht="15" customHeight="1" x14ac:dyDescent="0.35">
      <c r="A45" s="1" t="s">
        <v>160</v>
      </c>
      <c r="B45" s="1" t="s">
        <v>161</v>
      </c>
      <c r="C45" s="1" t="s">
        <v>166</v>
      </c>
      <c r="D45" s="1" t="s">
        <v>87</v>
      </c>
      <c r="F45" s="1" t="s">
        <v>167</v>
      </c>
      <c r="I45" s="1" t="s">
        <v>22</v>
      </c>
      <c r="J45" s="1" t="s">
        <v>49</v>
      </c>
      <c r="K45" s="1" t="s">
        <v>59</v>
      </c>
      <c r="L45" s="1" t="s">
        <v>59</v>
      </c>
      <c r="M45" s="1" t="str">
        <f t="shared" si="2"/>
        <v>Tier 3</v>
      </c>
      <c r="O45" s="23" t="s">
        <v>406</v>
      </c>
      <c r="P45" s="23" t="s">
        <v>407</v>
      </c>
      <c r="Q45" s="12">
        <v>45809</v>
      </c>
      <c r="S45" s="1">
        <f>IF(B45="",0,IF(COUNTIF($B$2:$B45,B45)=1,1,0))</f>
        <v>0</v>
      </c>
      <c r="T45" s="1" t="str">
        <f>IF(S45=1,SUM($S$2:S45),"")</f>
        <v/>
      </c>
      <c r="U45" s="1">
        <f>IF(W45="",0,IF(COUNTIF($W$2:$W45,W45)=1,1,0))</f>
        <v>1</v>
      </c>
      <c r="V45" s="1">
        <f>IF(U45=1,SUM($U$2:U45),"")</f>
        <v>44</v>
      </c>
      <c r="W45" s="1" t="str">
        <f t="shared" si="3"/>
        <v>Zayed Al Rashdi|Emaar Properties</v>
      </c>
    </row>
    <row r="46" spans="1:23" ht="15" customHeight="1" x14ac:dyDescent="0.35">
      <c r="A46" s="1" t="s">
        <v>63</v>
      </c>
      <c r="B46" s="1" t="s">
        <v>168</v>
      </c>
      <c r="C46" s="1" t="s">
        <v>169</v>
      </c>
      <c r="D46" s="1" t="s">
        <v>43</v>
      </c>
      <c r="F46" s="1" t="s">
        <v>170</v>
      </c>
      <c r="I46" s="1" t="s">
        <v>22</v>
      </c>
      <c r="J46" s="1" t="s">
        <v>45</v>
      </c>
      <c r="K46" s="1" t="s">
        <v>45</v>
      </c>
      <c r="L46" s="1" t="s">
        <v>45</v>
      </c>
      <c r="M46" s="1" t="str">
        <f t="shared" si="2"/>
        <v>Tier 1</v>
      </c>
      <c r="O46" s="23" t="s">
        <v>408</v>
      </c>
      <c r="P46" s="23" t="s">
        <v>409</v>
      </c>
      <c r="S46" s="1">
        <f>IF(B46="",0,IF(COUNTIF($B$2:$B46,B46)=1,1,0))</f>
        <v>1</v>
      </c>
      <c r="T46" s="1">
        <f>IF(S46=1,SUM($S$2:S46),"")</f>
        <v>16</v>
      </c>
      <c r="U46" s="1">
        <f>IF(W46="",0,IF(COUNTIF($W$2:$W46,W46)=1,1,0))</f>
        <v>1</v>
      </c>
      <c r="V46" s="1">
        <f>IF(U46=1,SUM($U$2:U46),"")</f>
        <v>45</v>
      </c>
      <c r="W46" s="1" t="str">
        <f t="shared" si="3"/>
        <v>Sheikh Ali Alwaleed Al-Thani|Invest Qatar</v>
      </c>
    </row>
    <row r="47" spans="1:23" ht="15" customHeight="1" x14ac:dyDescent="0.35">
      <c r="J47" s="1"/>
      <c r="M47" s="1" t="str">
        <f t="shared" si="2"/>
        <v/>
      </c>
      <c r="Q47" s="12"/>
      <c r="S47" s="1">
        <f>IF(B47="",0,IF(COUNTIF($B$2:$B47,B47)=1,1,0))</f>
        <v>0</v>
      </c>
      <c r="T47" s="1" t="str">
        <f>IF(S47=1,SUM($S$2:S47),"")</f>
        <v/>
      </c>
      <c r="U47" s="1">
        <f>IF(W47="",0,IF(COUNTIF($W$2:$W47,W47)=1,1,0))</f>
        <v>0</v>
      </c>
      <c r="V47" s="1" t="str">
        <f>IF(U47=1,SUM($U$2:U47),"")</f>
        <v/>
      </c>
      <c r="W47" s="1" t="str">
        <f t="shared" si="3"/>
        <v/>
      </c>
    </row>
    <row r="48" spans="1:23" ht="15" customHeight="1" x14ac:dyDescent="0.35">
      <c r="J48" s="1"/>
      <c r="M48" s="1" t="str">
        <f t="shared" si="2"/>
        <v/>
      </c>
      <c r="Q48" s="12"/>
      <c r="S48" s="1">
        <f>IF(B48="",0,IF(COUNTIF($B$2:$B48,B48)=1,1,0))</f>
        <v>0</v>
      </c>
      <c r="T48" s="1" t="str">
        <f>IF(S48=1,SUM($S$2:S48),"")</f>
        <v/>
      </c>
      <c r="U48" s="1">
        <f>IF(W48="",0,IF(COUNTIF($W$2:$W48,W48)=1,1,0))</f>
        <v>0</v>
      </c>
      <c r="V48" s="1" t="str">
        <f>IF(U48=1,SUM($U$2:U48),"")</f>
        <v/>
      </c>
      <c r="W48" s="1" t="str">
        <f t="shared" si="3"/>
        <v/>
      </c>
    </row>
    <row r="49" spans="10:23" ht="15" customHeight="1" x14ac:dyDescent="0.35">
      <c r="J49" s="1"/>
      <c r="M49" s="1" t="str">
        <f t="shared" si="2"/>
        <v/>
      </c>
      <c r="Q49" s="12"/>
      <c r="S49" s="1">
        <f>IF(B49="",0,IF(COUNTIF($B$2:$B49,B49)=1,1,0))</f>
        <v>0</v>
      </c>
      <c r="T49" s="1" t="str">
        <f>IF(S49=1,SUM($S$2:S49),"")</f>
        <v/>
      </c>
      <c r="U49" s="1">
        <f>IF(W49="",0,IF(COUNTIF($W$2:$W49,W49)=1,1,0))</f>
        <v>0</v>
      </c>
      <c r="V49" s="1" t="str">
        <f>IF(U49=1,SUM($U$2:U49),"")</f>
        <v/>
      </c>
      <c r="W49" s="1" t="str">
        <f t="shared" si="3"/>
        <v/>
      </c>
    </row>
    <row r="50" spans="10:23" ht="15" customHeight="1" x14ac:dyDescent="0.35">
      <c r="J50" s="1"/>
      <c r="M50" s="1" t="str">
        <f t="shared" si="2"/>
        <v/>
      </c>
      <c r="Q50" s="12"/>
      <c r="S50" s="1">
        <f>IF(B50="",0,IF(COUNTIF($B$2:$B50,B50)=1,1,0))</f>
        <v>0</v>
      </c>
      <c r="T50" s="1" t="str">
        <f>IF(S50=1,SUM($S$2:S50),"")</f>
        <v/>
      </c>
      <c r="U50" s="1">
        <f>IF(W50="",0,IF(COUNTIF($W$2:$W50,W50)=1,1,0))</f>
        <v>0</v>
      </c>
      <c r="V50" s="1" t="str">
        <f>IF(U50=1,SUM($U$2:U50),"")</f>
        <v/>
      </c>
      <c r="W50" s="1" t="str">
        <f t="shared" si="3"/>
        <v/>
      </c>
    </row>
    <row r="51" spans="10:23" ht="15" customHeight="1" x14ac:dyDescent="0.35">
      <c r="J51" s="1"/>
      <c r="M51" s="1" t="str">
        <f t="shared" si="2"/>
        <v/>
      </c>
      <c r="Q51" s="12"/>
      <c r="S51" s="1">
        <f>IF(B51="",0,IF(COUNTIF($B$2:$B51,B51)=1,1,0))</f>
        <v>0</v>
      </c>
      <c r="T51" s="1" t="str">
        <f>IF(S51=1,SUM($S$2:S51),"")</f>
        <v/>
      </c>
      <c r="U51" s="1">
        <f>IF(W51="",0,IF(COUNTIF($W$2:$W51,W51)=1,1,0))</f>
        <v>0</v>
      </c>
      <c r="V51" s="1" t="str">
        <f>IF(U51=1,SUM($U$2:U51),"")</f>
        <v/>
      </c>
      <c r="W51" s="1" t="str">
        <f t="shared" si="3"/>
        <v/>
      </c>
    </row>
    <row r="52" spans="10:23" ht="15" customHeight="1" x14ac:dyDescent="0.35">
      <c r="J52" s="1"/>
      <c r="M52" s="1" t="str">
        <f t="shared" si="2"/>
        <v/>
      </c>
      <c r="Q52" s="12"/>
      <c r="S52" s="1">
        <f>IF(B52="",0,IF(COUNTIF($B$2:$B52,B52)=1,1,0))</f>
        <v>0</v>
      </c>
      <c r="T52" s="1" t="str">
        <f>IF(S52=1,SUM($S$2:S52),"")</f>
        <v/>
      </c>
      <c r="U52" s="1">
        <f>IF(W52="",0,IF(COUNTIF($W$2:$W52,W52)=1,1,0))</f>
        <v>0</v>
      </c>
      <c r="V52" s="1" t="str">
        <f>IF(U52=1,SUM($U$2:U52),"")</f>
        <v/>
      </c>
      <c r="W52" s="1" t="str">
        <f t="shared" si="3"/>
        <v/>
      </c>
    </row>
    <row r="53" spans="10:23" ht="15" customHeight="1" x14ac:dyDescent="0.35">
      <c r="J53" s="1"/>
      <c r="M53" s="1" t="str">
        <f t="shared" si="2"/>
        <v/>
      </c>
      <c r="Q53" s="12"/>
      <c r="S53" s="1">
        <f>IF(B53="",0,IF(COUNTIF($B$2:$B53,B53)=1,1,0))</f>
        <v>0</v>
      </c>
      <c r="T53" s="1" t="str">
        <f>IF(S53=1,SUM($S$2:S53),"")</f>
        <v/>
      </c>
      <c r="U53" s="1">
        <f>IF(W53="",0,IF(COUNTIF($W$2:$W53,W53)=1,1,0))</f>
        <v>0</v>
      </c>
      <c r="V53" s="1" t="str">
        <f>IF(U53=1,SUM($U$2:U53),"")</f>
        <v/>
      </c>
      <c r="W53" s="1" t="str">
        <f t="shared" si="3"/>
        <v/>
      </c>
    </row>
    <row r="54" spans="10:23" ht="15" customHeight="1" x14ac:dyDescent="0.35">
      <c r="J54" s="1"/>
      <c r="M54" s="1" t="str">
        <f t="shared" si="2"/>
        <v/>
      </c>
      <c r="Q54" s="12"/>
      <c r="S54" s="1">
        <f>IF(B54="",0,IF(COUNTIF($B$2:$B54,B54)=1,1,0))</f>
        <v>0</v>
      </c>
      <c r="T54" s="1" t="str">
        <f>IF(S54=1,SUM($S$2:S54),"")</f>
        <v/>
      </c>
      <c r="U54" s="1">
        <f>IF(W54="",0,IF(COUNTIF($W$2:$W54,W54)=1,1,0))</f>
        <v>0</v>
      </c>
      <c r="V54" s="1" t="str">
        <f>IF(U54=1,SUM($U$2:U54),"")</f>
        <v/>
      </c>
      <c r="W54" s="1" t="str">
        <f t="shared" si="3"/>
        <v/>
      </c>
    </row>
    <row r="55" spans="10:23" ht="15" customHeight="1" x14ac:dyDescent="0.35">
      <c r="J55" s="1"/>
      <c r="M55" s="1" t="str">
        <f t="shared" si="2"/>
        <v/>
      </c>
      <c r="Q55" s="12"/>
      <c r="S55" s="1">
        <f>IF(B55="",0,IF(COUNTIF($B$2:$B55,B55)=1,1,0))</f>
        <v>0</v>
      </c>
      <c r="T55" s="1" t="str">
        <f>IF(S55=1,SUM($S$2:S55),"")</f>
        <v/>
      </c>
      <c r="U55" s="1">
        <f>IF(W55="",0,IF(COUNTIF($W$2:$W55,W55)=1,1,0))</f>
        <v>0</v>
      </c>
      <c r="V55" s="1" t="str">
        <f>IF(U55=1,SUM($U$2:U55),"")</f>
        <v/>
      </c>
      <c r="W55" s="1" t="str">
        <f t="shared" si="3"/>
        <v/>
      </c>
    </row>
    <row r="56" spans="10:23" ht="15" customHeight="1" x14ac:dyDescent="0.35">
      <c r="J56" s="1"/>
      <c r="M56" s="1" t="str">
        <f t="shared" si="2"/>
        <v/>
      </c>
      <c r="Q56" s="12"/>
      <c r="S56" s="1">
        <f>IF(B56="",0,IF(COUNTIF($B$2:$B56,B56)=1,1,0))</f>
        <v>0</v>
      </c>
      <c r="T56" s="1" t="str">
        <f>IF(S56=1,SUM($S$2:S56),"")</f>
        <v/>
      </c>
      <c r="U56" s="1">
        <f>IF(W56="",0,IF(COUNTIF($W$2:$W56,W56)=1,1,0))</f>
        <v>0</v>
      </c>
      <c r="V56" s="1" t="str">
        <f>IF(U56=1,SUM($U$2:U56),"")</f>
        <v/>
      </c>
      <c r="W56" s="1" t="str">
        <f t="shared" si="3"/>
        <v/>
      </c>
    </row>
    <row r="57" spans="10:23" ht="15" customHeight="1" x14ac:dyDescent="0.35">
      <c r="J57" s="1"/>
      <c r="M57" s="1" t="str">
        <f t="shared" si="2"/>
        <v/>
      </c>
      <c r="Q57" s="12"/>
      <c r="S57" s="1">
        <f>IF(B57="",0,IF(COUNTIF($B$2:$B57,B57)=1,1,0))</f>
        <v>0</v>
      </c>
      <c r="T57" s="1" t="str">
        <f>IF(S57=1,SUM($S$2:S57),"")</f>
        <v/>
      </c>
      <c r="U57" s="1">
        <f>IF(W57="",0,IF(COUNTIF($W$2:$W57,W57)=1,1,0))</f>
        <v>0</v>
      </c>
      <c r="V57" s="1" t="str">
        <f>IF(U57=1,SUM($U$2:U57),"")</f>
        <v/>
      </c>
      <c r="W57" s="1" t="str">
        <f t="shared" si="3"/>
        <v/>
      </c>
    </row>
    <row r="58" spans="10:23" ht="15" customHeight="1" x14ac:dyDescent="0.35">
      <c r="J58" s="1"/>
      <c r="M58" s="1" t="str">
        <f t="shared" si="2"/>
        <v/>
      </c>
      <c r="Q58" s="12"/>
      <c r="S58" s="1">
        <f>IF(B58="",0,IF(COUNTIF($B$2:$B58,B58)=1,1,0))</f>
        <v>0</v>
      </c>
      <c r="T58" s="1" t="str">
        <f>IF(S58=1,SUM($S$2:S58),"")</f>
        <v/>
      </c>
      <c r="U58" s="1">
        <f>IF(W58="",0,IF(COUNTIF($W$2:$W58,W58)=1,1,0))</f>
        <v>0</v>
      </c>
      <c r="V58" s="1" t="str">
        <f>IF(U58=1,SUM($U$2:U58),"")</f>
        <v/>
      </c>
      <c r="W58" s="1" t="str">
        <f t="shared" si="3"/>
        <v/>
      </c>
    </row>
    <row r="59" spans="10:23" ht="15" customHeight="1" x14ac:dyDescent="0.35">
      <c r="J59" s="1"/>
      <c r="M59" s="1" t="str">
        <f t="shared" si="2"/>
        <v/>
      </c>
      <c r="Q59" s="12"/>
      <c r="S59" s="1">
        <f>IF(B59="",0,IF(COUNTIF($B$2:$B59,B59)=1,1,0))</f>
        <v>0</v>
      </c>
      <c r="T59" s="1" t="str">
        <f>IF(S59=1,SUM($S$2:S59),"")</f>
        <v/>
      </c>
      <c r="U59" s="1">
        <f>IF(W59="",0,IF(COUNTIF($W$2:$W59,W59)=1,1,0))</f>
        <v>0</v>
      </c>
      <c r="V59" s="1" t="str">
        <f>IF(U59=1,SUM($U$2:U59),"")</f>
        <v/>
      </c>
      <c r="W59" s="1" t="str">
        <f t="shared" si="3"/>
        <v/>
      </c>
    </row>
    <row r="60" spans="10:23" ht="15" customHeight="1" x14ac:dyDescent="0.35">
      <c r="J60" s="1"/>
      <c r="M60" s="1" t="str">
        <f t="shared" si="2"/>
        <v/>
      </c>
      <c r="Q60" s="12"/>
      <c r="S60" s="1">
        <f>IF(B60="",0,IF(COUNTIF($B$2:$B60,B60)=1,1,0))</f>
        <v>0</v>
      </c>
      <c r="T60" s="1" t="str">
        <f>IF(S60=1,SUM($S$2:S60),"")</f>
        <v/>
      </c>
      <c r="U60" s="1">
        <f>IF(W60="",0,IF(COUNTIF($W$2:$W60,W60)=1,1,0))</f>
        <v>0</v>
      </c>
      <c r="V60" s="1" t="str">
        <f>IF(U60=1,SUM($U$2:U60),"")</f>
        <v/>
      </c>
      <c r="W60" s="1" t="str">
        <f t="shared" si="3"/>
        <v/>
      </c>
    </row>
    <row r="61" spans="10:23" ht="15" customHeight="1" x14ac:dyDescent="0.35">
      <c r="J61" s="1"/>
      <c r="M61" s="1" t="str">
        <f t="shared" si="2"/>
        <v/>
      </c>
      <c r="Q61" s="12"/>
      <c r="S61" s="1">
        <f>IF(B61="",0,IF(COUNTIF($B$2:$B61,B61)=1,1,0))</f>
        <v>0</v>
      </c>
      <c r="T61" s="1" t="str">
        <f>IF(S61=1,SUM($S$2:S61),"")</f>
        <v/>
      </c>
      <c r="U61" s="1">
        <f>IF(W61="",0,IF(COUNTIF($W$2:$W61,W61)=1,1,0))</f>
        <v>0</v>
      </c>
      <c r="V61" s="1" t="str">
        <f>IF(U61=1,SUM($U$2:U61),"")</f>
        <v/>
      </c>
      <c r="W61" s="1" t="str">
        <f t="shared" si="3"/>
        <v/>
      </c>
    </row>
    <row r="62" spans="10:23" ht="15" customHeight="1" x14ac:dyDescent="0.35">
      <c r="J62" s="1"/>
      <c r="M62" s="1" t="str">
        <f t="shared" si="2"/>
        <v/>
      </c>
      <c r="Q62" s="12"/>
      <c r="S62" s="1">
        <f>IF(B62="",0,IF(COUNTIF($B$2:$B62,B62)=1,1,0))</f>
        <v>0</v>
      </c>
      <c r="T62" s="1" t="str">
        <f>IF(S62=1,SUM($S$2:S62),"")</f>
        <v/>
      </c>
      <c r="U62" s="1">
        <f>IF(W62="",0,IF(COUNTIF($W$2:$W62,W62)=1,1,0))</f>
        <v>0</v>
      </c>
      <c r="V62" s="1" t="str">
        <f>IF(U62=1,SUM($U$2:U62),"")</f>
        <v/>
      </c>
      <c r="W62" s="1" t="str">
        <f t="shared" si="3"/>
        <v/>
      </c>
    </row>
    <row r="63" spans="10:23" ht="15" customHeight="1" x14ac:dyDescent="0.35">
      <c r="J63" s="1"/>
      <c r="M63" s="1" t="str">
        <f t="shared" si="2"/>
        <v/>
      </c>
      <c r="Q63" s="12"/>
      <c r="S63" s="1">
        <f>IF(B63="",0,IF(COUNTIF($B$2:$B63,B63)=1,1,0))</f>
        <v>0</v>
      </c>
      <c r="T63" s="1" t="str">
        <f>IF(S63=1,SUM($S$2:S63),"")</f>
        <v/>
      </c>
      <c r="U63" s="1">
        <f>IF(W63="",0,IF(COUNTIF($W$2:$W63,W63)=1,1,0))</f>
        <v>0</v>
      </c>
      <c r="V63" s="1" t="str">
        <f>IF(U63=1,SUM($U$2:U63),"")</f>
        <v/>
      </c>
      <c r="W63" s="1" t="str">
        <f t="shared" si="3"/>
        <v/>
      </c>
    </row>
    <row r="64" spans="10:23" ht="15" customHeight="1" x14ac:dyDescent="0.35">
      <c r="J64" s="1"/>
      <c r="M64" s="1" t="str">
        <f t="shared" si="2"/>
        <v/>
      </c>
      <c r="Q64" s="12"/>
      <c r="S64" s="1">
        <f>IF(B64="",0,IF(COUNTIF($B$2:$B64,B64)=1,1,0))</f>
        <v>0</v>
      </c>
      <c r="T64" s="1" t="str">
        <f>IF(S64=1,SUM($S$2:S64),"")</f>
        <v/>
      </c>
      <c r="U64" s="1">
        <f>IF(W64="",0,IF(COUNTIF($W$2:$W64,W64)=1,1,0))</f>
        <v>0</v>
      </c>
      <c r="V64" s="1" t="str">
        <f>IF(U64=1,SUM($U$2:U64),"")</f>
        <v/>
      </c>
      <c r="W64" s="1" t="str">
        <f t="shared" si="3"/>
        <v/>
      </c>
    </row>
    <row r="65" spans="10:23" ht="15" customHeight="1" x14ac:dyDescent="0.35">
      <c r="J65" s="1"/>
      <c r="M65" s="1" t="str">
        <f t="shared" si="2"/>
        <v/>
      </c>
      <c r="Q65" s="12"/>
      <c r="S65" s="1">
        <f>IF(B65="",0,IF(COUNTIF($B$2:$B65,B65)=1,1,0))</f>
        <v>0</v>
      </c>
      <c r="T65" s="1" t="str">
        <f>IF(S65=1,SUM($S$2:S65),"")</f>
        <v/>
      </c>
      <c r="U65" s="1">
        <f>IF(W65="",0,IF(COUNTIF($W$2:$W65,W65)=1,1,0))</f>
        <v>0</v>
      </c>
      <c r="V65" s="1" t="str">
        <f>IF(U65=1,SUM($U$2:U65),"")</f>
        <v/>
      </c>
      <c r="W65" s="1" t="str">
        <f t="shared" si="3"/>
        <v/>
      </c>
    </row>
    <row r="66" spans="10:23" ht="15" customHeight="1" x14ac:dyDescent="0.35">
      <c r="J66" s="1"/>
      <c r="M66" s="1" t="str">
        <f t="shared" ref="M66:M97" si="4">IF(OR(J66="",K66="",L66=""),"",IF(AND(COUNTIF(J66:L66,"High")&gt;=2,OR(J66="High",L66="High")),"Tier 1",IF(AND(COUNTIF(J66:L66,"High")&gt;=1,COUNTIF(J66:L66,"Medium")&gt;=1),"Tier 2","Tier 3")))</f>
        <v/>
      </c>
      <c r="Q66" s="12"/>
      <c r="S66" s="1">
        <f>IF(B66="",0,IF(COUNTIF($B$2:$B66,B66)=1,1,0))</f>
        <v>0</v>
      </c>
      <c r="T66" s="1" t="str">
        <f>IF(S66=1,SUM($S$2:S66),"")</f>
        <v/>
      </c>
      <c r="U66" s="1">
        <f>IF(W66="",0,IF(COUNTIF($W$2:$W66,W66)=1,1,0))</f>
        <v>0</v>
      </c>
      <c r="V66" s="1" t="str">
        <f>IF(U66=1,SUM($U$2:U66),"")</f>
        <v/>
      </c>
      <c r="W66" s="1" t="str">
        <f t="shared" ref="W66:W97" si="5">IF(OR(C66="",B66=""),"",TRIM(C66)&amp;"|"&amp;TRIM(B66))</f>
        <v/>
      </c>
    </row>
    <row r="67" spans="10:23" ht="15" customHeight="1" x14ac:dyDescent="0.35">
      <c r="J67" s="1"/>
      <c r="M67" s="1" t="str">
        <f t="shared" si="4"/>
        <v/>
      </c>
      <c r="Q67" s="12"/>
      <c r="S67" s="1">
        <f>IF(B67="",0,IF(COUNTIF($B$2:$B67,B67)=1,1,0))</f>
        <v>0</v>
      </c>
      <c r="T67" s="1" t="str">
        <f>IF(S67=1,SUM($S$2:S67),"")</f>
        <v/>
      </c>
      <c r="U67" s="1">
        <f>IF(W67="",0,IF(COUNTIF($W$2:$W67,W67)=1,1,0))</f>
        <v>0</v>
      </c>
      <c r="V67" s="1" t="str">
        <f>IF(U67=1,SUM($U$2:U67),"")</f>
        <v/>
      </c>
      <c r="W67" s="1" t="str">
        <f t="shared" si="5"/>
        <v/>
      </c>
    </row>
    <row r="68" spans="10:23" ht="15" customHeight="1" x14ac:dyDescent="0.35">
      <c r="J68" s="1"/>
      <c r="M68" s="1" t="str">
        <f t="shared" si="4"/>
        <v/>
      </c>
      <c r="Q68" s="12"/>
      <c r="S68" s="1">
        <f>IF(B68="",0,IF(COUNTIF($B$2:$B68,B68)=1,1,0))</f>
        <v>0</v>
      </c>
      <c r="T68" s="1" t="str">
        <f>IF(S68=1,SUM($S$2:S68),"")</f>
        <v/>
      </c>
      <c r="U68" s="1">
        <f>IF(W68="",0,IF(COUNTIF($W$2:$W68,W68)=1,1,0))</f>
        <v>0</v>
      </c>
      <c r="V68" s="1" t="str">
        <f>IF(U68=1,SUM($U$2:U68),"")</f>
        <v/>
      </c>
      <c r="W68" s="1" t="str">
        <f t="shared" si="5"/>
        <v/>
      </c>
    </row>
    <row r="69" spans="10:23" ht="15" customHeight="1" x14ac:dyDescent="0.35">
      <c r="J69" s="1"/>
      <c r="M69" s="1" t="str">
        <f t="shared" si="4"/>
        <v/>
      </c>
      <c r="Q69" s="12"/>
      <c r="S69" s="1">
        <f>IF(B69="",0,IF(COUNTIF($B$2:$B69,B69)=1,1,0))</f>
        <v>0</v>
      </c>
      <c r="T69" s="1" t="str">
        <f>IF(S69=1,SUM($S$2:S69),"")</f>
        <v/>
      </c>
      <c r="U69" s="1">
        <f>IF(W69="",0,IF(COUNTIF($W$2:$W69,W69)=1,1,0))</f>
        <v>0</v>
      </c>
      <c r="V69" s="1" t="str">
        <f>IF(U69=1,SUM($U$2:U69),"")</f>
        <v/>
      </c>
      <c r="W69" s="1" t="str">
        <f t="shared" si="5"/>
        <v/>
      </c>
    </row>
    <row r="70" spans="10:23" ht="15" customHeight="1" x14ac:dyDescent="0.35">
      <c r="J70" s="1"/>
      <c r="M70" s="1" t="str">
        <f t="shared" si="4"/>
        <v/>
      </c>
      <c r="Q70" s="12"/>
      <c r="S70" s="1">
        <f>IF(B70="",0,IF(COUNTIF($B$2:$B70,B70)=1,1,0))</f>
        <v>0</v>
      </c>
      <c r="T70" s="1" t="str">
        <f>IF(S70=1,SUM($S$2:S70),"")</f>
        <v/>
      </c>
      <c r="U70" s="1">
        <f>IF(W70="",0,IF(COUNTIF($W$2:$W70,W70)=1,1,0))</f>
        <v>0</v>
      </c>
      <c r="V70" s="1" t="str">
        <f>IF(U70=1,SUM($U$2:U70),"")</f>
        <v/>
      </c>
      <c r="W70" s="1" t="str">
        <f t="shared" si="5"/>
        <v/>
      </c>
    </row>
    <row r="71" spans="10:23" ht="15" customHeight="1" x14ac:dyDescent="0.35">
      <c r="J71" s="1"/>
      <c r="M71" s="1" t="str">
        <f t="shared" si="4"/>
        <v/>
      </c>
      <c r="Q71" s="12"/>
      <c r="S71" s="1">
        <f>IF(B71="",0,IF(COUNTIF($B$2:$B71,B71)=1,1,0))</f>
        <v>0</v>
      </c>
      <c r="T71" s="1" t="str">
        <f>IF(S71=1,SUM($S$2:S71),"")</f>
        <v/>
      </c>
      <c r="U71" s="1">
        <f>IF(W71="",0,IF(COUNTIF($W$2:$W71,W71)=1,1,0))</f>
        <v>0</v>
      </c>
      <c r="V71" s="1" t="str">
        <f>IF(U71=1,SUM($U$2:U71),"")</f>
        <v/>
      </c>
      <c r="W71" s="1" t="str">
        <f t="shared" si="5"/>
        <v/>
      </c>
    </row>
    <row r="72" spans="10:23" ht="15" customHeight="1" x14ac:dyDescent="0.35">
      <c r="J72" s="1"/>
      <c r="M72" s="1" t="str">
        <f t="shared" si="4"/>
        <v/>
      </c>
      <c r="Q72" s="12"/>
      <c r="S72" s="1">
        <f>IF(B72="",0,IF(COUNTIF($B$2:$B72,B72)=1,1,0))</f>
        <v>0</v>
      </c>
      <c r="T72" s="1" t="str">
        <f>IF(S72=1,SUM($S$2:S72),"")</f>
        <v/>
      </c>
      <c r="U72" s="1">
        <f>IF(W72="",0,IF(COUNTIF($W$2:$W72,W72)=1,1,0))</f>
        <v>0</v>
      </c>
      <c r="V72" s="1" t="str">
        <f>IF(U72=1,SUM($U$2:U72),"")</f>
        <v/>
      </c>
      <c r="W72" s="1" t="str">
        <f t="shared" si="5"/>
        <v/>
      </c>
    </row>
    <row r="73" spans="10:23" ht="15" customHeight="1" x14ac:dyDescent="0.35">
      <c r="J73" s="1"/>
      <c r="M73" s="1" t="str">
        <f t="shared" si="4"/>
        <v/>
      </c>
      <c r="Q73" s="12"/>
      <c r="S73" s="1">
        <f>IF(B73="",0,IF(COUNTIF($B$2:$B73,B73)=1,1,0))</f>
        <v>0</v>
      </c>
      <c r="T73" s="1" t="str">
        <f>IF(S73=1,SUM($S$2:S73),"")</f>
        <v/>
      </c>
      <c r="U73" s="1">
        <f>IF(W73="",0,IF(COUNTIF($W$2:$W73,W73)=1,1,0))</f>
        <v>0</v>
      </c>
      <c r="V73" s="1" t="str">
        <f>IF(U73=1,SUM($U$2:U73),"")</f>
        <v/>
      </c>
      <c r="W73" s="1" t="str">
        <f t="shared" si="5"/>
        <v/>
      </c>
    </row>
    <row r="74" spans="10:23" ht="15" customHeight="1" x14ac:dyDescent="0.35">
      <c r="J74" s="1"/>
      <c r="M74" s="1" t="str">
        <f t="shared" si="4"/>
        <v/>
      </c>
      <c r="Q74" s="12"/>
      <c r="S74" s="1">
        <f>IF(B74="",0,IF(COUNTIF($B$2:$B74,B74)=1,1,0))</f>
        <v>0</v>
      </c>
      <c r="T74" s="1" t="str">
        <f>IF(S74=1,SUM($S$2:S74),"")</f>
        <v/>
      </c>
      <c r="U74" s="1">
        <f>IF(W74="",0,IF(COUNTIF($W$2:$W74,W74)=1,1,0))</f>
        <v>0</v>
      </c>
      <c r="V74" s="1" t="str">
        <f>IF(U74=1,SUM($U$2:U74),"")</f>
        <v/>
      </c>
      <c r="W74" s="1" t="str">
        <f t="shared" si="5"/>
        <v/>
      </c>
    </row>
    <row r="75" spans="10:23" ht="15" customHeight="1" x14ac:dyDescent="0.35">
      <c r="J75" s="1"/>
      <c r="M75" s="1" t="str">
        <f t="shared" si="4"/>
        <v/>
      </c>
      <c r="Q75" s="12"/>
      <c r="S75" s="1">
        <f>IF(B75="",0,IF(COUNTIF($B$2:$B75,B75)=1,1,0))</f>
        <v>0</v>
      </c>
      <c r="T75" s="1" t="str">
        <f>IF(S75=1,SUM($S$2:S75),"")</f>
        <v/>
      </c>
      <c r="U75" s="1">
        <f>IF(W75="",0,IF(COUNTIF($W$2:$W75,W75)=1,1,0))</f>
        <v>0</v>
      </c>
      <c r="V75" s="1" t="str">
        <f>IF(U75=1,SUM($U$2:U75),"")</f>
        <v/>
      </c>
      <c r="W75" s="1" t="str">
        <f t="shared" si="5"/>
        <v/>
      </c>
    </row>
    <row r="76" spans="10:23" ht="15" customHeight="1" x14ac:dyDescent="0.35">
      <c r="J76" s="1"/>
      <c r="M76" s="1" t="str">
        <f t="shared" si="4"/>
        <v/>
      </c>
      <c r="Q76" s="12"/>
      <c r="S76" s="1">
        <f>IF(B76="",0,IF(COUNTIF($B$2:$B76,B76)=1,1,0))</f>
        <v>0</v>
      </c>
      <c r="T76" s="1" t="str">
        <f>IF(S76=1,SUM($S$2:S76),"")</f>
        <v/>
      </c>
      <c r="U76" s="1">
        <f>IF(W76="",0,IF(COUNTIF($W$2:$W76,W76)=1,1,0))</f>
        <v>0</v>
      </c>
      <c r="V76" s="1" t="str">
        <f>IF(U76=1,SUM($U$2:U76),"")</f>
        <v/>
      </c>
      <c r="W76" s="1" t="str">
        <f t="shared" si="5"/>
        <v/>
      </c>
    </row>
    <row r="77" spans="10:23" ht="15" customHeight="1" x14ac:dyDescent="0.35">
      <c r="J77" s="1"/>
      <c r="M77" s="1" t="str">
        <f t="shared" si="4"/>
        <v/>
      </c>
      <c r="Q77" s="12"/>
      <c r="S77" s="1">
        <f>IF(B77="",0,IF(COUNTIF($B$2:$B77,B77)=1,1,0))</f>
        <v>0</v>
      </c>
      <c r="T77" s="1" t="str">
        <f>IF(S77=1,SUM($S$2:S77),"")</f>
        <v/>
      </c>
      <c r="U77" s="1">
        <f>IF(W77="",0,IF(COUNTIF($W$2:$W77,W77)=1,1,0))</f>
        <v>0</v>
      </c>
      <c r="V77" s="1" t="str">
        <f>IF(U77=1,SUM($U$2:U77),"")</f>
        <v/>
      </c>
      <c r="W77" s="1" t="str">
        <f t="shared" si="5"/>
        <v/>
      </c>
    </row>
    <row r="78" spans="10:23" ht="15" customHeight="1" x14ac:dyDescent="0.35">
      <c r="J78" s="1"/>
      <c r="M78" s="1" t="str">
        <f t="shared" si="4"/>
        <v/>
      </c>
      <c r="Q78" s="12"/>
      <c r="S78" s="1">
        <f>IF(B78="",0,IF(COUNTIF($B$2:$B78,B78)=1,1,0))</f>
        <v>0</v>
      </c>
      <c r="T78" s="1" t="str">
        <f>IF(S78=1,SUM($S$2:S78),"")</f>
        <v/>
      </c>
      <c r="U78" s="1">
        <f>IF(W78="",0,IF(COUNTIF($W$2:$W78,W78)=1,1,0))</f>
        <v>0</v>
      </c>
      <c r="V78" s="1" t="str">
        <f>IF(U78=1,SUM($U$2:U78),"")</f>
        <v/>
      </c>
      <c r="W78" s="1" t="str">
        <f t="shared" si="5"/>
        <v/>
      </c>
    </row>
    <row r="79" spans="10:23" ht="15" customHeight="1" x14ac:dyDescent="0.35">
      <c r="J79" s="1"/>
      <c r="M79" s="1" t="str">
        <f t="shared" si="4"/>
        <v/>
      </c>
      <c r="Q79" s="12"/>
      <c r="S79" s="1">
        <f>IF(B79="",0,IF(COUNTIF($B$2:$B79,B79)=1,1,0))</f>
        <v>0</v>
      </c>
      <c r="T79" s="1" t="str">
        <f>IF(S79=1,SUM($S$2:S79),"")</f>
        <v/>
      </c>
      <c r="U79" s="1">
        <f>IF(W79="",0,IF(COUNTIF($W$2:$W79,W79)=1,1,0))</f>
        <v>0</v>
      </c>
      <c r="V79" s="1" t="str">
        <f>IF(U79=1,SUM($U$2:U79),"")</f>
        <v/>
      </c>
      <c r="W79" s="1" t="str">
        <f t="shared" si="5"/>
        <v/>
      </c>
    </row>
    <row r="80" spans="10:23" ht="15" customHeight="1" x14ac:dyDescent="0.35">
      <c r="J80" s="1"/>
      <c r="M80" s="1" t="str">
        <f t="shared" si="4"/>
        <v/>
      </c>
      <c r="Q80" s="12"/>
      <c r="S80" s="1">
        <f>IF(B80="",0,IF(COUNTIF($B$2:$B80,B80)=1,1,0))</f>
        <v>0</v>
      </c>
      <c r="T80" s="1" t="str">
        <f>IF(S80=1,SUM($S$2:S80),"")</f>
        <v/>
      </c>
      <c r="U80" s="1">
        <f>IF(W80="",0,IF(COUNTIF($W$2:$W80,W80)=1,1,0))</f>
        <v>0</v>
      </c>
      <c r="V80" s="1" t="str">
        <f>IF(U80=1,SUM($U$2:U80),"")</f>
        <v/>
      </c>
      <c r="W80" s="1" t="str">
        <f t="shared" si="5"/>
        <v/>
      </c>
    </row>
    <row r="81" spans="10:23" ht="15" customHeight="1" x14ac:dyDescent="0.35">
      <c r="J81" s="1"/>
      <c r="M81" s="1" t="str">
        <f t="shared" si="4"/>
        <v/>
      </c>
      <c r="Q81" s="12"/>
      <c r="S81" s="1">
        <f>IF(B81="",0,IF(COUNTIF($B$2:$B81,B81)=1,1,0))</f>
        <v>0</v>
      </c>
      <c r="T81" s="1" t="str">
        <f>IF(S81=1,SUM($S$2:S81),"")</f>
        <v/>
      </c>
      <c r="U81" s="1">
        <f>IF(W81="",0,IF(COUNTIF($W$2:$W81,W81)=1,1,0))</f>
        <v>0</v>
      </c>
      <c r="V81" s="1" t="str">
        <f>IF(U81=1,SUM($U$2:U81),"")</f>
        <v/>
      </c>
      <c r="W81" s="1" t="str">
        <f t="shared" si="5"/>
        <v/>
      </c>
    </row>
    <row r="82" spans="10:23" ht="15" customHeight="1" x14ac:dyDescent="0.35">
      <c r="J82" s="1"/>
      <c r="M82" s="1" t="str">
        <f t="shared" si="4"/>
        <v/>
      </c>
      <c r="Q82" s="12"/>
      <c r="S82" s="1">
        <f>IF(B82="",0,IF(COUNTIF($B$2:$B82,B82)=1,1,0))</f>
        <v>0</v>
      </c>
      <c r="T82" s="1" t="str">
        <f>IF(S82=1,SUM($S$2:S82),"")</f>
        <v/>
      </c>
      <c r="U82" s="1">
        <f>IF(W82="",0,IF(COUNTIF($W$2:$W82,W82)=1,1,0))</f>
        <v>0</v>
      </c>
      <c r="V82" s="1" t="str">
        <f>IF(U82=1,SUM($U$2:U82),"")</f>
        <v/>
      </c>
      <c r="W82" s="1" t="str">
        <f t="shared" si="5"/>
        <v/>
      </c>
    </row>
    <row r="83" spans="10:23" ht="15" customHeight="1" x14ac:dyDescent="0.35">
      <c r="J83" s="1"/>
      <c r="M83" s="1" t="str">
        <f t="shared" si="4"/>
        <v/>
      </c>
      <c r="Q83" s="12"/>
      <c r="S83" s="1">
        <f>IF(B83="",0,IF(COUNTIF($B$2:$B83,B83)=1,1,0))</f>
        <v>0</v>
      </c>
      <c r="T83" s="1" t="str">
        <f>IF(S83=1,SUM($S$2:S83),"")</f>
        <v/>
      </c>
      <c r="U83" s="1">
        <f>IF(W83="",0,IF(COUNTIF($W$2:$W83,W83)=1,1,0))</f>
        <v>0</v>
      </c>
      <c r="V83" s="1" t="str">
        <f>IF(U83=1,SUM($U$2:U83),"")</f>
        <v/>
      </c>
      <c r="W83" s="1" t="str">
        <f t="shared" si="5"/>
        <v/>
      </c>
    </row>
    <row r="84" spans="10:23" ht="15" customHeight="1" x14ac:dyDescent="0.35">
      <c r="J84" s="1"/>
      <c r="M84" s="1" t="str">
        <f t="shared" si="4"/>
        <v/>
      </c>
      <c r="Q84" s="12"/>
      <c r="S84" s="1">
        <f>IF(B84="",0,IF(COUNTIF($B$2:$B84,B84)=1,1,0))</f>
        <v>0</v>
      </c>
      <c r="T84" s="1" t="str">
        <f>IF(S84=1,SUM($S$2:S84),"")</f>
        <v/>
      </c>
      <c r="U84" s="1">
        <f>IF(W84="",0,IF(COUNTIF($W$2:$W84,W84)=1,1,0))</f>
        <v>0</v>
      </c>
      <c r="V84" s="1" t="str">
        <f>IF(U84=1,SUM($U$2:U84),"")</f>
        <v/>
      </c>
      <c r="W84" s="1" t="str">
        <f t="shared" si="5"/>
        <v/>
      </c>
    </row>
    <row r="85" spans="10:23" ht="15" customHeight="1" x14ac:dyDescent="0.35">
      <c r="J85" s="1"/>
      <c r="M85" s="1" t="str">
        <f t="shared" si="4"/>
        <v/>
      </c>
      <c r="Q85" s="12"/>
      <c r="S85" s="1">
        <f>IF(B85="",0,IF(COUNTIF($B$2:$B85,B85)=1,1,0))</f>
        <v>0</v>
      </c>
      <c r="T85" s="1" t="str">
        <f>IF(S85=1,SUM($S$2:S85),"")</f>
        <v/>
      </c>
      <c r="U85" s="1">
        <f>IF(W85="",0,IF(COUNTIF($W$2:$W85,W85)=1,1,0))</f>
        <v>0</v>
      </c>
      <c r="V85" s="1" t="str">
        <f>IF(U85=1,SUM($U$2:U85),"")</f>
        <v/>
      </c>
      <c r="W85" s="1" t="str">
        <f t="shared" si="5"/>
        <v/>
      </c>
    </row>
    <row r="86" spans="10:23" ht="15" customHeight="1" x14ac:dyDescent="0.35">
      <c r="J86" s="1"/>
      <c r="M86" s="1" t="str">
        <f t="shared" si="4"/>
        <v/>
      </c>
      <c r="Q86" s="12"/>
      <c r="S86" s="1">
        <f>IF(B86="",0,IF(COUNTIF($B$2:$B86,B86)=1,1,0))</f>
        <v>0</v>
      </c>
      <c r="T86" s="1" t="str">
        <f>IF(S86=1,SUM($S$2:S86),"")</f>
        <v/>
      </c>
      <c r="U86" s="1">
        <f>IF(W86="",0,IF(COUNTIF($W$2:$W86,W86)=1,1,0))</f>
        <v>0</v>
      </c>
      <c r="V86" s="1" t="str">
        <f>IF(U86=1,SUM($U$2:U86),"")</f>
        <v/>
      </c>
      <c r="W86" s="1" t="str">
        <f t="shared" si="5"/>
        <v/>
      </c>
    </row>
    <row r="87" spans="10:23" ht="15" customHeight="1" x14ac:dyDescent="0.35">
      <c r="J87" s="1"/>
      <c r="M87" s="1" t="str">
        <f t="shared" si="4"/>
        <v/>
      </c>
      <c r="Q87" s="12"/>
      <c r="S87" s="1">
        <f>IF(B87="",0,IF(COUNTIF($B$2:$B87,B87)=1,1,0))</f>
        <v>0</v>
      </c>
      <c r="T87" s="1" t="str">
        <f>IF(S87=1,SUM($S$2:S87),"")</f>
        <v/>
      </c>
      <c r="U87" s="1">
        <f>IF(W87="",0,IF(COUNTIF($W$2:$W87,W87)=1,1,0))</f>
        <v>0</v>
      </c>
      <c r="V87" s="1" t="str">
        <f>IF(U87=1,SUM($U$2:U87),"")</f>
        <v/>
      </c>
      <c r="W87" s="1" t="str">
        <f t="shared" si="5"/>
        <v/>
      </c>
    </row>
    <row r="88" spans="10:23" ht="15" customHeight="1" x14ac:dyDescent="0.35">
      <c r="J88" s="1"/>
      <c r="M88" s="1" t="str">
        <f t="shared" si="4"/>
        <v/>
      </c>
      <c r="Q88" s="12"/>
      <c r="S88" s="1">
        <f>IF(B88="",0,IF(COUNTIF($B$2:$B88,B88)=1,1,0))</f>
        <v>0</v>
      </c>
      <c r="T88" s="1" t="str">
        <f>IF(S88=1,SUM($S$2:S88),"")</f>
        <v/>
      </c>
      <c r="U88" s="1">
        <f>IF(W88="",0,IF(COUNTIF($W$2:$W88,W88)=1,1,0))</f>
        <v>0</v>
      </c>
      <c r="V88" s="1" t="str">
        <f>IF(U88=1,SUM($U$2:U88),"")</f>
        <v/>
      </c>
      <c r="W88" s="1" t="str">
        <f t="shared" si="5"/>
        <v/>
      </c>
    </row>
    <row r="89" spans="10:23" ht="15" customHeight="1" x14ac:dyDescent="0.35">
      <c r="J89" s="1"/>
      <c r="M89" s="1" t="str">
        <f t="shared" si="4"/>
        <v/>
      </c>
      <c r="Q89" s="12"/>
      <c r="S89" s="1">
        <f>IF(B89="",0,IF(COUNTIF($B$2:$B89,B89)=1,1,0))</f>
        <v>0</v>
      </c>
      <c r="T89" s="1" t="str">
        <f>IF(S89=1,SUM($S$2:S89),"")</f>
        <v/>
      </c>
      <c r="U89" s="1">
        <f>IF(W89="",0,IF(COUNTIF($W$2:$W89,W89)=1,1,0))</f>
        <v>0</v>
      </c>
      <c r="V89" s="1" t="str">
        <f>IF(U89=1,SUM($U$2:U89),"")</f>
        <v/>
      </c>
      <c r="W89" s="1" t="str">
        <f t="shared" si="5"/>
        <v/>
      </c>
    </row>
    <row r="90" spans="10:23" ht="15" customHeight="1" x14ac:dyDescent="0.35">
      <c r="J90" s="1"/>
      <c r="M90" s="1" t="str">
        <f t="shared" si="4"/>
        <v/>
      </c>
      <c r="Q90" s="12"/>
      <c r="S90" s="1">
        <f>IF(B90="",0,IF(COUNTIF($B$2:$B90,B90)=1,1,0))</f>
        <v>0</v>
      </c>
      <c r="T90" s="1" t="str">
        <f>IF(S90=1,SUM($S$2:S90),"")</f>
        <v/>
      </c>
      <c r="U90" s="1">
        <f>IF(W90="",0,IF(COUNTIF($W$2:$W90,W90)=1,1,0))</f>
        <v>0</v>
      </c>
      <c r="V90" s="1" t="str">
        <f>IF(U90=1,SUM($U$2:U90),"")</f>
        <v/>
      </c>
      <c r="W90" s="1" t="str">
        <f t="shared" si="5"/>
        <v/>
      </c>
    </row>
    <row r="91" spans="10:23" ht="15" customHeight="1" x14ac:dyDescent="0.35">
      <c r="J91" s="1"/>
      <c r="M91" s="1" t="str">
        <f t="shared" si="4"/>
        <v/>
      </c>
      <c r="Q91" s="12"/>
      <c r="S91" s="1">
        <f>IF(B91="",0,IF(COUNTIF($B$2:$B91,B91)=1,1,0))</f>
        <v>0</v>
      </c>
      <c r="T91" s="1" t="str">
        <f>IF(S91=1,SUM($S$2:S91),"")</f>
        <v/>
      </c>
      <c r="U91" s="1">
        <f>IF(W91="",0,IF(COUNTIF($W$2:$W91,W91)=1,1,0))</f>
        <v>0</v>
      </c>
      <c r="V91" s="1" t="str">
        <f>IF(U91=1,SUM($U$2:U91),"")</f>
        <v/>
      </c>
      <c r="W91" s="1" t="str">
        <f t="shared" si="5"/>
        <v/>
      </c>
    </row>
    <row r="92" spans="10:23" ht="15" customHeight="1" x14ac:dyDescent="0.35">
      <c r="J92" s="1"/>
      <c r="M92" s="1" t="str">
        <f t="shared" si="4"/>
        <v/>
      </c>
      <c r="Q92" s="12"/>
      <c r="S92" s="1">
        <f>IF(B92="",0,IF(COUNTIF($B$2:$B92,B92)=1,1,0))</f>
        <v>0</v>
      </c>
      <c r="T92" s="1" t="str">
        <f>IF(S92=1,SUM($S$2:S92),"")</f>
        <v/>
      </c>
      <c r="U92" s="1">
        <f>IF(W92="",0,IF(COUNTIF($W$2:$W92,W92)=1,1,0))</f>
        <v>0</v>
      </c>
      <c r="V92" s="1" t="str">
        <f>IF(U92=1,SUM($U$2:U92),"")</f>
        <v/>
      </c>
      <c r="W92" s="1" t="str">
        <f t="shared" si="5"/>
        <v/>
      </c>
    </row>
    <row r="93" spans="10:23" ht="15" customHeight="1" x14ac:dyDescent="0.35">
      <c r="J93" s="1"/>
      <c r="M93" s="1" t="str">
        <f t="shared" si="4"/>
        <v/>
      </c>
      <c r="Q93" s="12"/>
      <c r="S93" s="1">
        <f>IF(B93="",0,IF(COUNTIF($B$2:$B93,B93)=1,1,0))</f>
        <v>0</v>
      </c>
      <c r="T93" s="1" t="str">
        <f>IF(S93=1,SUM($S$2:S93),"")</f>
        <v/>
      </c>
      <c r="U93" s="1">
        <f>IF(W93="",0,IF(COUNTIF($W$2:$W93,W93)=1,1,0))</f>
        <v>0</v>
      </c>
      <c r="V93" s="1" t="str">
        <f>IF(U93=1,SUM($U$2:U93),"")</f>
        <v/>
      </c>
      <c r="W93" s="1" t="str">
        <f t="shared" si="5"/>
        <v/>
      </c>
    </row>
    <row r="94" spans="10:23" ht="15" customHeight="1" x14ac:dyDescent="0.35">
      <c r="J94" s="1"/>
      <c r="M94" s="1" t="str">
        <f t="shared" si="4"/>
        <v/>
      </c>
      <c r="Q94" s="12"/>
      <c r="S94" s="1">
        <f>IF(B94="",0,IF(COUNTIF($B$2:$B94,B94)=1,1,0))</f>
        <v>0</v>
      </c>
      <c r="T94" s="1" t="str">
        <f>IF(S94=1,SUM($S$2:S94),"")</f>
        <v/>
      </c>
      <c r="U94" s="1">
        <f>IF(W94="",0,IF(COUNTIF($W$2:$W94,W94)=1,1,0))</f>
        <v>0</v>
      </c>
      <c r="V94" s="1" t="str">
        <f>IF(U94=1,SUM($U$2:U94),"")</f>
        <v/>
      </c>
      <c r="W94" s="1" t="str">
        <f t="shared" si="5"/>
        <v/>
      </c>
    </row>
    <row r="95" spans="10:23" ht="15" customHeight="1" x14ac:dyDescent="0.35">
      <c r="J95" s="1"/>
      <c r="M95" s="1" t="str">
        <f t="shared" si="4"/>
        <v/>
      </c>
      <c r="Q95" s="12"/>
      <c r="S95" s="1">
        <f>IF(B95="",0,IF(COUNTIF($B$2:$B95,B95)=1,1,0))</f>
        <v>0</v>
      </c>
      <c r="T95" s="1" t="str">
        <f>IF(S95=1,SUM($S$2:S95),"")</f>
        <v/>
      </c>
      <c r="U95" s="1">
        <f>IF(W95="",0,IF(COUNTIF($W$2:$W95,W95)=1,1,0))</f>
        <v>0</v>
      </c>
      <c r="V95" s="1" t="str">
        <f>IF(U95=1,SUM($U$2:U95),"")</f>
        <v/>
      </c>
      <c r="W95" s="1" t="str">
        <f t="shared" si="5"/>
        <v/>
      </c>
    </row>
    <row r="96" spans="10:23" ht="15" customHeight="1" x14ac:dyDescent="0.35">
      <c r="J96" s="1"/>
      <c r="M96" s="1" t="str">
        <f t="shared" si="4"/>
        <v/>
      </c>
      <c r="Q96" s="12"/>
      <c r="S96" s="1">
        <f>IF(B96="",0,IF(COUNTIF($B$2:$B96,B96)=1,1,0))</f>
        <v>0</v>
      </c>
      <c r="T96" s="1" t="str">
        <f>IF(S96=1,SUM($S$2:S96),"")</f>
        <v/>
      </c>
      <c r="U96" s="1">
        <f>IF(W96="",0,IF(COUNTIF($W$2:$W96,W96)=1,1,0))</f>
        <v>0</v>
      </c>
      <c r="V96" s="1" t="str">
        <f>IF(U96=1,SUM($U$2:U96),"")</f>
        <v/>
      </c>
      <c r="W96" s="1" t="str">
        <f t="shared" si="5"/>
        <v/>
      </c>
    </row>
    <row r="97" spans="10:23" ht="15" customHeight="1" x14ac:dyDescent="0.35">
      <c r="J97" s="1"/>
      <c r="M97" s="1" t="str">
        <f t="shared" si="4"/>
        <v/>
      </c>
      <c r="Q97" s="12"/>
      <c r="S97" s="1">
        <f>IF(B97="",0,IF(COUNTIF($B$2:$B97,B97)=1,1,0))</f>
        <v>0</v>
      </c>
      <c r="T97" s="1" t="str">
        <f>IF(S97=1,SUM($S$2:S97),"")</f>
        <v/>
      </c>
      <c r="U97" s="1">
        <f>IF(W97="",0,IF(COUNTIF($W$2:$W97,W97)=1,1,0))</f>
        <v>0</v>
      </c>
      <c r="V97" s="1" t="str">
        <f>IF(U97=1,SUM($U$2:U97),"")</f>
        <v/>
      </c>
      <c r="W97" s="1" t="str">
        <f t="shared" si="5"/>
        <v/>
      </c>
    </row>
    <row r="98" spans="10:23" ht="15" customHeight="1" x14ac:dyDescent="0.35">
      <c r="J98" s="1"/>
      <c r="M98" s="1" t="str">
        <f t="shared" ref="M98:M129" si="6">IF(OR(J98="",K98="",L98=""),"",IF(AND(COUNTIF(J98:L98,"High")&gt;=2,OR(J98="High",L98="High")),"Tier 1",IF(AND(COUNTIF(J98:L98,"High")&gt;=1,COUNTIF(J98:L98,"Medium")&gt;=1),"Tier 2","Tier 3")))</f>
        <v/>
      </c>
      <c r="Q98" s="12"/>
      <c r="S98" s="1">
        <f>IF(B98="",0,IF(COUNTIF($B$2:$B98,B98)=1,1,0))</f>
        <v>0</v>
      </c>
      <c r="T98" s="1" t="str">
        <f>IF(S98=1,SUM($S$2:S98),"")</f>
        <v/>
      </c>
      <c r="U98" s="1">
        <f>IF(W98="",0,IF(COUNTIF($W$2:$W98,W98)=1,1,0))</f>
        <v>0</v>
      </c>
      <c r="V98" s="1" t="str">
        <f>IF(U98=1,SUM($U$2:U98),"")</f>
        <v/>
      </c>
      <c r="W98" s="1" t="str">
        <f t="shared" ref="W98:W129" si="7">IF(OR(C98="",B98=""),"",TRIM(C98)&amp;"|"&amp;TRIM(B98))</f>
        <v/>
      </c>
    </row>
    <row r="99" spans="10:23" ht="15" customHeight="1" x14ac:dyDescent="0.35">
      <c r="J99" s="1"/>
      <c r="M99" s="1" t="str">
        <f t="shared" si="6"/>
        <v/>
      </c>
      <c r="Q99" s="12"/>
      <c r="S99" s="1">
        <f>IF(B99="",0,IF(COUNTIF($B$2:$B99,B99)=1,1,0))</f>
        <v>0</v>
      </c>
      <c r="T99" s="1" t="str">
        <f>IF(S99=1,SUM($S$2:S99),"")</f>
        <v/>
      </c>
      <c r="U99" s="1">
        <f>IF(W99="",0,IF(COUNTIF($W$2:$W99,W99)=1,1,0))</f>
        <v>0</v>
      </c>
      <c r="V99" s="1" t="str">
        <f>IF(U99=1,SUM($U$2:U99),"")</f>
        <v/>
      </c>
      <c r="W99" s="1" t="str">
        <f t="shared" si="7"/>
        <v/>
      </c>
    </row>
    <row r="100" spans="10:23" ht="15" customHeight="1" x14ac:dyDescent="0.35">
      <c r="J100" s="1"/>
      <c r="M100" s="1" t="str">
        <f t="shared" si="6"/>
        <v/>
      </c>
      <c r="Q100" s="12"/>
      <c r="S100" s="1">
        <f>IF(B100="",0,IF(COUNTIF($B$2:$B100,B100)=1,1,0))</f>
        <v>0</v>
      </c>
      <c r="T100" s="1" t="str">
        <f>IF(S100=1,SUM($S$2:S100),"")</f>
        <v/>
      </c>
      <c r="U100" s="1">
        <f>IF(W100="",0,IF(COUNTIF($W$2:$W100,W100)=1,1,0))</f>
        <v>0</v>
      </c>
      <c r="V100" s="1" t="str">
        <f>IF(U100=1,SUM($U$2:U100),"")</f>
        <v/>
      </c>
      <c r="W100" s="1" t="str">
        <f t="shared" si="7"/>
        <v/>
      </c>
    </row>
    <row r="101" spans="10:23" ht="15" customHeight="1" x14ac:dyDescent="0.35">
      <c r="J101" s="1"/>
      <c r="M101" s="1" t="str">
        <f t="shared" si="6"/>
        <v/>
      </c>
      <c r="Q101" s="12"/>
      <c r="S101" s="1">
        <f>IF(B101="",0,IF(COUNTIF($B$2:$B101,B101)=1,1,0))</f>
        <v>0</v>
      </c>
      <c r="T101" s="1" t="str">
        <f>IF(S101=1,SUM($S$2:S101),"")</f>
        <v/>
      </c>
      <c r="U101" s="1">
        <f>IF(W101="",0,IF(COUNTIF($W$2:$W101,W101)=1,1,0))</f>
        <v>0</v>
      </c>
      <c r="V101" s="1" t="str">
        <f>IF(U101=1,SUM($U$2:U101),"")</f>
        <v/>
      </c>
      <c r="W101" s="1" t="str">
        <f t="shared" si="7"/>
        <v/>
      </c>
    </row>
    <row r="102" spans="10:23" ht="15" customHeight="1" x14ac:dyDescent="0.35">
      <c r="J102" s="1"/>
      <c r="M102" s="1" t="str">
        <f t="shared" si="6"/>
        <v/>
      </c>
      <c r="Q102" s="12"/>
      <c r="S102" s="1">
        <f>IF(B102="",0,IF(COUNTIF($B$2:$B102,B102)=1,1,0))</f>
        <v>0</v>
      </c>
      <c r="T102" s="1" t="str">
        <f>IF(S102=1,SUM($S$2:S102),"")</f>
        <v/>
      </c>
      <c r="U102" s="1">
        <f>IF(W102="",0,IF(COUNTIF($W$2:$W102,W102)=1,1,0))</f>
        <v>0</v>
      </c>
      <c r="V102" s="1" t="str">
        <f>IF(U102=1,SUM($U$2:U102),"")</f>
        <v/>
      </c>
      <c r="W102" s="1" t="str">
        <f t="shared" si="7"/>
        <v/>
      </c>
    </row>
    <row r="103" spans="10:23" ht="15" customHeight="1" x14ac:dyDescent="0.35">
      <c r="J103" s="1"/>
      <c r="M103" s="1" t="str">
        <f t="shared" si="6"/>
        <v/>
      </c>
      <c r="Q103" s="12"/>
      <c r="S103" s="1">
        <f>IF(B103="",0,IF(COUNTIF($B$2:$B103,B103)=1,1,0))</f>
        <v>0</v>
      </c>
      <c r="T103" s="1" t="str">
        <f>IF(S103=1,SUM($S$2:S103),"")</f>
        <v/>
      </c>
      <c r="U103" s="1">
        <f>IF(W103="",0,IF(COUNTIF($W$2:$W103,W103)=1,1,0))</f>
        <v>0</v>
      </c>
      <c r="V103" s="1" t="str">
        <f>IF(U103=1,SUM($U$2:U103),"")</f>
        <v/>
      </c>
      <c r="W103" s="1" t="str">
        <f t="shared" si="7"/>
        <v/>
      </c>
    </row>
    <row r="104" spans="10:23" ht="15" customHeight="1" x14ac:dyDescent="0.35">
      <c r="J104" s="1"/>
      <c r="M104" s="1" t="str">
        <f t="shared" si="6"/>
        <v/>
      </c>
      <c r="Q104" s="12"/>
      <c r="S104" s="1">
        <f>IF(B104="",0,IF(COUNTIF($B$2:$B104,B104)=1,1,0))</f>
        <v>0</v>
      </c>
      <c r="T104" s="1" t="str">
        <f>IF(S104=1,SUM($S$2:S104),"")</f>
        <v/>
      </c>
      <c r="U104" s="1">
        <f>IF(W104="",0,IF(COUNTIF($W$2:$W104,W104)=1,1,0))</f>
        <v>0</v>
      </c>
      <c r="V104" s="1" t="str">
        <f>IF(U104=1,SUM($U$2:U104),"")</f>
        <v/>
      </c>
      <c r="W104" s="1" t="str">
        <f t="shared" si="7"/>
        <v/>
      </c>
    </row>
    <row r="105" spans="10:23" ht="15" customHeight="1" x14ac:dyDescent="0.35">
      <c r="J105" s="1"/>
      <c r="M105" s="1" t="str">
        <f t="shared" si="6"/>
        <v/>
      </c>
      <c r="Q105" s="12"/>
      <c r="S105" s="1">
        <f>IF(B105="",0,IF(COUNTIF($B$2:$B105,B105)=1,1,0))</f>
        <v>0</v>
      </c>
      <c r="T105" s="1" t="str">
        <f>IF(S105=1,SUM($S$2:S105),"")</f>
        <v/>
      </c>
      <c r="U105" s="1">
        <f>IF(W105="",0,IF(COUNTIF($W$2:$W105,W105)=1,1,0))</f>
        <v>0</v>
      </c>
      <c r="V105" s="1" t="str">
        <f>IF(U105=1,SUM($U$2:U105),"")</f>
        <v/>
      </c>
      <c r="W105" s="1" t="str">
        <f t="shared" si="7"/>
        <v/>
      </c>
    </row>
    <row r="106" spans="10:23" ht="15" customHeight="1" x14ac:dyDescent="0.35">
      <c r="J106" s="1"/>
      <c r="M106" s="1" t="str">
        <f t="shared" si="6"/>
        <v/>
      </c>
      <c r="Q106" s="12"/>
      <c r="S106" s="1">
        <f>IF(B106="",0,IF(COUNTIF($B$2:$B106,B106)=1,1,0))</f>
        <v>0</v>
      </c>
      <c r="T106" s="1" t="str">
        <f>IF(S106=1,SUM($S$2:S106),"")</f>
        <v/>
      </c>
      <c r="U106" s="1">
        <f>IF(W106="",0,IF(COUNTIF($W$2:$W106,W106)=1,1,0))</f>
        <v>0</v>
      </c>
      <c r="V106" s="1" t="str">
        <f>IF(U106=1,SUM($U$2:U106),"")</f>
        <v/>
      </c>
      <c r="W106" s="1" t="str">
        <f t="shared" si="7"/>
        <v/>
      </c>
    </row>
    <row r="107" spans="10:23" ht="15" customHeight="1" x14ac:dyDescent="0.35">
      <c r="J107" s="1"/>
      <c r="M107" s="1" t="str">
        <f t="shared" si="6"/>
        <v/>
      </c>
      <c r="Q107" s="12"/>
      <c r="S107" s="1">
        <f>IF(B107="",0,IF(COUNTIF($B$2:$B107,B107)=1,1,0))</f>
        <v>0</v>
      </c>
      <c r="T107" s="1" t="str">
        <f>IF(S107=1,SUM($S$2:S107),"")</f>
        <v/>
      </c>
      <c r="U107" s="1">
        <f>IF(W107="",0,IF(COUNTIF($W$2:$W107,W107)=1,1,0))</f>
        <v>0</v>
      </c>
      <c r="V107" s="1" t="str">
        <f>IF(U107=1,SUM($U$2:U107),"")</f>
        <v/>
      </c>
      <c r="W107" s="1" t="str">
        <f t="shared" si="7"/>
        <v/>
      </c>
    </row>
    <row r="108" spans="10:23" ht="15" customHeight="1" x14ac:dyDescent="0.35">
      <c r="J108" s="1"/>
      <c r="M108" s="1" t="str">
        <f t="shared" si="6"/>
        <v/>
      </c>
      <c r="Q108" s="12"/>
      <c r="S108" s="1">
        <f>IF(B108="",0,IF(COUNTIF($B$2:$B108,B108)=1,1,0))</f>
        <v>0</v>
      </c>
      <c r="T108" s="1" t="str">
        <f>IF(S108=1,SUM($S$2:S108),"")</f>
        <v/>
      </c>
      <c r="U108" s="1">
        <f>IF(W108="",0,IF(COUNTIF($W$2:$W108,W108)=1,1,0))</f>
        <v>0</v>
      </c>
      <c r="V108" s="1" t="str">
        <f>IF(U108=1,SUM($U$2:U108),"")</f>
        <v/>
      </c>
      <c r="W108" s="1" t="str">
        <f t="shared" si="7"/>
        <v/>
      </c>
    </row>
    <row r="109" spans="10:23" ht="15" customHeight="1" x14ac:dyDescent="0.35">
      <c r="J109" s="1"/>
      <c r="M109" s="1" t="str">
        <f t="shared" si="6"/>
        <v/>
      </c>
      <c r="Q109" s="12"/>
      <c r="S109" s="1">
        <f>IF(B109="",0,IF(COUNTIF($B$2:$B109,B109)=1,1,0))</f>
        <v>0</v>
      </c>
      <c r="T109" s="1" t="str">
        <f>IF(S109=1,SUM($S$2:S109),"")</f>
        <v/>
      </c>
      <c r="U109" s="1">
        <f>IF(W109="",0,IF(COUNTIF($W$2:$W109,W109)=1,1,0))</f>
        <v>0</v>
      </c>
      <c r="V109" s="1" t="str">
        <f>IF(U109=1,SUM($U$2:U109),"")</f>
        <v/>
      </c>
      <c r="W109" s="1" t="str">
        <f t="shared" si="7"/>
        <v/>
      </c>
    </row>
    <row r="110" spans="10:23" ht="15" customHeight="1" x14ac:dyDescent="0.35">
      <c r="J110" s="1"/>
      <c r="M110" s="1" t="str">
        <f t="shared" si="6"/>
        <v/>
      </c>
      <c r="Q110" s="12"/>
      <c r="S110" s="1">
        <f>IF(B110="",0,IF(COUNTIF($B$2:$B110,B110)=1,1,0))</f>
        <v>0</v>
      </c>
      <c r="T110" s="1" t="str">
        <f>IF(S110=1,SUM($S$2:S110),"")</f>
        <v/>
      </c>
      <c r="U110" s="1">
        <f>IF(W110="",0,IF(COUNTIF($W$2:$W110,W110)=1,1,0))</f>
        <v>0</v>
      </c>
      <c r="V110" s="1" t="str">
        <f>IF(U110=1,SUM($U$2:U110),"")</f>
        <v/>
      </c>
      <c r="W110" s="1" t="str">
        <f t="shared" si="7"/>
        <v/>
      </c>
    </row>
    <row r="111" spans="10:23" ht="15" customHeight="1" x14ac:dyDescent="0.35">
      <c r="J111" s="1"/>
      <c r="M111" s="1" t="str">
        <f t="shared" si="6"/>
        <v/>
      </c>
      <c r="Q111" s="12"/>
      <c r="S111" s="1">
        <f>IF(B111="",0,IF(COUNTIF($B$2:$B111,B111)=1,1,0))</f>
        <v>0</v>
      </c>
      <c r="T111" s="1" t="str">
        <f>IF(S111=1,SUM($S$2:S111),"")</f>
        <v/>
      </c>
      <c r="U111" s="1">
        <f>IF(W111="",0,IF(COUNTIF($W$2:$W111,W111)=1,1,0))</f>
        <v>0</v>
      </c>
      <c r="V111" s="1" t="str">
        <f>IF(U111=1,SUM($U$2:U111),"")</f>
        <v/>
      </c>
      <c r="W111" s="1" t="str">
        <f t="shared" si="7"/>
        <v/>
      </c>
    </row>
    <row r="112" spans="10:23" ht="15" customHeight="1" x14ac:dyDescent="0.35">
      <c r="J112" s="1"/>
      <c r="M112" s="1" t="str">
        <f t="shared" si="6"/>
        <v/>
      </c>
      <c r="Q112" s="12"/>
      <c r="S112" s="1">
        <f>IF(B112="",0,IF(COUNTIF($B$2:$B112,B112)=1,1,0))</f>
        <v>0</v>
      </c>
      <c r="T112" s="1" t="str">
        <f>IF(S112=1,SUM($S$2:S112),"")</f>
        <v/>
      </c>
      <c r="U112" s="1">
        <f>IF(W112="",0,IF(COUNTIF($W$2:$W112,W112)=1,1,0))</f>
        <v>0</v>
      </c>
      <c r="V112" s="1" t="str">
        <f>IF(U112=1,SUM($U$2:U112),"")</f>
        <v/>
      </c>
      <c r="W112" s="1" t="str">
        <f t="shared" si="7"/>
        <v/>
      </c>
    </row>
    <row r="113" spans="10:23" ht="15" customHeight="1" x14ac:dyDescent="0.35">
      <c r="J113" s="1"/>
      <c r="M113" s="1" t="str">
        <f t="shared" si="6"/>
        <v/>
      </c>
      <c r="Q113" s="12"/>
      <c r="S113" s="1">
        <f>IF(B113="",0,IF(COUNTIF($B$2:$B113,B113)=1,1,0))</f>
        <v>0</v>
      </c>
      <c r="T113" s="1" t="str">
        <f>IF(S113=1,SUM($S$2:S113),"")</f>
        <v/>
      </c>
      <c r="U113" s="1">
        <f>IF(W113="",0,IF(COUNTIF($W$2:$W113,W113)=1,1,0))</f>
        <v>0</v>
      </c>
      <c r="V113" s="1" t="str">
        <f>IF(U113=1,SUM($U$2:U113),"")</f>
        <v/>
      </c>
      <c r="W113" s="1" t="str">
        <f t="shared" si="7"/>
        <v/>
      </c>
    </row>
    <row r="114" spans="10:23" ht="15" customHeight="1" x14ac:dyDescent="0.35">
      <c r="J114" s="1"/>
      <c r="M114" s="1" t="str">
        <f t="shared" si="6"/>
        <v/>
      </c>
      <c r="Q114" s="12"/>
      <c r="S114" s="1">
        <f>IF(B114="",0,IF(COUNTIF($B$2:$B114,B114)=1,1,0))</f>
        <v>0</v>
      </c>
      <c r="T114" s="1" t="str">
        <f>IF(S114=1,SUM($S$2:S114),"")</f>
        <v/>
      </c>
      <c r="U114" s="1">
        <f>IF(W114="",0,IF(COUNTIF($W$2:$W114,W114)=1,1,0))</f>
        <v>0</v>
      </c>
      <c r="V114" s="1" t="str">
        <f>IF(U114=1,SUM($U$2:U114),"")</f>
        <v/>
      </c>
      <c r="W114" s="1" t="str">
        <f t="shared" si="7"/>
        <v/>
      </c>
    </row>
    <row r="115" spans="10:23" ht="15" customHeight="1" x14ac:dyDescent="0.35">
      <c r="J115" s="1"/>
      <c r="M115" s="1" t="str">
        <f t="shared" si="6"/>
        <v/>
      </c>
      <c r="Q115" s="12"/>
      <c r="S115" s="1">
        <f>IF(B115="",0,IF(COUNTIF($B$2:$B115,B115)=1,1,0))</f>
        <v>0</v>
      </c>
      <c r="T115" s="1" t="str">
        <f>IF(S115=1,SUM($S$2:S115),"")</f>
        <v/>
      </c>
      <c r="U115" s="1">
        <f>IF(W115="",0,IF(COUNTIF($W$2:$W115,W115)=1,1,0))</f>
        <v>0</v>
      </c>
      <c r="V115" s="1" t="str">
        <f>IF(U115=1,SUM($U$2:U115),"")</f>
        <v/>
      </c>
      <c r="W115" s="1" t="str">
        <f t="shared" si="7"/>
        <v/>
      </c>
    </row>
    <row r="116" spans="10:23" ht="15" customHeight="1" x14ac:dyDescent="0.35">
      <c r="J116" s="1"/>
      <c r="M116" s="1" t="str">
        <f t="shared" si="6"/>
        <v/>
      </c>
      <c r="Q116" s="12"/>
      <c r="S116" s="1">
        <f>IF(B116="",0,IF(COUNTIF($B$2:$B116,B116)=1,1,0))</f>
        <v>0</v>
      </c>
      <c r="T116" s="1" t="str">
        <f>IF(S116=1,SUM($S$2:S116),"")</f>
        <v/>
      </c>
      <c r="U116" s="1">
        <f>IF(W116="",0,IF(COUNTIF($W$2:$W116,W116)=1,1,0))</f>
        <v>0</v>
      </c>
      <c r="V116" s="1" t="str">
        <f>IF(U116=1,SUM($U$2:U116),"")</f>
        <v/>
      </c>
      <c r="W116" s="1" t="str">
        <f t="shared" si="7"/>
        <v/>
      </c>
    </row>
    <row r="117" spans="10:23" ht="15" customHeight="1" x14ac:dyDescent="0.35">
      <c r="J117" s="1"/>
      <c r="M117" s="1" t="str">
        <f t="shared" si="6"/>
        <v/>
      </c>
      <c r="Q117" s="12"/>
      <c r="S117" s="1">
        <f>IF(B117="",0,IF(COUNTIF($B$2:$B117,B117)=1,1,0))</f>
        <v>0</v>
      </c>
      <c r="T117" s="1" t="str">
        <f>IF(S117=1,SUM($S$2:S117),"")</f>
        <v/>
      </c>
      <c r="U117" s="1">
        <f>IF(W117="",0,IF(COUNTIF($W$2:$W117,W117)=1,1,0))</f>
        <v>0</v>
      </c>
      <c r="V117" s="1" t="str">
        <f>IF(U117=1,SUM($U$2:U117),"")</f>
        <v/>
      </c>
      <c r="W117" s="1" t="str">
        <f t="shared" si="7"/>
        <v/>
      </c>
    </row>
    <row r="118" spans="10:23" ht="15" customHeight="1" x14ac:dyDescent="0.35">
      <c r="J118" s="1"/>
      <c r="M118" s="1" t="str">
        <f t="shared" si="6"/>
        <v/>
      </c>
      <c r="Q118" s="12"/>
      <c r="S118" s="1">
        <f>IF(B118="",0,IF(COUNTIF($B$2:$B118,B118)=1,1,0))</f>
        <v>0</v>
      </c>
      <c r="T118" s="1" t="str">
        <f>IF(S118=1,SUM($S$2:S118),"")</f>
        <v/>
      </c>
      <c r="U118" s="1">
        <f>IF(W118="",0,IF(COUNTIF($W$2:$W118,W118)=1,1,0))</f>
        <v>0</v>
      </c>
      <c r="V118" s="1" t="str">
        <f>IF(U118=1,SUM($U$2:U118),"")</f>
        <v/>
      </c>
      <c r="W118" s="1" t="str">
        <f t="shared" si="7"/>
        <v/>
      </c>
    </row>
    <row r="119" spans="10:23" ht="15" customHeight="1" x14ac:dyDescent="0.35">
      <c r="J119" s="1"/>
      <c r="M119" s="1" t="str">
        <f t="shared" si="6"/>
        <v/>
      </c>
      <c r="Q119" s="12"/>
      <c r="S119" s="1">
        <f>IF(B119="",0,IF(COUNTIF($B$2:$B119,B119)=1,1,0))</f>
        <v>0</v>
      </c>
      <c r="T119" s="1" t="str">
        <f>IF(S119=1,SUM($S$2:S119),"")</f>
        <v/>
      </c>
      <c r="U119" s="1">
        <f>IF(W119="",0,IF(COUNTIF($W$2:$W119,W119)=1,1,0))</f>
        <v>0</v>
      </c>
      <c r="V119" s="1" t="str">
        <f>IF(U119=1,SUM($U$2:U119),"")</f>
        <v/>
      </c>
      <c r="W119" s="1" t="str">
        <f t="shared" si="7"/>
        <v/>
      </c>
    </row>
    <row r="120" spans="10:23" ht="15" customHeight="1" x14ac:dyDescent="0.35">
      <c r="J120" s="1"/>
      <c r="M120" s="1" t="str">
        <f t="shared" si="6"/>
        <v/>
      </c>
      <c r="Q120" s="12"/>
      <c r="S120" s="1">
        <f>IF(B120="",0,IF(COUNTIF($B$2:$B120,B120)=1,1,0))</f>
        <v>0</v>
      </c>
      <c r="T120" s="1" t="str">
        <f>IF(S120=1,SUM($S$2:S120),"")</f>
        <v/>
      </c>
      <c r="U120" s="1">
        <f>IF(W120="",0,IF(COUNTIF($W$2:$W120,W120)=1,1,0))</f>
        <v>0</v>
      </c>
      <c r="V120" s="1" t="str">
        <f>IF(U120=1,SUM($U$2:U120),"")</f>
        <v/>
      </c>
      <c r="W120" s="1" t="str">
        <f t="shared" si="7"/>
        <v/>
      </c>
    </row>
    <row r="121" spans="10:23" ht="15" customHeight="1" x14ac:dyDescent="0.35">
      <c r="J121" s="1"/>
      <c r="M121" s="1" t="str">
        <f t="shared" si="6"/>
        <v/>
      </c>
      <c r="Q121" s="12"/>
      <c r="S121" s="1">
        <f>IF(B121="",0,IF(COUNTIF($B$2:$B121,B121)=1,1,0))</f>
        <v>0</v>
      </c>
      <c r="T121" s="1" t="str">
        <f>IF(S121=1,SUM($S$2:S121),"")</f>
        <v/>
      </c>
      <c r="U121" s="1">
        <f>IF(W121="",0,IF(COUNTIF($W$2:$W121,W121)=1,1,0))</f>
        <v>0</v>
      </c>
      <c r="V121" s="1" t="str">
        <f>IF(U121=1,SUM($U$2:U121),"")</f>
        <v/>
      </c>
      <c r="W121" s="1" t="str">
        <f t="shared" si="7"/>
        <v/>
      </c>
    </row>
    <row r="122" spans="10:23" ht="15" customHeight="1" x14ac:dyDescent="0.35">
      <c r="J122" s="1"/>
      <c r="M122" s="1" t="str">
        <f t="shared" si="6"/>
        <v/>
      </c>
      <c r="Q122" s="12"/>
      <c r="S122" s="1">
        <f>IF(B122="",0,IF(COUNTIF($B$2:$B122,B122)=1,1,0))</f>
        <v>0</v>
      </c>
      <c r="T122" s="1" t="str">
        <f>IF(S122=1,SUM($S$2:S122),"")</f>
        <v/>
      </c>
      <c r="U122" s="1">
        <f>IF(W122="",0,IF(COUNTIF($W$2:$W122,W122)=1,1,0))</f>
        <v>0</v>
      </c>
      <c r="V122" s="1" t="str">
        <f>IF(U122=1,SUM($U$2:U122),"")</f>
        <v/>
      </c>
      <c r="W122" s="1" t="str">
        <f t="shared" si="7"/>
        <v/>
      </c>
    </row>
    <row r="123" spans="10:23" ht="15" customHeight="1" x14ac:dyDescent="0.35">
      <c r="J123" s="1"/>
      <c r="M123" s="1" t="str">
        <f t="shared" si="6"/>
        <v/>
      </c>
      <c r="Q123" s="12"/>
      <c r="S123" s="1">
        <f>IF(B123="",0,IF(COUNTIF($B$2:$B123,B123)=1,1,0))</f>
        <v>0</v>
      </c>
      <c r="T123" s="1" t="str">
        <f>IF(S123=1,SUM($S$2:S123),"")</f>
        <v/>
      </c>
      <c r="U123" s="1">
        <f>IF(W123="",0,IF(COUNTIF($W$2:$W123,W123)=1,1,0))</f>
        <v>0</v>
      </c>
      <c r="V123" s="1" t="str">
        <f>IF(U123=1,SUM($U$2:U123),"")</f>
        <v/>
      </c>
      <c r="W123" s="1" t="str">
        <f t="shared" si="7"/>
        <v/>
      </c>
    </row>
    <row r="124" spans="10:23" ht="15" customHeight="1" x14ac:dyDescent="0.35">
      <c r="J124" s="1"/>
      <c r="M124" s="1" t="str">
        <f t="shared" si="6"/>
        <v/>
      </c>
      <c r="Q124" s="12"/>
      <c r="S124" s="1">
        <f>IF(B124="",0,IF(COUNTIF($B$2:$B124,B124)=1,1,0))</f>
        <v>0</v>
      </c>
      <c r="T124" s="1" t="str">
        <f>IF(S124=1,SUM($S$2:S124),"")</f>
        <v/>
      </c>
      <c r="U124" s="1">
        <f>IF(W124="",0,IF(COUNTIF($W$2:$W124,W124)=1,1,0))</f>
        <v>0</v>
      </c>
      <c r="V124" s="1" t="str">
        <f>IF(U124=1,SUM($U$2:U124),"")</f>
        <v/>
      </c>
      <c r="W124" s="1" t="str">
        <f t="shared" si="7"/>
        <v/>
      </c>
    </row>
    <row r="125" spans="10:23" ht="15" customHeight="1" x14ac:dyDescent="0.35">
      <c r="J125" s="1"/>
      <c r="M125" s="1" t="str">
        <f t="shared" si="6"/>
        <v/>
      </c>
      <c r="Q125" s="12"/>
      <c r="S125" s="1">
        <f>IF(B125="",0,IF(COUNTIF($B$2:$B125,B125)=1,1,0))</f>
        <v>0</v>
      </c>
      <c r="T125" s="1" t="str">
        <f>IF(S125=1,SUM($S$2:S125),"")</f>
        <v/>
      </c>
      <c r="U125" s="1">
        <f>IF(W125="",0,IF(COUNTIF($W$2:$W125,W125)=1,1,0))</f>
        <v>0</v>
      </c>
      <c r="V125" s="1" t="str">
        <f>IF(U125=1,SUM($U$2:U125),"")</f>
        <v/>
      </c>
      <c r="W125" s="1" t="str">
        <f t="shared" si="7"/>
        <v/>
      </c>
    </row>
    <row r="126" spans="10:23" ht="15" customHeight="1" x14ac:dyDescent="0.35">
      <c r="J126" s="1"/>
      <c r="M126" s="1" t="str">
        <f t="shared" si="6"/>
        <v/>
      </c>
      <c r="Q126" s="12"/>
      <c r="S126" s="1">
        <f>IF(B126="",0,IF(COUNTIF($B$2:$B126,B126)=1,1,0))</f>
        <v>0</v>
      </c>
      <c r="T126" s="1" t="str">
        <f>IF(S126=1,SUM($S$2:S126),"")</f>
        <v/>
      </c>
      <c r="U126" s="1">
        <f>IF(W126="",0,IF(COUNTIF($W$2:$W126,W126)=1,1,0))</f>
        <v>0</v>
      </c>
      <c r="V126" s="1" t="str">
        <f>IF(U126=1,SUM($U$2:U126),"")</f>
        <v/>
      </c>
      <c r="W126" s="1" t="str">
        <f t="shared" si="7"/>
        <v/>
      </c>
    </row>
    <row r="127" spans="10:23" ht="15" customHeight="1" x14ac:dyDescent="0.35">
      <c r="J127" s="1"/>
      <c r="M127" s="1" t="str">
        <f t="shared" si="6"/>
        <v/>
      </c>
      <c r="Q127" s="12"/>
      <c r="S127" s="1">
        <f>IF(B127="",0,IF(COUNTIF($B$2:$B127,B127)=1,1,0))</f>
        <v>0</v>
      </c>
      <c r="T127" s="1" t="str">
        <f>IF(S127=1,SUM($S$2:S127),"")</f>
        <v/>
      </c>
      <c r="U127" s="1">
        <f>IF(W127="",0,IF(COUNTIF($W$2:$W127,W127)=1,1,0))</f>
        <v>0</v>
      </c>
      <c r="V127" s="1" t="str">
        <f>IF(U127=1,SUM($U$2:U127),"")</f>
        <v/>
      </c>
      <c r="W127" s="1" t="str">
        <f t="shared" si="7"/>
        <v/>
      </c>
    </row>
    <row r="128" spans="10:23" ht="15" customHeight="1" x14ac:dyDescent="0.35">
      <c r="J128" s="1"/>
      <c r="M128" s="1" t="str">
        <f t="shared" si="6"/>
        <v/>
      </c>
      <c r="Q128" s="12"/>
      <c r="S128" s="1">
        <f>IF(B128="",0,IF(COUNTIF($B$2:$B128,B128)=1,1,0))</f>
        <v>0</v>
      </c>
      <c r="T128" s="1" t="str">
        <f>IF(S128=1,SUM($S$2:S128),"")</f>
        <v/>
      </c>
      <c r="U128" s="1">
        <f>IF(W128="",0,IF(COUNTIF($W$2:$W128,W128)=1,1,0))</f>
        <v>0</v>
      </c>
      <c r="V128" s="1" t="str">
        <f>IF(U128=1,SUM($U$2:U128),"")</f>
        <v/>
      </c>
      <c r="W128" s="1" t="str">
        <f t="shared" si="7"/>
        <v/>
      </c>
    </row>
    <row r="129" spans="10:23" ht="15" customHeight="1" x14ac:dyDescent="0.35">
      <c r="J129" s="1"/>
      <c r="M129" s="1" t="str">
        <f t="shared" si="6"/>
        <v/>
      </c>
      <c r="Q129" s="12"/>
      <c r="S129" s="1">
        <f>IF(B129="",0,IF(COUNTIF($B$2:$B129,B129)=1,1,0))</f>
        <v>0</v>
      </c>
      <c r="T129" s="1" t="str">
        <f>IF(S129=1,SUM($S$2:S129),"")</f>
        <v/>
      </c>
      <c r="U129" s="1">
        <f>IF(W129="",0,IF(COUNTIF($W$2:$W129,W129)=1,1,0))</f>
        <v>0</v>
      </c>
      <c r="V129" s="1" t="str">
        <f>IF(U129=1,SUM($U$2:U129),"")</f>
        <v/>
      </c>
      <c r="W129" s="1" t="str">
        <f t="shared" si="7"/>
        <v/>
      </c>
    </row>
    <row r="130" spans="10:23" ht="15" customHeight="1" x14ac:dyDescent="0.35">
      <c r="J130" s="1"/>
      <c r="M130" s="1" t="str">
        <f t="shared" ref="M130:M161" si="8">IF(OR(J130="",K130="",L130=""),"",IF(AND(COUNTIF(J130:L130,"High")&gt;=2,OR(J130="High",L130="High")),"Tier 1",IF(AND(COUNTIF(J130:L130,"High")&gt;=1,COUNTIF(J130:L130,"Medium")&gt;=1),"Tier 2","Tier 3")))</f>
        <v/>
      </c>
      <c r="Q130" s="12"/>
      <c r="S130" s="1">
        <f>IF(B130="",0,IF(COUNTIF($B$2:$B130,B130)=1,1,0))</f>
        <v>0</v>
      </c>
      <c r="T130" s="1" t="str">
        <f>IF(S130=1,SUM($S$2:S130),"")</f>
        <v/>
      </c>
      <c r="U130" s="1">
        <f>IF(W130="",0,IF(COUNTIF($W$2:$W130,W130)=1,1,0))</f>
        <v>0</v>
      </c>
      <c r="V130" s="1" t="str">
        <f>IF(U130=1,SUM($U$2:U130),"")</f>
        <v/>
      </c>
      <c r="W130" s="1" t="str">
        <f t="shared" ref="W130:W161" si="9">IF(OR(C130="",B130=""),"",TRIM(C130)&amp;"|"&amp;TRIM(B130))</f>
        <v/>
      </c>
    </row>
    <row r="131" spans="10:23" ht="15" customHeight="1" x14ac:dyDescent="0.35">
      <c r="J131" s="1"/>
      <c r="M131" s="1" t="str">
        <f t="shared" si="8"/>
        <v/>
      </c>
      <c r="Q131" s="12"/>
      <c r="S131" s="1">
        <f>IF(B131="",0,IF(COUNTIF($B$2:$B131,B131)=1,1,0))</f>
        <v>0</v>
      </c>
      <c r="T131" s="1" t="str">
        <f>IF(S131=1,SUM($S$2:S131),"")</f>
        <v/>
      </c>
      <c r="U131" s="1">
        <f>IF(W131="",0,IF(COUNTIF($W$2:$W131,W131)=1,1,0))</f>
        <v>0</v>
      </c>
      <c r="V131" s="1" t="str">
        <f>IF(U131=1,SUM($U$2:U131),"")</f>
        <v/>
      </c>
      <c r="W131" s="1" t="str">
        <f t="shared" si="9"/>
        <v/>
      </c>
    </row>
    <row r="132" spans="10:23" ht="15" customHeight="1" x14ac:dyDescent="0.35">
      <c r="J132" s="1"/>
      <c r="M132" s="1" t="str">
        <f t="shared" si="8"/>
        <v/>
      </c>
      <c r="Q132" s="12"/>
      <c r="S132" s="1">
        <f>IF(B132="",0,IF(COUNTIF($B$2:$B132,B132)=1,1,0))</f>
        <v>0</v>
      </c>
      <c r="T132" s="1" t="str">
        <f>IF(S132=1,SUM($S$2:S132),"")</f>
        <v/>
      </c>
      <c r="U132" s="1">
        <f>IF(W132="",0,IF(COUNTIF($W$2:$W132,W132)=1,1,0))</f>
        <v>0</v>
      </c>
      <c r="V132" s="1" t="str">
        <f>IF(U132=1,SUM($U$2:U132),"")</f>
        <v/>
      </c>
      <c r="W132" s="1" t="str">
        <f t="shared" si="9"/>
        <v/>
      </c>
    </row>
    <row r="133" spans="10:23" ht="15" customHeight="1" x14ac:dyDescent="0.35">
      <c r="J133" s="1"/>
      <c r="M133" s="1" t="str">
        <f t="shared" si="8"/>
        <v/>
      </c>
      <c r="Q133" s="12"/>
      <c r="S133" s="1">
        <f>IF(B133="",0,IF(COUNTIF($B$2:$B133,B133)=1,1,0))</f>
        <v>0</v>
      </c>
      <c r="T133" s="1" t="str">
        <f>IF(S133=1,SUM($S$2:S133),"")</f>
        <v/>
      </c>
      <c r="U133" s="1">
        <f>IF(W133="",0,IF(COUNTIF($W$2:$W133,W133)=1,1,0))</f>
        <v>0</v>
      </c>
      <c r="V133" s="1" t="str">
        <f>IF(U133=1,SUM($U$2:U133),"")</f>
        <v/>
      </c>
      <c r="W133" s="1" t="str">
        <f t="shared" si="9"/>
        <v/>
      </c>
    </row>
    <row r="134" spans="10:23" ht="15" customHeight="1" x14ac:dyDescent="0.35">
      <c r="J134" s="1"/>
      <c r="M134" s="1" t="str">
        <f t="shared" si="8"/>
        <v/>
      </c>
      <c r="Q134" s="12"/>
      <c r="S134" s="1">
        <f>IF(B134="",0,IF(COUNTIF($B$2:$B134,B134)=1,1,0))</f>
        <v>0</v>
      </c>
      <c r="T134" s="1" t="str">
        <f>IF(S134=1,SUM($S$2:S134),"")</f>
        <v/>
      </c>
      <c r="U134" s="1">
        <f>IF(W134="",0,IF(COUNTIF($W$2:$W134,W134)=1,1,0))</f>
        <v>0</v>
      </c>
      <c r="V134" s="1" t="str">
        <f>IF(U134=1,SUM($U$2:U134),"")</f>
        <v/>
      </c>
      <c r="W134" s="1" t="str">
        <f t="shared" si="9"/>
        <v/>
      </c>
    </row>
    <row r="135" spans="10:23" ht="15" customHeight="1" x14ac:dyDescent="0.35">
      <c r="J135" s="1"/>
      <c r="M135" s="1" t="str">
        <f t="shared" si="8"/>
        <v/>
      </c>
      <c r="Q135" s="12"/>
      <c r="S135" s="1">
        <f>IF(B135="",0,IF(COUNTIF($B$2:$B135,B135)=1,1,0))</f>
        <v>0</v>
      </c>
      <c r="T135" s="1" t="str">
        <f>IF(S135=1,SUM($S$2:S135),"")</f>
        <v/>
      </c>
      <c r="U135" s="1">
        <f>IF(W135="",0,IF(COUNTIF($W$2:$W135,W135)=1,1,0))</f>
        <v>0</v>
      </c>
      <c r="V135" s="1" t="str">
        <f>IF(U135=1,SUM($U$2:U135),"")</f>
        <v/>
      </c>
      <c r="W135" s="1" t="str">
        <f t="shared" si="9"/>
        <v/>
      </c>
    </row>
    <row r="136" spans="10:23" ht="15" customHeight="1" x14ac:dyDescent="0.35">
      <c r="J136" s="1"/>
      <c r="M136" s="1" t="str">
        <f t="shared" si="8"/>
        <v/>
      </c>
      <c r="Q136" s="12"/>
      <c r="S136" s="1">
        <f>IF(B136="",0,IF(COUNTIF($B$2:$B136,B136)=1,1,0))</f>
        <v>0</v>
      </c>
      <c r="T136" s="1" t="str">
        <f>IF(S136=1,SUM($S$2:S136),"")</f>
        <v/>
      </c>
      <c r="U136" s="1">
        <f>IF(W136="",0,IF(COUNTIF($W$2:$W136,W136)=1,1,0))</f>
        <v>0</v>
      </c>
      <c r="V136" s="1" t="str">
        <f>IF(U136=1,SUM($U$2:U136),"")</f>
        <v/>
      </c>
      <c r="W136" s="1" t="str">
        <f t="shared" si="9"/>
        <v/>
      </c>
    </row>
    <row r="137" spans="10:23" ht="15" customHeight="1" x14ac:dyDescent="0.35">
      <c r="J137" s="1"/>
      <c r="M137" s="1" t="str">
        <f t="shared" si="8"/>
        <v/>
      </c>
      <c r="Q137" s="12"/>
      <c r="S137" s="1">
        <f>IF(B137="",0,IF(COUNTIF($B$2:$B137,B137)=1,1,0))</f>
        <v>0</v>
      </c>
      <c r="T137" s="1" t="str">
        <f>IF(S137=1,SUM($S$2:S137),"")</f>
        <v/>
      </c>
      <c r="U137" s="1">
        <f>IF(W137="",0,IF(COUNTIF($W$2:$W137,W137)=1,1,0))</f>
        <v>0</v>
      </c>
      <c r="V137" s="1" t="str">
        <f>IF(U137=1,SUM($U$2:U137),"")</f>
        <v/>
      </c>
      <c r="W137" s="1" t="str">
        <f t="shared" si="9"/>
        <v/>
      </c>
    </row>
    <row r="138" spans="10:23" ht="15" customHeight="1" x14ac:dyDescent="0.35">
      <c r="J138" s="1"/>
      <c r="M138" s="1" t="str">
        <f t="shared" si="8"/>
        <v/>
      </c>
      <c r="Q138" s="12"/>
      <c r="S138" s="1">
        <f>IF(B138="",0,IF(COUNTIF($B$2:$B138,B138)=1,1,0))</f>
        <v>0</v>
      </c>
      <c r="T138" s="1" t="str">
        <f>IF(S138=1,SUM($S$2:S138),"")</f>
        <v/>
      </c>
      <c r="U138" s="1">
        <f>IF(W138="",0,IF(COUNTIF($W$2:$W138,W138)=1,1,0))</f>
        <v>0</v>
      </c>
      <c r="V138" s="1" t="str">
        <f>IF(U138=1,SUM($U$2:U138),"")</f>
        <v/>
      </c>
      <c r="W138" s="1" t="str">
        <f t="shared" si="9"/>
        <v/>
      </c>
    </row>
    <row r="139" spans="10:23" ht="15" customHeight="1" x14ac:dyDescent="0.35">
      <c r="J139" s="1"/>
      <c r="M139" s="1" t="str">
        <f t="shared" si="8"/>
        <v/>
      </c>
      <c r="Q139" s="12"/>
      <c r="S139" s="1">
        <f>IF(B139="",0,IF(COUNTIF($B$2:$B139,B139)=1,1,0))</f>
        <v>0</v>
      </c>
      <c r="T139" s="1" t="str">
        <f>IF(S139=1,SUM($S$2:S139),"")</f>
        <v/>
      </c>
      <c r="U139" s="1">
        <f>IF(W139="",0,IF(COUNTIF($W$2:$W139,W139)=1,1,0))</f>
        <v>0</v>
      </c>
      <c r="V139" s="1" t="str">
        <f>IF(U139=1,SUM($U$2:U139),"")</f>
        <v/>
      </c>
      <c r="W139" s="1" t="str">
        <f t="shared" si="9"/>
        <v/>
      </c>
    </row>
    <row r="140" spans="10:23" ht="15" customHeight="1" x14ac:dyDescent="0.35">
      <c r="J140" s="1"/>
      <c r="M140" s="1" t="str">
        <f t="shared" si="8"/>
        <v/>
      </c>
      <c r="Q140" s="12"/>
      <c r="S140" s="1">
        <f>IF(B140="",0,IF(COUNTIF($B$2:$B140,B140)=1,1,0))</f>
        <v>0</v>
      </c>
      <c r="T140" s="1" t="str">
        <f>IF(S140=1,SUM($S$2:S140),"")</f>
        <v/>
      </c>
      <c r="U140" s="1">
        <f>IF(W140="",0,IF(COUNTIF($W$2:$W140,W140)=1,1,0))</f>
        <v>0</v>
      </c>
      <c r="V140" s="1" t="str">
        <f>IF(U140=1,SUM($U$2:U140),"")</f>
        <v/>
      </c>
      <c r="W140" s="1" t="str">
        <f t="shared" si="9"/>
        <v/>
      </c>
    </row>
    <row r="141" spans="10:23" ht="15" customHeight="1" x14ac:dyDescent="0.35">
      <c r="J141" s="1"/>
      <c r="M141" s="1" t="str">
        <f t="shared" si="8"/>
        <v/>
      </c>
      <c r="Q141" s="12"/>
      <c r="S141" s="1">
        <f>IF(B141="",0,IF(COUNTIF($B$2:$B141,B141)=1,1,0))</f>
        <v>0</v>
      </c>
      <c r="T141" s="1" t="str">
        <f>IF(S141=1,SUM($S$2:S141),"")</f>
        <v/>
      </c>
      <c r="U141" s="1">
        <f>IF(W141="",0,IF(COUNTIF($W$2:$W141,W141)=1,1,0))</f>
        <v>0</v>
      </c>
      <c r="V141" s="1" t="str">
        <f>IF(U141=1,SUM($U$2:U141),"")</f>
        <v/>
      </c>
      <c r="W141" s="1" t="str">
        <f t="shared" si="9"/>
        <v/>
      </c>
    </row>
    <row r="142" spans="10:23" ht="15" customHeight="1" x14ac:dyDescent="0.35">
      <c r="J142" s="1"/>
      <c r="M142" s="1" t="str">
        <f t="shared" si="8"/>
        <v/>
      </c>
      <c r="Q142" s="12"/>
      <c r="S142" s="1">
        <f>IF(B142="",0,IF(COUNTIF($B$2:$B142,B142)=1,1,0))</f>
        <v>0</v>
      </c>
      <c r="T142" s="1" t="str">
        <f>IF(S142=1,SUM($S$2:S142),"")</f>
        <v/>
      </c>
      <c r="U142" s="1">
        <f>IF(W142="",0,IF(COUNTIF($W$2:$W142,W142)=1,1,0))</f>
        <v>0</v>
      </c>
      <c r="V142" s="1" t="str">
        <f>IF(U142=1,SUM($U$2:U142),"")</f>
        <v/>
      </c>
      <c r="W142" s="1" t="str">
        <f t="shared" si="9"/>
        <v/>
      </c>
    </row>
    <row r="143" spans="10:23" ht="15" customHeight="1" x14ac:dyDescent="0.35">
      <c r="J143" s="1"/>
      <c r="M143" s="1" t="str">
        <f t="shared" si="8"/>
        <v/>
      </c>
      <c r="Q143" s="12"/>
      <c r="S143" s="1">
        <f>IF(B143="",0,IF(COUNTIF($B$2:$B143,B143)=1,1,0))</f>
        <v>0</v>
      </c>
      <c r="T143" s="1" t="str">
        <f>IF(S143=1,SUM($S$2:S143),"")</f>
        <v/>
      </c>
      <c r="U143" s="1">
        <f>IF(W143="",0,IF(COUNTIF($W$2:$W143,W143)=1,1,0))</f>
        <v>0</v>
      </c>
      <c r="V143" s="1" t="str">
        <f>IF(U143=1,SUM($U$2:U143),"")</f>
        <v/>
      </c>
      <c r="W143" s="1" t="str">
        <f t="shared" si="9"/>
        <v/>
      </c>
    </row>
    <row r="144" spans="10:23" ht="15" customHeight="1" x14ac:dyDescent="0.35">
      <c r="J144" s="1"/>
      <c r="M144" s="1" t="str">
        <f t="shared" si="8"/>
        <v/>
      </c>
      <c r="Q144" s="12"/>
      <c r="S144" s="1">
        <f>IF(B144="",0,IF(COUNTIF($B$2:$B144,B144)=1,1,0))</f>
        <v>0</v>
      </c>
      <c r="T144" s="1" t="str">
        <f>IF(S144=1,SUM($S$2:S144),"")</f>
        <v/>
      </c>
      <c r="U144" s="1">
        <f>IF(W144="",0,IF(COUNTIF($W$2:$W144,W144)=1,1,0))</f>
        <v>0</v>
      </c>
      <c r="V144" s="1" t="str">
        <f>IF(U144=1,SUM($U$2:U144),"")</f>
        <v/>
      </c>
      <c r="W144" s="1" t="str">
        <f t="shared" si="9"/>
        <v/>
      </c>
    </row>
    <row r="145" spans="10:23" ht="15" customHeight="1" x14ac:dyDescent="0.35">
      <c r="J145" s="1"/>
      <c r="M145" s="1" t="str">
        <f t="shared" si="8"/>
        <v/>
      </c>
      <c r="Q145" s="12"/>
      <c r="S145" s="1">
        <f>IF(B145="",0,IF(COUNTIF($B$2:$B145,B145)=1,1,0))</f>
        <v>0</v>
      </c>
      <c r="T145" s="1" t="str">
        <f>IF(S145=1,SUM($S$2:S145),"")</f>
        <v/>
      </c>
      <c r="U145" s="1">
        <f>IF(W145="",0,IF(COUNTIF($W$2:$W145,W145)=1,1,0))</f>
        <v>0</v>
      </c>
      <c r="V145" s="1" t="str">
        <f>IF(U145=1,SUM($U$2:U145),"")</f>
        <v/>
      </c>
      <c r="W145" s="1" t="str">
        <f t="shared" si="9"/>
        <v/>
      </c>
    </row>
    <row r="146" spans="10:23" ht="15" customHeight="1" x14ac:dyDescent="0.35">
      <c r="J146" s="1"/>
      <c r="M146" s="1" t="str">
        <f t="shared" si="8"/>
        <v/>
      </c>
      <c r="Q146" s="12"/>
      <c r="S146" s="1">
        <f>IF(B146="",0,IF(COUNTIF($B$2:$B146,B146)=1,1,0))</f>
        <v>0</v>
      </c>
      <c r="T146" s="1" t="str">
        <f>IF(S146=1,SUM($S$2:S146),"")</f>
        <v/>
      </c>
      <c r="U146" s="1">
        <f>IF(W146="",0,IF(COUNTIF($W$2:$W146,W146)=1,1,0))</f>
        <v>0</v>
      </c>
      <c r="V146" s="1" t="str">
        <f>IF(U146=1,SUM($U$2:U146),"")</f>
        <v/>
      </c>
      <c r="W146" s="1" t="str">
        <f t="shared" si="9"/>
        <v/>
      </c>
    </row>
    <row r="147" spans="10:23" ht="15" customHeight="1" x14ac:dyDescent="0.35">
      <c r="J147" s="1"/>
      <c r="M147" s="1" t="str">
        <f t="shared" si="8"/>
        <v/>
      </c>
      <c r="Q147" s="12"/>
      <c r="S147" s="1">
        <f>IF(B147="",0,IF(COUNTIF($B$2:$B147,B147)=1,1,0))</f>
        <v>0</v>
      </c>
      <c r="T147" s="1" t="str">
        <f>IF(S147=1,SUM($S$2:S147),"")</f>
        <v/>
      </c>
      <c r="U147" s="1">
        <f>IF(W147="",0,IF(COUNTIF($W$2:$W147,W147)=1,1,0))</f>
        <v>0</v>
      </c>
      <c r="V147" s="1" t="str">
        <f>IF(U147=1,SUM($U$2:U147),"")</f>
        <v/>
      </c>
      <c r="W147" s="1" t="str">
        <f t="shared" si="9"/>
        <v/>
      </c>
    </row>
    <row r="148" spans="10:23" ht="15" customHeight="1" x14ac:dyDescent="0.35">
      <c r="J148" s="1"/>
      <c r="M148" s="1" t="str">
        <f t="shared" si="8"/>
        <v/>
      </c>
      <c r="Q148" s="12"/>
      <c r="S148" s="1">
        <f>IF(B148="",0,IF(COUNTIF($B$2:$B148,B148)=1,1,0))</f>
        <v>0</v>
      </c>
      <c r="T148" s="1" t="str">
        <f>IF(S148=1,SUM($S$2:S148),"")</f>
        <v/>
      </c>
      <c r="U148" s="1">
        <f>IF(W148="",0,IF(COUNTIF($W$2:$W148,W148)=1,1,0))</f>
        <v>0</v>
      </c>
      <c r="V148" s="1" t="str">
        <f>IF(U148=1,SUM($U$2:U148),"")</f>
        <v/>
      </c>
      <c r="W148" s="1" t="str">
        <f t="shared" si="9"/>
        <v/>
      </c>
    </row>
    <row r="149" spans="10:23" ht="15" customHeight="1" x14ac:dyDescent="0.35">
      <c r="J149" s="1"/>
      <c r="M149" s="1" t="str">
        <f t="shared" si="8"/>
        <v/>
      </c>
      <c r="Q149" s="12"/>
      <c r="S149" s="1">
        <f>IF(B149="",0,IF(COUNTIF($B$2:$B149,B149)=1,1,0))</f>
        <v>0</v>
      </c>
      <c r="T149" s="1" t="str">
        <f>IF(S149=1,SUM($S$2:S149),"")</f>
        <v/>
      </c>
      <c r="U149" s="1">
        <f>IF(W149="",0,IF(COUNTIF($W$2:$W149,W149)=1,1,0))</f>
        <v>0</v>
      </c>
      <c r="V149" s="1" t="str">
        <f>IF(U149=1,SUM($U$2:U149),"")</f>
        <v/>
      </c>
      <c r="W149" s="1" t="str">
        <f t="shared" si="9"/>
        <v/>
      </c>
    </row>
    <row r="150" spans="10:23" ht="15" customHeight="1" x14ac:dyDescent="0.35">
      <c r="J150" s="1"/>
      <c r="M150" s="1" t="str">
        <f t="shared" si="8"/>
        <v/>
      </c>
      <c r="Q150" s="12"/>
      <c r="S150" s="1">
        <f>IF(B150="",0,IF(COUNTIF($B$2:$B150,B150)=1,1,0))</f>
        <v>0</v>
      </c>
      <c r="T150" s="1" t="str">
        <f>IF(S150=1,SUM($S$2:S150),"")</f>
        <v/>
      </c>
      <c r="U150" s="1">
        <f>IF(W150="",0,IF(COUNTIF($W$2:$W150,W150)=1,1,0))</f>
        <v>0</v>
      </c>
      <c r="V150" s="1" t="str">
        <f>IF(U150=1,SUM($U$2:U150),"")</f>
        <v/>
      </c>
      <c r="W150" s="1" t="str">
        <f t="shared" si="9"/>
        <v/>
      </c>
    </row>
    <row r="151" spans="10:23" ht="15" customHeight="1" x14ac:dyDescent="0.35">
      <c r="J151" s="1"/>
      <c r="M151" s="1" t="str">
        <f t="shared" si="8"/>
        <v/>
      </c>
      <c r="Q151" s="12"/>
      <c r="S151" s="1">
        <f>IF(B151="",0,IF(COUNTIF($B$2:$B151,B151)=1,1,0))</f>
        <v>0</v>
      </c>
      <c r="T151" s="1" t="str">
        <f>IF(S151=1,SUM($S$2:S151),"")</f>
        <v/>
      </c>
      <c r="U151" s="1">
        <f>IF(W151="",0,IF(COUNTIF($W$2:$W151,W151)=1,1,0))</f>
        <v>0</v>
      </c>
      <c r="V151" s="1" t="str">
        <f>IF(U151=1,SUM($U$2:U151),"")</f>
        <v/>
      </c>
      <c r="W151" s="1" t="str">
        <f t="shared" si="9"/>
        <v/>
      </c>
    </row>
    <row r="152" spans="10:23" ht="15" customHeight="1" x14ac:dyDescent="0.35">
      <c r="J152" s="1"/>
      <c r="M152" s="1" t="str">
        <f t="shared" si="8"/>
        <v/>
      </c>
      <c r="Q152" s="12"/>
      <c r="S152" s="1">
        <f>IF(B152="",0,IF(COUNTIF($B$2:$B152,B152)=1,1,0))</f>
        <v>0</v>
      </c>
      <c r="T152" s="1" t="str">
        <f>IF(S152=1,SUM($S$2:S152),"")</f>
        <v/>
      </c>
      <c r="U152" s="1">
        <f>IF(W152="",0,IF(COUNTIF($W$2:$W152,W152)=1,1,0))</f>
        <v>0</v>
      </c>
      <c r="V152" s="1" t="str">
        <f>IF(U152=1,SUM($U$2:U152),"")</f>
        <v/>
      </c>
      <c r="W152" s="1" t="str">
        <f t="shared" si="9"/>
        <v/>
      </c>
    </row>
    <row r="153" spans="10:23" ht="15" customHeight="1" x14ac:dyDescent="0.35">
      <c r="J153" s="1"/>
      <c r="M153" s="1" t="str">
        <f t="shared" si="8"/>
        <v/>
      </c>
      <c r="Q153" s="12"/>
      <c r="S153" s="1">
        <f>IF(B153="",0,IF(COUNTIF($B$2:$B153,B153)=1,1,0))</f>
        <v>0</v>
      </c>
      <c r="T153" s="1" t="str">
        <f>IF(S153=1,SUM($S$2:S153),"")</f>
        <v/>
      </c>
      <c r="U153" s="1">
        <f>IF(W153="",0,IF(COUNTIF($W$2:$W153,W153)=1,1,0))</f>
        <v>0</v>
      </c>
      <c r="V153" s="1" t="str">
        <f>IF(U153=1,SUM($U$2:U153),"")</f>
        <v/>
      </c>
      <c r="W153" s="1" t="str">
        <f t="shared" si="9"/>
        <v/>
      </c>
    </row>
    <row r="154" spans="10:23" ht="15" customHeight="1" x14ac:dyDescent="0.35">
      <c r="J154" s="1"/>
      <c r="M154" s="1" t="str">
        <f t="shared" si="8"/>
        <v/>
      </c>
      <c r="Q154" s="12"/>
      <c r="S154" s="1">
        <f>IF(B154="",0,IF(COUNTIF($B$2:$B154,B154)=1,1,0))</f>
        <v>0</v>
      </c>
      <c r="T154" s="1" t="str">
        <f>IF(S154=1,SUM($S$2:S154),"")</f>
        <v/>
      </c>
      <c r="U154" s="1">
        <f>IF(W154="",0,IF(COUNTIF($W$2:$W154,W154)=1,1,0))</f>
        <v>0</v>
      </c>
      <c r="V154" s="1" t="str">
        <f>IF(U154=1,SUM($U$2:U154),"")</f>
        <v/>
      </c>
      <c r="W154" s="1" t="str">
        <f t="shared" si="9"/>
        <v/>
      </c>
    </row>
    <row r="155" spans="10:23" ht="15" customHeight="1" x14ac:dyDescent="0.35">
      <c r="J155" s="1"/>
      <c r="M155" s="1" t="str">
        <f t="shared" si="8"/>
        <v/>
      </c>
      <c r="Q155" s="12"/>
      <c r="S155" s="1">
        <f>IF(B155="",0,IF(COUNTIF($B$2:$B155,B155)=1,1,0))</f>
        <v>0</v>
      </c>
      <c r="T155" s="1" t="str">
        <f>IF(S155=1,SUM($S$2:S155),"")</f>
        <v/>
      </c>
      <c r="U155" s="1">
        <f>IF(W155="",0,IF(COUNTIF($W$2:$W155,W155)=1,1,0))</f>
        <v>0</v>
      </c>
      <c r="V155" s="1" t="str">
        <f>IF(U155=1,SUM($U$2:U155),"")</f>
        <v/>
      </c>
      <c r="W155" s="1" t="str">
        <f t="shared" si="9"/>
        <v/>
      </c>
    </row>
    <row r="156" spans="10:23" ht="15" customHeight="1" x14ac:dyDescent="0.35">
      <c r="J156" s="1"/>
      <c r="M156" s="1" t="str">
        <f t="shared" si="8"/>
        <v/>
      </c>
      <c r="Q156" s="12"/>
      <c r="S156" s="1">
        <f>IF(B156="",0,IF(COUNTIF($B$2:$B156,B156)=1,1,0))</f>
        <v>0</v>
      </c>
      <c r="T156" s="1" t="str">
        <f>IF(S156=1,SUM($S$2:S156),"")</f>
        <v/>
      </c>
      <c r="U156" s="1">
        <f>IF(W156="",0,IF(COUNTIF($W$2:$W156,W156)=1,1,0))</f>
        <v>0</v>
      </c>
      <c r="V156" s="1" t="str">
        <f>IF(U156=1,SUM($U$2:U156),"")</f>
        <v/>
      </c>
      <c r="W156" s="1" t="str">
        <f t="shared" si="9"/>
        <v/>
      </c>
    </row>
    <row r="157" spans="10:23" ht="15" customHeight="1" x14ac:dyDescent="0.35">
      <c r="J157" s="1"/>
      <c r="M157" s="1" t="str">
        <f t="shared" si="8"/>
        <v/>
      </c>
      <c r="Q157" s="12"/>
      <c r="S157" s="1">
        <f>IF(B157="",0,IF(COUNTIF($B$2:$B157,B157)=1,1,0))</f>
        <v>0</v>
      </c>
      <c r="T157" s="1" t="str">
        <f>IF(S157=1,SUM($S$2:S157),"")</f>
        <v/>
      </c>
      <c r="U157" s="1">
        <f>IF(W157="",0,IF(COUNTIF($W$2:$W157,W157)=1,1,0))</f>
        <v>0</v>
      </c>
      <c r="V157" s="1" t="str">
        <f>IF(U157=1,SUM($U$2:U157),"")</f>
        <v/>
      </c>
      <c r="W157" s="1" t="str">
        <f t="shared" si="9"/>
        <v/>
      </c>
    </row>
    <row r="158" spans="10:23" ht="15" customHeight="1" x14ac:dyDescent="0.35">
      <c r="J158" s="1"/>
      <c r="M158" s="1" t="str">
        <f t="shared" si="8"/>
        <v/>
      </c>
      <c r="Q158" s="12"/>
      <c r="S158" s="1">
        <f>IF(B158="",0,IF(COUNTIF($B$2:$B158,B158)=1,1,0))</f>
        <v>0</v>
      </c>
      <c r="T158" s="1" t="str">
        <f>IF(S158=1,SUM($S$2:S158),"")</f>
        <v/>
      </c>
      <c r="U158" s="1">
        <f>IF(W158="",0,IF(COUNTIF($W$2:$W158,W158)=1,1,0))</f>
        <v>0</v>
      </c>
      <c r="V158" s="1" t="str">
        <f>IF(U158=1,SUM($U$2:U158),"")</f>
        <v/>
      </c>
      <c r="W158" s="1" t="str">
        <f t="shared" si="9"/>
        <v/>
      </c>
    </row>
    <row r="159" spans="10:23" ht="15" customHeight="1" x14ac:dyDescent="0.35">
      <c r="J159" s="1"/>
      <c r="M159" s="1" t="str">
        <f t="shared" si="8"/>
        <v/>
      </c>
      <c r="Q159" s="12"/>
      <c r="S159" s="1">
        <f>IF(B159="",0,IF(COUNTIF($B$2:$B159,B159)=1,1,0))</f>
        <v>0</v>
      </c>
      <c r="T159" s="1" t="str">
        <f>IF(S159=1,SUM($S$2:S159),"")</f>
        <v/>
      </c>
      <c r="U159" s="1">
        <f>IF(W159="",0,IF(COUNTIF($W$2:$W159,W159)=1,1,0))</f>
        <v>0</v>
      </c>
      <c r="V159" s="1" t="str">
        <f>IF(U159=1,SUM($U$2:U159),"")</f>
        <v/>
      </c>
      <c r="W159" s="1" t="str">
        <f t="shared" si="9"/>
        <v/>
      </c>
    </row>
    <row r="160" spans="10:23" ht="15" customHeight="1" x14ac:dyDescent="0.35">
      <c r="J160" s="1"/>
      <c r="M160" s="1" t="str">
        <f t="shared" si="8"/>
        <v/>
      </c>
      <c r="Q160" s="12"/>
      <c r="S160" s="1">
        <f>IF(B160="",0,IF(COUNTIF($B$2:$B160,B160)=1,1,0))</f>
        <v>0</v>
      </c>
      <c r="T160" s="1" t="str">
        <f>IF(S160=1,SUM($S$2:S160),"")</f>
        <v/>
      </c>
      <c r="U160" s="1">
        <f>IF(W160="",0,IF(COUNTIF($W$2:$W160,W160)=1,1,0))</f>
        <v>0</v>
      </c>
      <c r="V160" s="1" t="str">
        <f>IF(U160=1,SUM($U$2:U160),"")</f>
        <v/>
      </c>
      <c r="W160" s="1" t="str">
        <f t="shared" si="9"/>
        <v/>
      </c>
    </row>
    <row r="161" spans="10:23" ht="15" customHeight="1" x14ac:dyDescent="0.35">
      <c r="J161" s="1"/>
      <c r="M161" s="1" t="str">
        <f t="shared" si="8"/>
        <v/>
      </c>
      <c r="Q161" s="12"/>
      <c r="S161" s="1">
        <f>IF(B161="",0,IF(COUNTIF($B$2:$B161,B161)=1,1,0))</f>
        <v>0</v>
      </c>
      <c r="T161" s="1" t="str">
        <f>IF(S161=1,SUM($S$2:S161),"")</f>
        <v/>
      </c>
      <c r="U161" s="1">
        <f>IF(W161="",0,IF(COUNTIF($W$2:$W161,W161)=1,1,0))</f>
        <v>0</v>
      </c>
      <c r="V161" s="1" t="str">
        <f>IF(U161=1,SUM($U$2:U161),"")</f>
        <v/>
      </c>
      <c r="W161" s="1" t="str">
        <f t="shared" si="9"/>
        <v/>
      </c>
    </row>
    <row r="162" spans="10:23" ht="15" customHeight="1" x14ac:dyDescent="0.35">
      <c r="J162" s="1"/>
      <c r="M162" s="1" t="str">
        <f t="shared" ref="M162:M193" si="10">IF(OR(J162="",K162="",L162=""),"",IF(AND(COUNTIF(J162:L162,"High")&gt;=2,OR(J162="High",L162="High")),"Tier 1",IF(AND(COUNTIF(J162:L162,"High")&gt;=1,COUNTIF(J162:L162,"Medium")&gt;=1),"Tier 2","Tier 3")))</f>
        <v/>
      </c>
      <c r="Q162" s="12"/>
      <c r="S162" s="1">
        <f>IF(B162="",0,IF(COUNTIF($B$2:$B162,B162)=1,1,0))</f>
        <v>0</v>
      </c>
      <c r="T162" s="1" t="str">
        <f>IF(S162=1,SUM($S$2:S162),"")</f>
        <v/>
      </c>
      <c r="U162" s="1">
        <f>IF(W162="",0,IF(COUNTIF($W$2:$W162,W162)=1,1,0))</f>
        <v>0</v>
      </c>
      <c r="V162" s="1" t="str">
        <f>IF(U162=1,SUM($U$2:U162),"")</f>
        <v/>
      </c>
      <c r="W162" s="1" t="str">
        <f t="shared" ref="W162:W193" si="11">IF(OR(C162="",B162=""),"",TRIM(C162)&amp;"|"&amp;TRIM(B162))</f>
        <v/>
      </c>
    </row>
    <row r="163" spans="10:23" ht="15" customHeight="1" x14ac:dyDescent="0.35">
      <c r="J163" s="1"/>
      <c r="M163" s="1" t="str">
        <f t="shared" si="10"/>
        <v/>
      </c>
      <c r="Q163" s="12"/>
      <c r="S163" s="1">
        <f>IF(B163="",0,IF(COUNTIF($B$2:$B163,B163)=1,1,0))</f>
        <v>0</v>
      </c>
      <c r="T163" s="1" t="str">
        <f>IF(S163=1,SUM($S$2:S163),"")</f>
        <v/>
      </c>
      <c r="U163" s="1">
        <f>IF(W163="",0,IF(COUNTIF($W$2:$W163,W163)=1,1,0))</f>
        <v>0</v>
      </c>
      <c r="V163" s="1" t="str">
        <f>IF(U163=1,SUM($U$2:U163),"")</f>
        <v/>
      </c>
      <c r="W163" s="1" t="str">
        <f t="shared" si="11"/>
        <v/>
      </c>
    </row>
    <row r="164" spans="10:23" ht="15" customHeight="1" x14ac:dyDescent="0.35">
      <c r="J164" s="1"/>
      <c r="M164" s="1" t="str">
        <f t="shared" si="10"/>
        <v/>
      </c>
      <c r="Q164" s="12"/>
      <c r="S164" s="1">
        <f>IF(B164="",0,IF(COUNTIF($B$2:$B164,B164)=1,1,0))</f>
        <v>0</v>
      </c>
      <c r="T164" s="1" t="str">
        <f>IF(S164=1,SUM($S$2:S164),"")</f>
        <v/>
      </c>
      <c r="U164" s="1">
        <f>IF(W164="",0,IF(COUNTIF($W$2:$W164,W164)=1,1,0))</f>
        <v>0</v>
      </c>
      <c r="V164" s="1" t="str">
        <f>IF(U164=1,SUM($U$2:U164),"")</f>
        <v/>
      </c>
      <c r="W164" s="1" t="str">
        <f t="shared" si="11"/>
        <v/>
      </c>
    </row>
    <row r="165" spans="10:23" ht="15" customHeight="1" x14ac:dyDescent="0.35">
      <c r="J165" s="1"/>
      <c r="M165" s="1" t="str">
        <f t="shared" si="10"/>
        <v/>
      </c>
      <c r="Q165" s="12"/>
      <c r="S165" s="1">
        <f>IF(B165="",0,IF(COUNTIF($B$2:$B165,B165)=1,1,0))</f>
        <v>0</v>
      </c>
      <c r="T165" s="1" t="str">
        <f>IF(S165=1,SUM($S$2:S165),"")</f>
        <v/>
      </c>
      <c r="U165" s="1">
        <f>IF(W165="",0,IF(COUNTIF($W$2:$W165,W165)=1,1,0))</f>
        <v>0</v>
      </c>
      <c r="V165" s="1" t="str">
        <f>IF(U165=1,SUM($U$2:U165),"")</f>
        <v/>
      </c>
      <c r="W165" s="1" t="str">
        <f t="shared" si="11"/>
        <v/>
      </c>
    </row>
    <row r="166" spans="10:23" ht="15" customHeight="1" x14ac:dyDescent="0.35">
      <c r="J166" s="1"/>
      <c r="M166" s="1" t="str">
        <f t="shared" si="10"/>
        <v/>
      </c>
      <c r="Q166" s="12"/>
      <c r="S166" s="1">
        <f>IF(B166="",0,IF(COUNTIF($B$2:$B166,B166)=1,1,0))</f>
        <v>0</v>
      </c>
      <c r="T166" s="1" t="str">
        <f>IF(S166=1,SUM($S$2:S166),"")</f>
        <v/>
      </c>
      <c r="U166" s="1">
        <f>IF(W166="",0,IF(COUNTIF($W$2:$W166,W166)=1,1,0))</f>
        <v>0</v>
      </c>
      <c r="V166" s="1" t="str">
        <f>IF(U166=1,SUM($U$2:U166),"")</f>
        <v/>
      </c>
      <c r="W166" s="1" t="str">
        <f t="shared" si="11"/>
        <v/>
      </c>
    </row>
    <row r="167" spans="10:23" ht="15" customHeight="1" x14ac:dyDescent="0.35">
      <c r="J167" s="1"/>
      <c r="M167" s="1" t="str">
        <f t="shared" si="10"/>
        <v/>
      </c>
      <c r="Q167" s="12"/>
      <c r="S167" s="1">
        <f>IF(B167="",0,IF(COUNTIF($B$2:$B167,B167)=1,1,0))</f>
        <v>0</v>
      </c>
      <c r="T167" s="1" t="str">
        <f>IF(S167=1,SUM($S$2:S167),"")</f>
        <v/>
      </c>
      <c r="U167" s="1">
        <f>IF(W167="",0,IF(COUNTIF($W$2:$W167,W167)=1,1,0))</f>
        <v>0</v>
      </c>
      <c r="V167" s="1" t="str">
        <f>IF(U167=1,SUM($U$2:U167),"")</f>
        <v/>
      </c>
      <c r="W167" s="1" t="str">
        <f t="shared" si="11"/>
        <v/>
      </c>
    </row>
    <row r="168" spans="10:23" ht="15" customHeight="1" x14ac:dyDescent="0.35">
      <c r="J168" s="1"/>
      <c r="M168" s="1" t="str">
        <f t="shared" si="10"/>
        <v/>
      </c>
      <c r="Q168" s="12"/>
      <c r="S168" s="1">
        <f>IF(B168="",0,IF(COUNTIF($B$2:$B168,B168)=1,1,0))</f>
        <v>0</v>
      </c>
      <c r="T168" s="1" t="str">
        <f>IF(S168=1,SUM($S$2:S168),"")</f>
        <v/>
      </c>
      <c r="U168" s="1">
        <f>IF(W168="",0,IF(COUNTIF($W$2:$W168,W168)=1,1,0))</f>
        <v>0</v>
      </c>
      <c r="V168" s="1" t="str">
        <f>IF(U168=1,SUM($U$2:U168),"")</f>
        <v/>
      </c>
      <c r="W168" s="1" t="str">
        <f t="shared" si="11"/>
        <v/>
      </c>
    </row>
    <row r="169" spans="10:23" ht="15" customHeight="1" x14ac:dyDescent="0.35">
      <c r="J169" s="1"/>
      <c r="M169" s="1" t="str">
        <f t="shared" si="10"/>
        <v/>
      </c>
      <c r="Q169" s="12"/>
      <c r="S169" s="1">
        <f>IF(B169="",0,IF(COUNTIF($B$2:$B169,B169)=1,1,0))</f>
        <v>0</v>
      </c>
      <c r="T169" s="1" t="str">
        <f>IF(S169=1,SUM($S$2:S169),"")</f>
        <v/>
      </c>
      <c r="U169" s="1">
        <f>IF(W169="",0,IF(COUNTIF($W$2:$W169,W169)=1,1,0))</f>
        <v>0</v>
      </c>
      <c r="V169" s="1" t="str">
        <f>IF(U169=1,SUM($U$2:U169),"")</f>
        <v/>
      </c>
      <c r="W169" s="1" t="str">
        <f t="shared" si="11"/>
        <v/>
      </c>
    </row>
    <row r="170" spans="10:23" ht="15" customHeight="1" x14ac:dyDescent="0.35">
      <c r="J170" s="1"/>
      <c r="M170" s="1" t="str">
        <f t="shared" si="10"/>
        <v/>
      </c>
      <c r="Q170" s="12"/>
      <c r="S170" s="1">
        <f>IF(B170="",0,IF(COUNTIF($B$2:$B170,B170)=1,1,0))</f>
        <v>0</v>
      </c>
      <c r="T170" s="1" t="str">
        <f>IF(S170=1,SUM($S$2:S170),"")</f>
        <v/>
      </c>
      <c r="U170" s="1">
        <f>IF(W170="",0,IF(COUNTIF($W$2:$W170,W170)=1,1,0))</f>
        <v>0</v>
      </c>
      <c r="V170" s="1" t="str">
        <f>IF(U170=1,SUM($U$2:U170),"")</f>
        <v/>
      </c>
      <c r="W170" s="1" t="str">
        <f t="shared" si="11"/>
        <v/>
      </c>
    </row>
    <row r="171" spans="10:23" ht="15" customHeight="1" x14ac:dyDescent="0.35">
      <c r="J171" s="1"/>
      <c r="M171" s="1" t="str">
        <f t="shared" si="10"/>
        <v/>
      </c>
      <c r="Q171" s="12"/>
      <c r="S171" s="1">
        <f>IF(B171="",0,IF(COUNTIF($B$2:$B171,B171)=1,1,0))</f>
        <v>0</v>
      </c>
      <c r="T171" s="1" t="str">
        <f>IF(S171=1,SUM($S$2:S171),"")</f>
        <v/>
      </c>
      <c r="U171" s="1">
        <f>IF(W171="",0,IF(COUNTIF($W$2:$W171,W171)=1,1,0))</f>
        <v>0</v>
      </c>
      <c r="V171" s="1" t="str">
        <f>IF(U171=1,SUM($U$2:U171),"")</f>
        <v/>
      </c>
      <c r="W171" s="1" t="str">
        <f t="shared" si="11"/>
        <v/>
      </c>
    </row>
    <row r="172" spans="10:23" ht="15" customHeight="1" x14ac:dyDescent="0.35">
      <c r="J172" s="1"/>
      <c r="M172" s="1" t="str">
        <f t="shared" si="10"/>
        <v/>
      </c>
      <c r="Q172" s="12"/>
      <c r="S172" s="1">
        <f>IF(B172="",0,IF(COUNTIF($B$2:$B172,B172)=1,1,0))</f>
        <v>0</v>
      </c>
      <c r="T172" s="1" t="str">
        <f>IF(S172=1,SUM($S$2:S172),"")</f>
        <v/>
      </c>
      <c r="U172" s="1">
        <f>IF(W172="",0,IF(COUNTIF($W$2:$W172,W172)=1,1,0))</f>
        <v>0</v>
      </c>
      <c r="V172" s="1" t="str">
        <f>IF(U172=1,SUM($U$2:U172),"")</f>
        <v/>
      </c>
      <c r="W172" s="1" t="str">
        <f t="shared" si="11"/>
        <v/>
      </c>
    </row>
    <row r="173" spans="10:23" ht="15" customHeight="1" x14ac:dyDescent="0.35">
      <c r="J173" s="1"/>
      <c r="M173" s="1" t="str">
        <f t="shared" si="10"/>
        <v/>
      </c>
      <c r="Q173" s="12"/>
      <c r="S173" s="1">
        <f>IF(B173="",0,IF(COUNTIF($B$2:$B173,B173)=1,1,0))</f>
        <v>0</v>
      </c>
      <c r="T173" s="1" t="str">
        <f>IF(S173=1,SUM($S$2:S173),"")</f>
        <v/>
      </c>
      <c r="U173" s="1">
        <f>IF(W173="",0,IF(COUNTIF($W$2:$W173,W173)=1,1,0))</f>
        <v>0</v>
      </c>
      <c r="V173" s="1" t="str">
        <f>IF(U173=1,SUM($U$2:U173),"")</f>
        <v/>
      </c>
      <c r="W173" s="1" t="str">
        <f t="shared" si="11"/>
        <v/>
      </c>
    </row>
    <row r="174" spans="10:23" ht="15" customHeight="1" x14ac:dyDescent="0.35">
      <c r="J174" s="1"/>
      <c r="M174" s="1" t="str">
        <f t="shared" si="10"/>
        <v/>
      </c>
      <c r="Q174" s="12"/>
      <c r="S174" s="1">
        <f>IF(B174="",0,IF(COUNTIF($B$2:$B174,B174)=1,1,0))</f>
        <v>0</v>
      </c>
      <c r="T174" s="1" t="str">
        <f>IF(S174=1,SUM($S$2:S174),"")</f>
        <v/>
      </c>
      <c r="U174" s="1">
        <f>IF(W174="",0,IF(COUNTIF($W$2:$W174,W174)=1,1,0))</f>
        <v>0</v>
      </c>
      <c r="V174" s="1" t="str">
        <f>IF(U174=1,SUM($U$2:U174),"")</f>
        <v/>
      </c>
      <c r="W174" s="1" t="str">
        <f t="shared" si="11"/>
        <v/>
      </c>
    </row>
    <row r="175" spans="10:23" ht="15" customHeight="1" x14ac:dyDescent="0.35">
      <c r="J175" s="1"/>
      <c r="M175" s="1" t="str">
        <f t="shared" si="10"/>
        <v/>
      </c>
      <c r="Q175" s="12"/>
      <c r="S175" s="1">
        <f>IF(B175="",0,IF(COUNTIF($B$2:$B175,B175)=1,1,0))</f>
        <v>0</v>
      </c>
      <c r="T175" s="1" t="str">
        <f>IF(S175=1,SUM($S$2:S175),"")</f>
        <v/>
      </c>
      <c r="U175" s="1">
        <f>IF(W175="",0,IF(COUNTIF($W$2:$W175,W175)=1,1,0))</f>
        <v>0</v>
      </c>
      <c r="V175" s="1" t="str">
        <f>IF(U175=1,SUM($U$2:U175),"")</f>
        <v/>
      </c>
      <c r="W175" s="1" t="str">
        <f t="shared" si="11"/>
        <v/>
      </c>
    </row>
    <row r="176" spans="10:23" ht="15" customHeight="1" x14ac:dyDescent="0.35">
      <c r="J176" s="1"/>
      <c r="M176" s="1" t="str">
        <f t="shared" si="10"/>
        <v/>
      </c>
      <c r="Q176" s="12"/>
      <c r="S176" s="1">
        <f>IF(B176="",0,IF(COUNTIF($B$2:$B176,B176)=1,1,0))</f>
        <v>0</v>
      </c>
      <c r="T176" s="1" t="str">
        <f>IF(S176=1,SUM($S$2:S176),"")</f>
        <v/>
      </c>
      <c r="U176" s="1">
        <f>IF(W176="",0,IF(COUNTIF($W$2:$W176,W176)=1,1,0))</f>
        <v>0</v>
      </c>
      <c r="V176" s="1" t="str">
        <f>IF(U176=1,SUM($U$2:U176),"")</f>
        <v/>
      </c>
      <c r="W176" s="1" t="str">
        <f t="shared" si="11"/>
        <v/>
      </c>
    </row>
    <row r="177" spans="10:23" ht="15" customHeight="1" x14ac:dyDescent="0.35">
      <c r="J177" s="1"/>
      <c r="M177" s="1" t="str">
        <f t="shared" si="10"/>
        <v/>
      </c>
      <c r="Q177" s="12"/>
      <c r="S177" s="1">
        <f>IF(B177="",0,IF(COUNTIF($B$2:$B177,B177)=1,1,0))</f>
        <v>0</v>
      </c>
      <c r="T177" s="1" t="str">
        <f>IF(S177=1,SUM($S$2:S177),"")</f>
        <v/>
      </c>
      <c r="U177" s="1">
        <f>IF(W177="",0,IF(COUNTIF($W$2:$W177,W177)=1,1,0))</f>
        <v>0</v>
      </c>
      <c r="V177" s="1" t="str">
        <f>IF(U177=1,SUM($U$2:U177),"")</f>
        <v/>
      </c>
      <c r="W177" s="1" t="str">
        <f t="shared" si="11"/>
        <v/>
      </c>
    </row>
    <row r="178" spans="10:23" ht="15" customHeight="1" x14ac:dyDescent="0.35">
      <c r="J178" s="1"/>
      <c r="M178" s="1" t="str">
        <f t="shared" si="10"/>
        <v/>
      </c>
      <c r="Q178" s="12"/>
      <c r="S178" s="1">
        <f>IF(B178="",0,IF(COUNTIF($B$2:$B178,B178)=1,1,0))</f>
        <v>0</v>
      </c>
      <c r="T178" s="1" t="str">
        <f>IF(S178=1,SUM($S$2:S178),"")</f>
        <v/>
      </c>
      <c r="U178" s="1">
        <f>IF(W178="",0,IF(COUNTIF($W$2:$W178,W178)=1,1,0))</f>
        <v>0</v>
      </c>
      <c r="V178" s="1" t="str">
        <f>IF(U178=1,SUM($U$2:U178),"")</f>
        <v/>
      </c>
      <c r="W178" s="1" t="str">
        <f t="shared" si="11"/>
        <v/>
      </c>
    </row>
    <row r="179" spans="10:23" ht="15" customHeight="1" x14ac:dyDescent="0.35">
      <c r="J179" s="1"/>
      <c r="M179" s="1" t="str">
        <f t="shared" si="10"/>
        <v/>
      </c>
      <c r="Q179" s="12"/>
      <c r="S179" s="1">
        <f>IF(B179="",0,IF(COUNTIF($B$2:$B179,B179)=1,1,0))</f>
        <v>0</v>
      </c>
      <c r="T179" s="1" t="str">
        <f>IF(S179=1,SUM($S$2:S179),"")</f>
        <v/>
      </c>
      <c r="U179" s="1">
        <f>IF(W179="",0,IF(COUNTIF($W$2:$W179,W179)=1,1,0))</f>
        <v>0</v>
      </c>
      <c r="V179" s="1" t="str">
        <f>IF(U179=1,SUM($U$2:U179),"")</f>
        <v/>
      </c>
      <c r="W179" s="1" t="str">
        <f t="shared" si="11"/>
        <v/>
      </c>
    </row>
    <row r="180" spans="10:23" ht="15" customHeight="1" x14ac:dyDescent="0.35">
      <c r="J180" s="1"/>
      <c r="M180" s="1" t="str">
        <f t="shared" si="10"/>
        <v/>
      </c>
      <c r="Q180" s="12"/>
      <c r="S180" s="1">
        <f>IF(B180="",0,IF(COUNTIF($B$2:$B180,B180)=1,1,0))</f>
        <v>0</v>
      </c>
      <c r="T180" s="1" t="str">
        <f>IF(S180=1,SUM($S$2:S180),"")</f>
        <v/>
      </c>
      <c r="U180" s="1">
        <f>IF(W180="",0,IF(COUNTIF($W$2:$W180,W180)=1,1,0))</f>
        <v>0</v>
      </c>
      <c r="V180" s="1" t="str">
        <f>IF(U180=1,SUM($U$2:U180),"")</f>
        <v/>
      </c>
      <c r="W180" s="1" t="str">
        <f t="shared" si="11"/>
        <v/>
      </c>
    </row>
    <row r="181" spans="10:23" ht="15" customHeight="1" x14ac:dyDescent="0.35">
      <c r="J181" s="1"/>
      <c r="M181" s="1" t="str">
        <f t="shared" si="10"/>
        <v/>
      </c>
      <c r="Q181" s="12"/>
      <c r="S181" s="1">
        <f>IF(B181="",0,IF(COUNTIF($B$2:$B181,B181)=1,1,0))</f>
        <v>0</v>
      </c>
      <c r="T181" s="1" t="str">
        <f>IF(S181=1,SUM($S$2:S181),"")</f>
        <v/>
      </c>
      <c r="U181" s="1">
        <f>IF(W181="",0,IF(COUNTIF($W$2:$W181,W181)=1,1,0))</f>
        <v>0</v>
      </c>
      <c r="V181" s="1" t="str">
        <f>IF(U181=1,SUM($U$2:U181),"")</f>
        <v/>
      </c>
      <c r="W181" s="1" t="str">
        <f t="shared" si="11"/>
        <v/>
      </c>
    </row>
    <row r="182" spans="10:23" ht="15" customHeight="1" x14ac:dyDescent="0.35">
      <c r="J182" s="1"/>
      <c r="M182" s="1" t="str">
        <f t="shared" si="10"/>
        <v/>
      </c>
      <c r="Q182" s="12"/>
      <c r="S182" s="1">
        <f>IF(B182="",0,IF(COUNTIF($B$2:$B182,B182)=1,1,0))</f>
        <v>0</v>
      </c>
      <c r="T182" s="1" t="str">
        <f>IF(S182=1,SUM($S$2:S182),"")</f>
        <v/>
      </c>
      <c r="U182" s="1">
        <f>IF(W182="",0,IF(COUNTIF($W$2:$W182,W182)=1,1,0))</f>
        <v>0</v>
      </c>
      <c r="V182" s="1" t="str">
        <f>IF(U182=1,SUM($U$2:U182),"")</f>
        <v/>
      </c>
      <c r="W182" s="1" t="str">
        <f t="shared" si="11"/>
        <v/>
      </c>
    </row>
    <row r="183" spans="10:23" ht="15" customHeight="1" x14ac:dyDescent="0.35">
      <c r="J183" s="1"/>
      <c r="M183" s="1" t="str">
        <f t="shared" si="10"/>
        <v/>
      </c>
      <c r="Q183" s="12"/>
      <c r="S183" s="1">
        <f>IF(B183="",0,IF(COUNTIF($B$2:$B183,B183)=1,1,0))</f>
        <v>0</v>
      </c>
      <c r="T183" s="1" t="str">
        <f>IF(S183=1,SUM($S$2:S183),"")</f>
        <v/>
      </c>
      <c r="U183" s="1">
        <f>IF(W183="",0,IF(COUNTIF($W$2:$W183,W183)=1,1,0))</f>
        <v>0</v>
      </c>
      <c r="V183" s="1" t="str">
        <f>IF(U183=1,SUM($U$2:U183),"")</f>
        <v/>
      </c>
      <c r="W183" s="1" t="str">
        <f t="shared" si="11"/>
        <v/>
      </c>
    </row>
    <row r="184" spans="10:23" ht="15" customHeight="1" x14ac:dyDescent="0.35">
      <c r="J184" s="1"/>
      <c r="M184" s="1" t="str">
        <f t="shared" si="10"/>
        <v/>
      </c>
      <c r="Q184" s="12"/>
      <c r="S184" s="1">
        <f>IF(B184="",0,IF(COUNTIF($B$2:$B184,B184)=1,1,0))</f>
        <v>0</v>
      </c>
      <c r="T184" s="1" t="str">
        <f>IF(S184=1,SUM($S$2:S184),"")</f>
        <v/>
      </c>
      <c r="U184" s="1">
        <f>IF(W184="",0,IF(COUNTIF($W$2:$W184,W184)=1,1,0))</f>
        <v>0</v>
      </c>
      <c r="V184" s="1" t="str">
        <f>IF(U184=1,SUM($U$2:U184),"")</f>
        <v/>
      </c>
      <c r="W184" s="1" t="str">
        <f t="shared" si="11"/>
        <v/>
      </c>
    </row>
    <row r="185" spans="10:23" ht="15" customHeight="1" x14ac:dyDescent="0.35">
      <c r="J185" s="1"/>
      <c r="M185" s="1" t="str">
        <f t="shared" si="10"/>
        <v/>
      </c>
      <c r="Q185" s="12"/>
      <c r="S185" s="1">
        <f>IF(B185="",0,IF(COUNTIF($B$2:$B185,B185)=1,1,0))</f>
        <v>0</v>
      </c>
      <c r="T185" s="1" t="str">
        <f>IF(S185=1,SUM($S$2:S185),"")</f>
        <v/>
      </c>
      <c r="U185" s="1">
        <f>IF(W185="",0,IF(COUNTIF($W$2:$W185,W185)=1,1,0))</f>
        <v>0</v>
      </c>
      <c r="V185" s="1" t="str">
        <f>IF(U185=1,SUM($U$2:U185),"")</f>
        <v/>
      </c>
      <c r="W185" s="1" t="str">
        <f t="shared" si="11"/>
        <v/>
      </c>
    </row>
    <row r="186" spans="10:23" ht="15" customHeight="1" x14ac:dyDescent="0.35">
      <c r="J186" s="1"/>
      <c r="M186" s="1" t="str">
        <f t="shared" si="10"/>
        <v/>
      </c>
      <c r="Q186" s="12"/>
      <c r="S186" s="1">
        <f>IF(B186="",0,IF(COUNTIF($B$2:$B186,B186)=1,1,0))</f>
        <v>0</v>
      </c>
      <c r="T186" s="1" t="str">
        <f>IF(S186=1,SUM($S$2:S186),"")</f>
        <v/>
      </c>
      <c r="U186" s="1">
        <f>IF(W186="",0,IF(COUNTIF($W$2:$W186,W186)=1,1,0))</f>
        <v>0</v>
      </c>
      <c r="V186" s="1" t="str">
        <f>IF(U186=1,SUM($U$2:U186),"")</f>
        <v/>
      </c>
      <c r="W186" s="1" t="str">
        <f t="shared" si="11"/>
        <v/>
      </c>
    </row>
    <row r="187" spans="10:23" ht="15" customHeight="1" x14ac:dyDescent="0.35">
      <c r="J187" s="1"/>
      <c r="M187" s="1" t="str">
        <f t="shared" si="10"/>
        <v/>
      </c>
      <c r="Q187" s="12"/>
      <c r="S187" s="1">
        <f>IF(B187="",0,IF(COUNTIF($B$2:$B187,B187)=1,1,0))</f>
        <v>0</v>
      </c>
      <c r="T187" s="1" t="str">
        <f>IF(S187=1,SUM($S$2:S187),"")</f>
        <v/>
      </c>
      <c r="U187" s="1">
        <f>IF(W187="",0,IF(COUNTIF($W$2:$W187,W187)=1,1,0))</f>
        <v>0</v>
      </c>
      <c r="V187" s="1" t="str">
        <f>IF(U187=1,SUM($U$2:U187),"")</f>
        <v/>
      </c>
      <c r="W187" s="1" t="str">
        <f t="shared" si="11"/>
        <v/>
      </c>
    </row>
    <row r="188" spans="10:23" ht="15" customHeight="1" x14ac:dyDescent="0.35">
      <c r="J188" s="1"/>
      <c r="M188" s="1" t="str">
        <f t="shared" si="10"/>
        <v/>
      </c>
      <c r="Q188" s="12"/>
      <c r="S188" s="1">
        <f>IF(B188="",0,IF(COUNTIF($B$2:$B188,B188)=1,1,0))</f>
        <v>0</v>
      </c>
      <c r="T188" s="1" t="str">
        <f>IF(S188=1,SUM($S$2:S188),"")</f>
        <v/>
      </c>
      <c r="U188" s="1">
        <f>IF(W188="",0,IF(COUNTIF($W$2:$W188,W188)=1,1,0))</f>
        <v>0</v>
      </c>
      <c r="V188" s="1" t="str">
        <f>IF(U188=1,SUM($U$2:U188),"")</f>
        <v/>
      </c>
      <c r="W188" s="1" t="str">
        <f t="shared" si="11"/>
        <v/>
      </c>
    </row>
    <row r="189" spans="10:23" ht="15" customHeight="1" x14ac:dyDescent="0.35">
      <c r="J189" s="1"/>
      <c r="M189" s="1" t="str">
        <f t="shared" si="10"/>
        <v/>
      </c>
      <c r="Q189" s="12"/>
      <c r="S189" s="1">
        <f>IF(B189="",0,IF(COUNTIF($B$2:$B189,B189)=1,1,0))</f>
        <v>0</v>
      </c>
      <c r="T189" s="1" t="str">
        <f>IF(S189=1,SUM($S$2:S189),"")</f>
        <v/>
      </c>
      <c r="U189" s="1">
        <f>IF(W189="",0,IF(COUNTIF($W$2:$W189,W189)=1,1,0))</f>
        <v>0</v>
      </c>
      <c r="V189" s="1" t="str">
        <f>IF(U189=1,SUM($U$2:U189),"")</f>
        <v/>
      </c>
      <c r="W189" s="1" t="str">
        <f t="shared" si="11"/>
        <v/>
      </c>
    </row>
    <row r="190" spans="10:23" ht="15" customHeight="1" x14ac:dyDescent="0.35">
      <c r="J190" s="1"/>
      <c r="M190" s="1" t="str">
        <f t="shared" si="10"/>
        <v/>
      </c>
      <c r="Q190" s="12"/>
      <c r="S190" s="1">
        <f>IF(B190="",0,IF(COUNTIF($B$2:$B190,B190)=1,1,0))</f>
        <v>0</v>
      </c>
      <c r="T190" s="1" t="str">
        <f>IF(S190=1,SUM($S$2:S190),"")</f>
        <v/>
      </c>
      <c r="U190" s="1">
        <f>IF(W190="",0,IF(COUNTIF($W$2:$W190,W190)=1,1,0))</f>
        <v>0</v>
      </c>
      <c r="V190" s="1" t="str">
        <f>IF(U190=1,SUM($U$2:U190),"")</f>
        <v/>
      </c>
      <c r="W190" s="1" t="str">
        <f t="shared" si="11"/>
        <v/>
      </c>
    </row>
    <row r="191" spans="10:23" ht="15" customHeight="1" x14ac:dyDescent="0.35">
      <c r="J191" s="1"/>
      <c r="M191" s="1" t="str">
        <f t="shared" si="10"/>
        <v/>
      </c>
      <c r="Q191" s="12"/>
      <c r="S191" s="1">
        <f>IF(B191="",0,IF(COUNTIF($B$2:$B191,B191)=1,1,0))</f>
        <v>0</v>
      </c>
      <c r="T191" s="1" t="str">
        <f>IF(S191=1,SUM($S$2:S191),"")</f>
        <v/>
      </c>
      <c r="U191" s="1">
        <f>IF(W191="",0,IF(COUNTIF($W$2:$W191,W191)=1,1,0))</f>
        <v>0</v>
      </c>
      <c r="V191" s="1" t="str">
        <f>IF(U191=1,SUM($U$2:U191),"")</f>
        <v/>
      </c>
      <c r="W191" s="1" t="str">
        <f t="shared" si="11"/>
        <v/>
      </c>
    </row>
    <row r="192" spans="10:23" ht="15" customHeight="1" x14ac:dyDescent="0.35">
      <c r="J192" s="1"/>
      <c r="M192" s="1" t="str">
        <f t="shared" si="10"/>
        <v/>
      </c>
      <c r="Q192" s="12"/>
      <c r="S192" s="1">
        <f>IF(B192="",0,IF(COUNTIF($B$2:$B192,B192)=1,1,0))</f>
        <v>0</v>
      </c>
      <c r="T192" s="1" t="str">
        <f>IF(S192=1,SUM($S$2:S192),"")</f>
        <v/>
      </c>
      <c r="U192" s="1">
        <f>IF(W192="",0,IF(COUNTIF($W$2:$W192,W192)=1,1,0))</f>
        <v>0</v>
      </c>
      <c r="V192" s="1" t="str">
        <f>IF(U192=1,SUM($U$2:U192),"")</f>
        <v/>
      </c>
      <c r="W192" s="1" t="str">
        <f t="shared" si="11"/>
        <v/>
      </c>
    </row>
    <row r="193" spans="10:23" ht="15" customHeight="1" x14ac:dyDescent="0.35">
      <c r="J193" s="1"/>
      <c r="M193" s="1" t="str">
        <f t="shared" si="10"/>
        <v/>
      </c>
      <c r="Q193" s="12"/>
      <c r="S193" s="1">
        <f>IF(B193="",0,IF(COUNTIF($B$2:$B193,B193)=1,1,0))</f>
        <v>0</v>
      </c>
      <c r="T193" s="1" t="str">
        <f>IF(S193=1,SUM($S$2:S193),"")</f>
        <v/>
      </c>
      <c r="U193" s="1">
        <f>IF(W193="",0,IF(COUNTIF($W$2:$W193,W193)=1,1,0))</f>
        <v>0</v>
      </c>
      <c r="V193" s="1" t="str">
        <f>IF(U193=1,SUM($U$2:U193),"")</f>
        <v/>
      </c>
      <c r="W193" s="1" t="str">
        <f t="shared" si="11"/>
        <v/>
      </c>
    </row>
    <row r="194" spans="10:23" ht="15" customHeight="1" x14ac:dyDescent="0.35">
      <c r="J194" s="1"/>
      <c r="M194" s="1" t="str">
        <f t="shared" ref="M194:M200" si="12">IF(OR(J194="",K194="",L194=""),"",IF(AND(COUNTIF(J194:L194,"High")&gt;=2,OR(J194="High",L194="High")),"Tier 1",IF(AND(COUNTIF(J194:L194,"High")&gt;=1,COUNTIF(J194:L194,"Medium")&gt;=1),"Tier 2","Tier 3")))</f>
        <v/>
      </c>
      <c r="Q194" s="12"/>
      <c r="S194" s="1">
        <f>IF(B194="",0,IF(COUNTIF($B$2:$B194,B194)=1,1,0))</f>
        <v>0</v>
      </c>
      <c r="T194" s="1" t="str">
        <f>IF(S194=1,SUM($S$2:S194),"")</f>
        <v/>
      </c>
      <c r="U194" s="1">
        <f>IF(W194="",0,IF(COUNTIF($W$2:$W194,W194)=1,1,0))</f>
        <v>0</v>
      </c>
      <c r="V194" s="1" t="str">
        <f>IF(U194=1,SUM($U$2:U194),"")</f>
        <v/>
      </c>
      <c r="W194" s="1" t="str">
        <f t="shared" ref="W194:W200" si="13">IF(OR(C194="",B194=""),"",TRIM(C194)&amp;"|"&amp;TRIM(B194))</f>
        <v/>
      </c>
    </row>
    <row r="195" spans="10:23" ht="15" customHeight="1" x14ac:dyDescent="0.35">
      <c r="J195" s="1"/>
      <c r="M195" s="1" t="str">
        <f t="shared" si="12"/>
        <v/>
      </c>
      <c r="Q195" s="12"/>
      <c r="S195" s="1">
        <f>IF(B195="",0,IF(COUNTIF($B$2:$B195,B195)=1,1,0))</f>
        <v>0</v>
      </c>
      <c r="T195" s="1" t="str">
        <f>IF(S195=1,SUM($S$2:S195),"")</f>
        <v/>
      </c>
      <c r="U195" s="1">
        <f>IF(W195="",0,IF(COUNTIF($W$2:$W195,W195)=1,1,0))</f>
        <v>0</v>
      </c>
      <c r="V195" s="1" t="str">
        <f>IF(U195=1,SUM($U$2:U195),"")</f>
        <v/>
      </c>
      <c r="W195" s="1" t="str">
        <f t="shared" si="13"/>
        <v/>
      </c>
    </row>
    <row r="196" spans="10:23" ht="15" customHeight="1" x14ac:dyDescent="0.35">
      <c r="J196" s="1"/>
      <c r="M196" s="1" t="str">
        <f t="shared" si="12"/>
        <v/>
      </c>
      <c r="Q196" s="12"/>
      <c r="S196" s="1">
        <f>IF(B196="",0,IF(COUNTIF($B$2:$B196,B196)=1,1,0))</f>
        <v>0</v>
      </c>
      <c r="T196" s="1" t="str">
        <f>IF(S196=1,SUM($S$2:S196),"")</f>
        <v/>
      </c>
      <c r="U196" s="1">
        <f>IF(W196="",0,IF(COUNTIF($W$2:$W196,W196)=1,1,0))</f>
        <v>0</v>
      </c>
      <c r="V196" s="1" t="str">
        <f>IF(U196=1,SUM($U$2:U196),"")</f>
        <v/>
      </c>
      <c r="W196" s="1" t="str">
        <f t="shared" si="13"/>
        <v/>
      </c>
    </row>
    <row r="197" spans="10:23" ht="15" customHeight="1" x14ac:dyDescent="0.35">
      <c r="J197" s="1"/>
      <c r="M197" s="1" t="str">
        <f t="shared" si="12"/>
        <v/>
      </c>
      <c r="Q197" s="12"/>
      <c r="S197" s="1">
        <f>IF(B197="",0,IF(COUNTIF($B$2:$B197,B197)=1,1,0))</f>
        <v>0</v>
      </c>
      <c r="T197" s="1" t="str">
        <f>IF(S197=1,SUM($S$2:S197),"")</f>
        <v/>
      </c>
      <c r="U197" s="1">
        <f>IF(W197="",0,IF(COUNTIF($W$2:$W197,W197)=1,1,0))</f>
        <v>0</v>
      </c>
      <c r="V197" s="1" t="str">
        <f>IF(U197=1,SUM($U$2:U197),"")</f>
        <v/>
      </c>
      <c r="W197" s="1" t="str">
        <f t="shared" si="13"/>
        <v/>
      </c>
    </row>
    <row r="198" spans="10:23" ht="15" customHeight="1" x14ac:dyDescent="0.35">
      <c r="J198" s="1"/>
      <c r="M198" s="1" t="str">
        <f t="shared" si="12"/>
        <v/>
      </c>
      <c r="Q198" s="12"/>
      <c r="S198" s="1">
        <f>IF(B198="",0,IF(COUNTIF($B$2:$B198,B198)=1,1,0))</f>
        <v>0</v>
      </c>
      <c r="T198" s="1" t="str">
        <f>IF(S198=1,SUM($S$2:S198),"")</f>
        <v/>
      </c>
      <c r="U198" s="1">
        <f>IF(W198="",0,IF(COUNTIF($W$2:$W198,W198)=1,1,0))</f>
        <v>0</v>
      </c>
      <c r="V198" s="1" t="str">
        <f>IF(U198=1,SUM($U$2:U198),"")</f>
        <v/>
      </c>
      <c r="W198" s="1" t="str">
        <f t="shared" si="13"/>
        <v/>
      </c>
    </row>
    <row r="199" spans="10:23" ht="15" customHeight="1" x14ac:dyDescent="0.35">
      <c r="J199" s="1"/>
      <c r="M199" s="1" t="str">
        <f t="shared" si="12"/>
        <v/>
      </c>
      <c r="Q199" s="12"/>
      <c r="S199" s="1">
        <f>IF(B199="",0,IF(COUNTIF($B$2:$B199,B199)=1,1,0))</f>
        <v>0</v>
      </c>
      <c r="T199" s="1" t="str">
        <f>IF(S199=1,SUM($S$2:S199),"")</f>
        <v/>
      </c>
      <c r="U199" s="1">
        <f>IF(W199="",0,IF(COUNTIF($W$2:$W199,W199)=1,1,0))</f>
        <v>0</v>
      </c>
      <c r="V199" s="1" t="str">
        <f>IF(U199=1,SUM($U$2:U199),"")</f>
        <v/>
      </c>
      <c r="W199" s="1" t="str">
        <f t="shared" si="13"/>
        <v/>
      </c>
    </row>
    <row r="200" spans="10:23" ht="15" customHeight="1" x14ac:dyDescent="0.35">
      <c r="J200" s="1"/>
      <c r="M200" s="1" t="str">
        <f t="shared" si="12"/>
        <v/>
      </c>
      <c r="Q200" s="12"/>
      <c r="S200" s="1">
        <f>IF(B200="",0,IF(COUNTIF($B$2:$B200,B200)=1,1,0))</f>
        <v>0</v>
      </c>
      <c r="T200" s="1" t="str">
        <f>IF(S200=1,SUM($S$2:S200),"")</f>
        <v/>
      </c>
      <c r="U200" s="1">
        <f>IF(W200="",0,IF(COUNTIF($W$2:$W200,W200)=1,1,0))</f>
        <v>0</v>
      </c>
      <c r="V200" s="1" t="str">
        <f>IF(U200=1,SUM($U$2:U200),"")</f>
        <v/>
      </c>
      <c r="W200" s="1" t="str">
        <f t="shared" si="13"/>
        <v/>
      </c>
    </row>
  </sheetData>
  <dataValidations count="4">
    <dataValidation type="list" allowBlank="1" sqref="J2:L200" xr:uid="{00000000-0002-0000-0200-000000000000}">
      <formula1>"High,Medium,Low"</formula1>
      <formula2>0</formula2>
    </dataValidation>
    <dataValidation type="list" allowBlank="1" sqref="I2:I200" xr:uid="{00000000-0002-0000-0200-000001000000}">
      <formula1>"Email,WhatsApp,Either"</formula1>
      <formula2>0</formula2>
    </dataValidation>
    <dataValidation type="list" allowBlank="1" errorTitle="Invalid partner" error="Please pick a partner name from the Bain PoC's list." sqref="A2:A200" xr:uid="{00000000-0002-0000-0200-000002000000}">
      <formula1>BainPoC_FullNames</formula1>
      <formula2>0</formula2>
    </dataValidation>
    <dataValidation type="list" allowBlank="1" sqref="N2:N200" xr:uid="{00000000-0002-0000-0200-000003000000}">
      <formula1>"Tier 1,Tier 2,Tier 3"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00"/>
  </sheetPr>
  <dimension ref="A1"/>
  <sheetViews>
    <sheetView zoomScaleNormal="100" workbookViewId="0">
      <selection activeCell="I13" sqref="I13"/>
    </sheetView>
  </sheetViews>
  <sheetFormatPr defaultColWidth="8.58203125" defaultRowHeight="15.5" x14ac:dyDescent="0.3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"/>
  <sheetViews>
    <sheetView tabSelected="1" topLeftCell="B1" zoomScaleNormal="100" workbookViewId="0">
      <pane ySplit="1" topLeftCell="A2" activePane="bottomLeft" state="frozen"/>
      <selection pane="bottomLeft" activeCell="C1" sqref="C1:G17"/>
    </sheetView>
  </sheetViews>
  <sheetFormatPr defaultColWidth="8.58203125" defaultRowHeight="15.5" x14ac:dyDescent="0.35"/>
  <cols>
    <col min="1" max="1" width="12" style="1" customWidth="1"/>
    <col min="2" max="2" width="24.25" style="1" customWidth="1"/>
    <col min="3" max="3" width="20.1640625" customWidth="1"/>
    <col min="4" max="4" width="30.9140625" style="1" customWidth="1"/>
    <col min="5" max="5" width="17" style="1" customWidth="1"/>
    <col min="6" max="6" width="29" style="1" customWidth="1"/>
    <col min="7" max="7" width="21" style="1" customWidth="1"/>
    <col min="8" max="8" width="21.1640625" style="1" customWidth="1"/>
    <col min="9" max="9" width="21.25" style="1" customWidth="1"/>
    <col min="10" max="10" width="16" style="1" customWidth="1"/>
    <col min="11" max="11" width="16.58203125" style="1" customWidth="1"/>
  </cols>
  <sheetData>
    <row r="1" spans="1:13" ht="15" customHeight="1" x14ac:dyDescent="0.35">
      <c r="A1" s="11" t="s">
        <v>171</v>
      </c>
      <c r="B1" s="11" t="s">
        <v>172</v>
      </c>
      <c r="C1" s="11" t="s">
        <v>173</v>
      </c>
      <c r="D1" s="11" t="s">
        <v>174</v>
      </c>
      <c r="E1" s="11" t="s">
        <v>175</v>
      </c>
      <c r="F1" s="11" t="s">
        <v>176</v>
      </c>
      <c r="G1" s="11" t="s">
        <v>177</v>
      </c>
      <c r="H1" s="11" t="s">
        <v>178</v>
      </c>
      <c r="I1" s="11" t="s">
        <v>179</v>
      </c>
      <c r="J1" s="11" t="s">
        <v>180</v>
      </c>
      <c r="K1" s="11" t="s">
        <v>181</v>
      </c>
      <c r="L1" s="11" t="s">
        <v>182</v>
      </c>
      <c r="M1" s="11" t="s">
        <v>183</v>
      </c>
    </row>
    <row r="2" spans="1:13" ht="15" customHeight="1" x14ac:dyDescent="0.35">
      <c r="A2" s="13" t="str">
        <f t="shared" ref="A2:A33" si="0">IF(B2="","","ACC"&amp;TEXT(ROW()-1,"0000"))</f>
        <v>ACC0001</v>
      </c>
      <c r="B2" s="1" t="str">
        <f>IFERROR(INDEX('Input Contact Information'!$B$2:$B$200,MATCH(ROW()-1,'Input Contact Information'!$T$2:$T$200,0)),"")</f>
        <v>QatarEnergy</v>
      </c>
      <c r="C2" s="24" t="s">
        <v>184</v>
      </c>
      <c r="D2" s="24" t="s">
        <v>185</v>
      </c>
      <c r="E2" s="24" t="s">
        <v>186</v>
      </c>
      <c r="F2" s="24" t="s">
        <v>187</v>
      </c>
      <c r="G2" s="24" t="s">
        <v>188</v>
      </c>
      <c r="H2" s="1" t="str">
        <f>IFERROR(INDEX('Input Contact Information'!$A$2:$A$200,MATCH($B2,'Input Contact Information'!$B$2:$B$200,0)),"")</f>
        <v>Wael Hatoum</v>
      </c>
      <c r="I2" s="24" t="s">
        <v>53</v>
      </c>
      <c r="J2" s="1">
        <f>IF($B2="","",COUNTIFS('Input Contact Information'!$B$2:$B$200,$B2,'Input Contact Information'!$Q$2:$Q$200,"&lt;&gt;"))</f>
        <v>3</v>
      </c>
      <c r="K2" s="1">
        <f ca="1">IF($B2="","",COUNTIFS('Contacts Overview'!$D$2:$D$200,$A2,'Contacts Overview'!$R$2:$R$200,"On Track"))</f>
        <v>0</v>
      </c>
      <c r="L2" s="1">
        <f ca="1">IF($B2="","",COUNTIFS('Contacts Overview'!$D$2:$D$200,$A2,'Contacts Overview'!$R$2:$R$200,"For Review"))</f>
        <v>0</v>
      </c>
      <c r="M2" s="1">
        <f ca="1">IF($B2="","",COUNTIFS('Contacts Overview'!$D$2:$D$200,$A2,'Contacts Overview'!$R$2:$R$200,"Overdue"))</f>
        <v>3</v>
      </c>
    </row>
    <row r="3" spans="1:13" ht="15" customHeight="1" x14ac:dyDescent="0.35">
      <c r="A3" s="13" t="str">
        <f t="shared" si="0"/>
        <v>ACC0002</v>
      </c>
      <c r="B3" s="1" t="str">
        <f>IFERROR(INDEX('Input Contact Information'!$B$2:$B$200,MATCH(ROW()-1,'Input Contact Information'!$T$2:$T$200,0)),"")</f>
        <v>Qatar Airways Group</v>
      </c>
      <c r="C3" s="24" t="s">
        <v>189</v>
      </c>
      <c r="D3" s="24" t="s">
        <v>190</v>
      </c>
      <c r="E3" s="24" t="s">
        <v>191</v>
      </c>
      <c r="F3" s="24" t="s">
        <v>192</v>
      </c>
      <c r="G3" s="24" t="s">
        <v>188</v>
      </c>
      <c r="H3" s="1" t="str">
        <f>IFERROR(INDEX('Input Contact Information'!$A$2:$A$200,MATCH($B3,'Input Contact Information'!$B$2:$B$200,0)),"")</f>
        <v>Alberto Michelotti</v>
      </c>
      <c r="I3" s="24" t="s">
        <v>63</v>
      </c>
      <c r="J3" s="1">
        <f>IF($B3="","",COUNTIFS('Input Contact Information'!$B$2:$B$200,$B3,'Input Contact Information'!$Q$2:$Q$200,"&lt;&gt;"))</f>
        <v>3</v>
      </c>
      <c r="K3" s="1">
        <f ca="1">IF($B3="","",COUNTIFS('Contacts Overview'!$D$2:$D$200,$A3,'Contacts Overview'!$R$2:$R$200,"On Track"))</f>
        <v>1</v>
      </c>
      <c r="L3" s="1">
        <f ca="1">IF($B3="","",COUNTIFS('Contacts Overview'!$D$2:$D$200,$A3,'Contacts Overview'!$R$2:$R$200,"For Review"))</f>
        <v>1</v>
      </c>
      <c r="M3" s="1">
        <f ca="1">IF($B3="","",COUNTIFS('Contacts Overview'!$D$2:$D$200,$A3,'Contacts Overview'!$R$2:$R$200,"Overdue"))</f>
        <v>1</v>
      </c>
    </row>
    <row r="4" spans="1:13" ht="15" customHeight="1" x14ac:dyDescent="0.35">
      <c r="A4" s="13" t="str">
        <f t="shared" si="0"/>
        <v>ACC0003</v>
      </c>
      <c r="B4" s="1" t="str">
        <f>IFERROR(INDEX('Input Contact Information'!$B$2:$B$200,MATCH(ROW()-1,'Input Contact Information'!$T$2:$T$200,0)),"")</f>
        <v>Qatar National Bank</v>
      </c>
      <c r="C4" s="24" t="s">
        <v>193</v>
      </c>
      <c r="D4" s="24" t="s">
        <v>194</v>
      </c>
      <c r="E4" s="24" t="s">
        <v>195</v>
      </c>
      <c r="F4" s="24" t="s">
        <v>196</v>
      </c>
      <c r="G4" s="24" t="s">
        <v>188</v>
      </c>
      <c r="H4" s="1" t="str">
        <f>IFERROR(INDEX('Input Contact Information'!$A$2:$A$200,MATCH($B4,'Input Contact Information'!$B$2:$B$200,0)),"")</f>
        <v>Eric Guraieb</v>
      </c>
      <c r="I4" s="24" t="s">
        <v>71</v>
      </c>
      <c r="J4" s="1">
        <f>IF($B4="","",COUNTIFS('Input Contact Information'!$B$2:$B$200,$B4,'Input Contact Information'!$Q$2:$Q$200,"&lt;&gt;"))</f>
        <v>3</v>
      </c>
      <c r="K4" s="1">
        <f ca="1">IF($B4="","",COUNTIFS('Contacts Overview'!$D$2:$D$200,$A4,'Contacts Overview'!$R$2:$R$200,"On Track"))</f>
        <v>0</v>
      </c>
      <c r="L4" s="1">
        <f ca="1">IF($B4="","",COUNTIFS('Contacts Overview'!$D$2:$D$200,$A4,'Contacts Overview'!$R$2:$R$200,"For Review"))</f>
        <v>0</v>
      </c>
      <c r="M4" s="1">
        <f ca="1">IF($B4="","",COUNTIFS('Contacts Overview'!$D$2:$D$200,$A4,'Contacts Overview'!$R$2:$R$200,"Overdue"))</f>
        <v>3</v>
      </c>
    </row>
    <row r="5" spans="1:13" ht="15" customHeight="1" x14ac:dyDescent="0.35">
      <c r="A5" s="13" t="str">
        <f t="shared" si="0"/>
        <v>ACC0004</v>
      </c>
      <c r="B5" s="1" t="str">
        <f>IFERROR(INDEX('Input Contact Information'!$B$2:$B$200,MATCH(ROW()-1,'Input Contact Information'!$T$2:$T$200,0)),"")</f>
        <v>Ooredoo Qatar</v>
      </c>
      <c r="C5" s="24" t="s">
        <v>197</v>
      </c>
      <c r="D5" s="24" t="s">
        <v>198</v>
      </c>
      <c r="E5" s="24" t="s">
        <v>199</v>
      </c>
      <c r="F5" s="24" t="s">
        <v>200</v>
      </c>
      <c r="G5" s="24" t="s">
        <v>188</v>
      </c>
      <c r="H5" s="1" t="str">
        <f>IFERROR(INDEX('Input Contact Information'!$A$2:$A$200,MATCH($B5,'Input Contact Information'!$B$2:$B$200,0)),"")</f>
        <v>Kyle Strong</v>
      </c>
      <c r="I5" s="24" t="s">
        <v>79</v>
      </c>
      <c r="J5" s="1">
        <f>IF($B5="","",COUNTIFS('Input Contact Information'!$B$2:$B$200,$B5,'Input Contact Information'!$Q$2:$Q$200,"&lt;&gt;"))</f>
        <v>3</v>
      </c>
      <c r="K5" s="1">
        <f ca="1">IF($B5="","",COUNTIFS('Contacts Overview'!$D$2:$D$200,$A5,'Contacts Overview'!$R$2:$R$200,"On Track"))</f>
        <v>0</v>
      </c>
      <c r="L5" s="1">
        <f ca="1">IF($B5="","",COUNTIFS('Contacts Overview'!$D$2:$D$200,$A5,'Contacts Overview'!$R$2:$R$200,"For Review"))</f>
        <v>0</v>
      </c>
      <c r="M5" s="1">
        <f ca="1">IF($B5="","",COUNTIFS('Contacts Overview'!$D$2:$D$200,$A5,'Contacts Overview'!$R$2:$R$200,"Overdue"))</f>
        <v>3</v>
      </c>
    </row>
    <row r="6" spans="1:13" ht="15" customHeight="1" x14ac:dyDescent="0.35">
      <c r="A6" s="13" t="str">
        <f t="shared" si="0"/>
        <v>ACC0005</v>
      </c>
      <c r="B6" s="1" t="str">
        <f>IFERROR(INDEX('Input Contact Information'!$B$2:$B$200,MATCH(ROW()-1,'Input Contact Information'!$T$2:$T$200,0)),"")</f>
        <v>Industries Qatar</v>
      </c>
      <c r="C6" s="24" t="s">
        <v>201</v>
      </c>
      <c r="D6" s="24" t="s">
        <v>202</v>
      </c>
      <c r="E6" s="24" t="s">
        <v>203</v>
      </c>
      <c r="F6" s="24" t="s">
        <v>204</v>
      </c>
      <c r="G6" s="24" t="s">
        <v>188</v>
      </c>
      <c r="H6" s="1" t="str">
        <f>IFERROR(INDEX('Input Contact Information'!$A$2:$A$200,MATCH($B6,'Input Contact Information'!$B$2:$B$200,0)),"")</f>
        <v>Sergey Glushkin</v>
      </c>
      <c r="I6" s="24" t="s">
        <v>118</v>
      </c>
      <c r="J6" s="1">
        <f>IF($B6="","",COUNTIFS('Input Contact Information'!$B$2:$B$200,$B6,'Input Contact Information'!$Q$2:$Q$200,"&lt;&gt;"))</f>
        <v>3</v>
      </c>
      <c r="K6" s="1">
        <f ca="1">IF($B6="","",COUNTIFS('Contacts Overview'!$D$2:$D$200,$A6,'Contacts Overview'!$R$2:$R$200,"On Track"))</f>
        <v>0</v>
      </c>
      <c r="L6" s="1">
        <f ca="1">IF($B6="","",COUNTIFS('Contacts Overview'!$D$2:$D$200,$A6,'Contacts Overview'!$R$2:$R$200,"For Review"))</f>
        <v>1</v>
      </c>
      <c r="M6" s="1">
        <f ca="1">IF($B6="","",COUNTIFS('Contacts Overview'!$D$2:$D$200,$A6,'Contacts Overview'!$R$2:$R$200,"Overdue"))</f>
        <v>2</v>
      </c>
    </row>
    <row r="7" spans="1:13" ht="15" customHeight="1" x14ac:dyDescent="0.35">
      <c r="A7" s="13" t="str">
        <f t="shared" si="0"/>
        <v>ACC0006</v>
      </c>
      <c r="B7" s="1" t="str">
        <f>IFERROR(INDEX('Input Contact Information'!$B$2:$B$200,MATCH(ROW()-1,'Input Contact Information'!$T$2:$T$200,0)),"")</f>
        <v>Commercial Bank of Qatar</v>
      </c>
      <c r="C7" s="24" t="s">
        <v>193</v>
      </c>
      <c r="D7" s="24" t="s">
        <v>205</v>
      </c>
      <c r="E7" s="24" t="s">
        <v>195</v>
      </c>
      <c r="F7" s="24" t="s">
        <v>206</v>
      </c>
      <c r="G7" s="24" t="s">
        <v>188</v>
      </c>
      <c r="H7" s="1" t="str">
        <f>IFERROR(INDEX('Input Contact Information'!$A$2:$A$200,MATCH($B7,'Input Contact Information'!$B$2:$B$200,0)),"")</f>
        <v>Alberto Michelotti</v>
      </c>
      <c r="I7" s="24" t="s">
        <v>126</v>
      </c>
      <c r="J7" s="1">
        <f>IF($B7="","",COUNTIFS('Input Contact Information'!$B$2:$B$200,$B7,'Input Contact Information'!$Q$2:$Q$200,"&lt;&gt;"))</f>
        <v>3</v>
      </c>
      <c r="K7" s="1">
        <f ca="1">IF($B7="","",COUNTIFS('Contacts Overview'!$D$2:$D$200,$A7,'Contacts Overview'!$R$2:$R$200,"On Track"))</f>
        <v>0</v>
      </c>
      <c r="L7" s="1">
        <f ca="1">IF($B7="","",COUNTIFS('Contacts Overview'!$D$2:$D$200,$A7,'Contacts Overview'!$R$2:$R$200,"For Review"))</f>
        <v>1</v>
      </c>
      <c r="M7" s="1">
        <f ca="1">IF($B7="","",COUNTIFS('Contacts Overview'!$D$2:$D$200,$A7,'Contacts Overview'!$R$2:$R$200,"Overdue"))</f>
        <v>2</v>
      </c>
    </row>
    <row r="8" spans="1:13" ht="15" customHeight="1" x14ac:dyDescent="0.35">
      <c r="A8" s="13" t="str">
        <f t="shared" si="0"/>
        <v>ACC0007</v>
      </c>
      <c r="B8" s="1" t="str">
        <f>IFERROR(INDEX('Input Contact Information'!$B$2:$B$200,MATCH(ROW()-1,'Input Contact Information'!$T$2:$T$200,0)),"")</f>
        <v>Doha Bank</v>
      </c>
      <c r="C8" s="24" t="s">
        <v>193</v>
      </c>
      <c r="D8" s="24" t="s">
        <v>207</v>
      </c>
      <c r="E8" s="24" t="s">
        <v>195</v>
      </c>
      <c r="F8" s="24" t="s">
        <v>208</v>
      </c>
      <c r="G8" s="24" t="s">
        <v>188</v>
      </c>
      <c r="H8" s="1" t="str">
        <f>IFERROR(INDEX('Input Contact Information'!$A$2:$A$200,MATCH($B8,'Input Contact Information'!$B$2:$B$200,0)),"")</f>
        <v>Eric Guraieb</v>
      </c>
      <c r="I8" s="24" t="s">
        <v>134</v>
      </c>
      <c r="J8" s="1">
        <f>IF($B8="","",COUNTIFS('Input Contact Information'!$B$2:$B$200,$B8,'Input Contact Information'!$Q$2:$Q$200,"&lt;&gt;"))</f>
        <v>3</v>
      </c>
      <c r="K8" s="1">
        <f ca="1">IF($B8="","",COUNTIFS('Contacts Overview'!$D$2:$D$200,$A8,'Contacts Overview'!$R$2:$R$200,"On Track"))</f>
        <v>0</v>
      </c>
      <c r="L8" s="1">
        <f ca="1">IF($B8="","",COUNTIFS('Contacts Overview'!$D$2:$D$200,$A8,'Contacts Overview'!$R$2:$R$200,"For Review"))</f>
        <v>1</v>
      </c>
      <c r="M8" s="1">
        <f ca="1">IF($B8="","",COUNTIFS('Contacts Overview'!$D$2:$D$200,$A8,'Contacts Overview'!$R$2:$R$200,"Overdue"))</f>
        <v>2</v>
      </c>
    </row>
    <row r="9" spans="1:13" ht="15" customHeight="1" x14ac:dyDescent="0.35">
      <c r="A9" s="13" t="str">
        <f t="shared" si="0"/>
        <v>ACC0008</v>
      </c>
      <c r="B9" s="1" t="str">
        <f>IFERROR(INDEX('Input Contact Information'!$B$2:$B$200,MATCH(ROW()-1,'Input Contact Information'!$T$2:$T$200,0)),"")</f>
        <v>Qatar Insurance Company</v>
      </c>
      <c r="C9" s="24" t="s">
        <v>193</v>
      </c>
      <c r="D9" s="24" t="s">
        <v>209</v>
      </c>
      <c r="E9" s="24" t="s">
        <v>210</v>
      </c>
      <c r="F9" s="24" t="s">
        <v>211</v>
      </c>
      <c r="G9" s="24" t="s">
        <v>188</v>
      </c>
      <c r="H9" s="1" t="str">
        <f>IFERROR(INDEX('Input Contact Information'!$A$2:$A$200,MATCH($B9,'Input Contact Information'!$B$2:$B$200,0)),"")</f>
        <v>Kyle Strong</v>
      </c>
      <c r="I9" s="24" t="s">
        <v>142</v>
      </c>
      <c r="J9" s="1">
        <f>IF($B9="","",COUNTIFS('Input Contact Information'!$B$2:$B$200,$B9,'Input Contact Information'!$Q$2:$Q$200,"&lt;&gt;"))</f>
        <v>3</v>
      </c>
      <c r="K9" s="1">
        <f ca="1">IF($B9="","",COUNTIFS('Contacts Overview'!$D$2:$D$200,$A9,'Contacts Overview'!$R$2:$R$200,"On Track"))</f>
        <v>0</v>
      </c>
      <c r="L9" s="1">
        <f ca="1">IF($B9="","",COUNTIFS('Contacts Overview'!$D$2:$D$200,$A9,'Contacts Overview'!$R$2:$R$200,"For Review"))</f>
        <v>3</v>
      </c>
      <c r="M9" s="1">
        <f ca="1">IF($B9="","",COUNTIFS('Contacts Overview'!$D$2:$D$200,$A9,'Contacts Overview'!$R$2:$R$200,"Overdue"))</f>
        <v>0</v>
      </c>
    </row>
    <row r="10" spans="1:13" ht="15" customHeight="1" x14ac:dyDescent="0.35">
      <c r="A10" s="13" t="str">
        <f t="shared" si="0"/>
        <v>ACC0009</v>
      </c>
      <c r="B10" s="1" t="str">
        <f>IFERROR(INDEX('Input Contact Information'!$B$2:$B$200,MATCH(ROW()-1,'Input Contact Information'!$T$2:$T$200,0)),"")</f>
        <v>Nakilat</v>
      </c>
      <c r="C10" s="24" t="s">
        <v>189</v>
      </c>
      <c r="D10" s="24" t="s">
        <v>212</v>
      </c>
      <c r="E10" s="24" t="s">
        <v>213</v>
      </c>
      <c r="F10" s="24" t="s">
        <v>214</v>
      </c>
      <c r="G10" s="24" t="s">
        <v>188</v>
      </c>
      <c r="H10" s="1" t="str">
        <f>IFERROR(INDEX('Input Contact Information'!$A$2:$A$200,MATCH($B10,'Input Contact Information'!$B$2:$B$200,0)),"")</f>
        <v>Sergey Glushkin</v>
      </c>
      <c r="I10" s="24" t="s">
        <v>152</v>
      </c>
      <c r="J10" s="1">
        <f>IF($B10="","",COUNTIFS('Input Contact Information'!$B$2:$B$200,$B10,'Input Contact Information'!$Q$2:$Q$200,"&lt;&gt;"))</f>
        <v>2</v>
      </c>
      <c r="K10" s="1">
        <f ca="1">IF($B10="","",COUNTIFS('Contacts Overview'!$D$2:$D$200,$A10,'Contacts Overview'!$R$2:$R$200,"On Track"))</f>
        <v>0</v>
      </c>
      <c r="L10" s="1">
        <f ca="1">IF($B10="","",COUNTIFS('Contacts Overview'!$D$2:$D$200,$A10,'Contacts Overview'!$R$2:$R$200,"For Review"))</f>
        <v>1</v>
      </c>
      <c r="M10" s="1">
        <f ca="1">IF($B10="","",COUNTIFS('Contacts Overview'!$D$2:$D$200,$A10,'Contacts Overview'!$R$2:$R$200,"Overdue"))</f>
        <v>1</v>
      </c>
    </row>
    <row r="11" spans="1:13" ht="15" customHeight="1" x14ac:dyDescent="0.35">
      <c r="A11" s="13" t="str">
        <f t="shared" si="0"/>
        <v>ACC0010</v>
      </c>
      <c r="B11" s="1" t="str">
        <f>IFERROR(INDEX('Input Contact Information'!$B$2:$B$200,MATCH(ROW()-1,'Input Contact Information'!$T$2:$T$200,0)),"")</f>
        <v>United Development Company</v>
      </c>
      <c r="C11" s="24" t="s">
        <v>215</v>
      </c>
      <c r="D11" s="24" t="s">
        <v>216</v>
      </c>
      <c r="E11" s="24" t="s">
        <v>217</v>
      </c>
      <c r="F11" s="24" t="s">
        <v>218</v>
      </c>
      <c r="G11" s="24" t="s">
        <v>188</v>
      </c>
      <c r="H11" s="1" t="str">
        <f>IFERROR(INDEX('Input Contact Information'!$A$2:$A$200,MATCH($B11,'Input Contact Information'!$B$2:$B$200,0)),"")</f>
        <v>Naveed Vakil</v>
      </c>
      <c r="I11" s="24" t="s">
        <v>160</v>
      </c>
      <c r="J11" s="1">
        <f>IF($B11="","",COUNTIFS('Input Contact Information'!$B$2:$B$200,$B11,'Input Contact Information'!$Q$2:$Q$200,"&lt;&gt;"))</f>
        <v>3</v>
      </c>
      <c r="K11" s="1">
        <f ca="1">IF($B11="","",COUNTIFS('Contacts Overview'!$D$2:$D$200,$A11,'Contacts Overview'!$R$2:$R$200,"On Track"))</f>
        <v>0</v>
      </c>
      <c r="L11" s="1">
        <f ca="1">IF($B11="","",COUNTIFS('Contacts Overview'!$D$2:$D$200,$A11,'Contacts Overview'!$R$2:$R$200,"For Review"))</f>
        <v>1</v>
      </c>
      <c r="M11" s="1">
        <f ca="1">IF($B11="","",COUNTIFS('Contacts Overview'!$D$2:$D$200,$A11,'Contacts Overview'!$R$2:$R$200,"Overdue"))</f>
        <v>2</v>
      </c>
    </row>
    <row r="12" spans="1:13" ht="15" customHeight="1" x14ac:dyDescent="0.35">
      <c r="A12" s="13" t="str">
        <f t="shared" si="0"/>
        <v>ACC0011</v>
      </c>
      <c r="B12" s="1" t="str">
        <f>IFERROR(INDEX('Input Contact Information'!$B$2:$B$200,MATCH(ROW()-1,'Input Contact Information'!$T$2:$T$200,0)),"")</f>
        <v>Milaha</v>
      </c>
      <c r="C12" s="24" t="s">
        <v>189</v>
      </c>
      <c r="D12" s="24" t="s">
        <v>219</v>
      </c>
      <c r="E12" s="24" t="s">
        <v>213</v>
      </c>
      <c r="F12" s="24" t="s">
        <v>220</v>
      </c>
      <c r="G12" s="24" t="s">
        <v>188</v>
      </c>
      <c r="H12" s="1" t="str">
        <f>IFERROR(INDEX('Input Contact Information'!$A$2:$A$200,MATCH($B12,'Input Contact Information'!$B$2:$B$200,0)),"")</f>
        <v>Reda Jennane</v>
      </c>
      <c r="I12" s="24" t="s">
        <v>221</v>
      </c>
      <c r="J12" s="1">
        <f>IF($B12="","",COUNTIFS('Input Contact Information'!$B$2:$B$200,$B12,'Input Contact Information'!$Q$2:$Q$200,"&lt;&gt;"))</f>
        <v>3</v>
      </c>
      <c r="K12" s="1">
        <f ca="1">IF($B12="","",COUNTIFS('Contacts Overview'!$D$2:$D$200,$A12,'Contacts Overview'!$R$2:$R$200,"On Track"))</f>
        <v>1</v>
      </c>
      <c r="L12" s="1">
        <f ca="1">IF($B12="","",COUNTIFS('Contacts Overview'!$D$2:$D$200,$A12,'Contacts Overview'!$R$2:$R$200,"For Review"))</f>
        <v>1</v>
      </c>
      <c r="M12" s="1">
        <f ca="1">IF($B12="","",COUNTIFS('Contacts Overview'!$D$2:$D$200,$A12,'Contacts Overview'!$R$2:$R$200,"Overdue"))</f>
        <v>1</v>
      </c>
    </row>
    <row r="13" spans="1:13" ht="15" customHeight="1" x14ac:dyDescent="0.35">
      <c r="A13" s="13" t="str">
        <f t="shared" si="0"/>
        <v>ACC0012</v>
      </c>
      <c r="B13" s="1" t="str">
        <f>IFERROR(INDEX('Input Contact Information'!$B$2:$B$200,MATCH(ROW()-1,'Input Contact Information'!$T$2:$T$200,0)),"")</f>
        <v>Baladna</v>
      </c>
      <c r="C13" s="24" t="s">
        <v>222</v>
      </c>
      <c r="D13" s="24" t="s">
        <v>223</v>
      </c>
      <c r="E13" s="24" t="s">
        <v>224</v>
      </c>
      <c r="F13" s="24" t="s">
        <v>225</v>
      </c>
      <c r="G13" s="24" t="s">
        <v>188</v>
      </c>
      <c r="H13" s="1" t="str">
        <f>IFERROR(INDEX('Input Contact Information'!$A$2:$A$200,MATCH($B13,'Input Contact Information'!$B$2:$B$200,0)),"")</f>
        <v>Riccardo Terruzzi</v>
      </c>
      <c r="I13" s="24" t="s">
        <v>226</v>
      </c>
      <c r="J13" s="1">
        <f>IF($B13="","",COUNTIFS('Input Contact Information'!$B$2:$B$200,$B13,'Input Contact Information'!$Q$2:$Q$200,"&lt;&gt;"))</f>
        <v>3</v>
      </c>
      <c r="K13" s="1">
        <f ca="1">IF($B13="","",COUNTIFS('Contacts Overview'!$D$2:$D$200,$A13,'Contacts Overview'!$R$2:$R$200,"On Track"))</f>
        <v>1</v>
      </c>
      <c r="L13" s="1">
        <f ca="1">IF($B13="","",COUNTIFS('Contacts Overview'!$D$2:$D$200,$A13,'Contacts Overview'!$R$2:$R$200,"For Review"))</f>
        <v>1</v>
      </c>
      <c r="M13" s="1">
        <f ca="1">IF($B13="","",COUNTIFS('Contacts Overview'!$D$2:$D$200,$A13,'Contacts Overview'!$R$2:$R$200,"Overdue"))</f>
        <v>1</v>
      </c>
    </row>
    <row r="14" spans="1:13" ht="15" customHeight="1" x14ac:dyDescent="0.35">
      <c r="A14" s="13" t="str">
        <f t="shared" si="0"/>
        <v>ACC0013</v>
      </c>
      <c r="B14" s="1" t="str">
        <f>IFERROR(INDEX('Input Contact Information'!$B$2:$B$200,MATCH(ROW()-1,'Input Contact Information'!$T$2:$T$200,0)),"")</f>
        <v>Emirates Group</v>
      </c>
      <c r="C14" s="24" t="s">
        <v>189</v>
      </c>
      <c r="D14" s="24" t="s">
        <v>227</v>
      </c>
      <c r="E14" s="24" t="s">
        <v>191</v>
      </c>
      <c r="F14" s="24" t="s">
        <v>228</v>
      </c>
      <c r="G14" s="24" t="s">
        <v>229</v>
      </c>
      <c r="H14" s="1" t="str">
        <f>IFERROR(INDEX('Input Contact Information'!$A$2:$A$200,MATCH($B14,'Input Contact Information'!$B$2:$B$200,0)),"")</f>
        <v>Stanislav Gaiduk</v>
      </c>
      <c r="I14" s="24" t="s">
        <v>230</v>
      </c>
      <c r="J14" s="1">
        <f>IF($B14="","",COUNTIFS('Input Contact Information'!$B$2:$B$200,$B14,'Input Contact Information'!$Q$2:$Q$200,"&lt;&gt;"))</f>
        <v>3</v>
      </c>
      <c r="K14" s="1">
        <f ca="1">IF($B14="","",COUNTIFS('Contacts Overview'!$D$2:$D$200,$A14,'Contacts Overview'!$R$2:$R$200,"On Track"))</f>
        <v>1</v>
      </c>
      <c r="L14" s="1">
        <f ca="1">IF($B14="","",COUNTIFS('Contacts Overview'!$D$2:$D$200,$A14,'Contacts Overview'!$R$2:$R$200,"For Review"))</f>
        <v>1</v>
      </c>
      <c r="M14" s="1">
        <f ca="1">IF($B14="","",COUNTIFS('Contacts Overview'!$D$2:$D$200,$A14,'Contacts Overview'!$R$2:$R$200,"Overdue"))</f>
        <v>1</v>
      </c>
    </row>
    <row r="15" spans="1:13" ht="15" customHeight="1" x14ac:dyDescent="0.35">
      <c r="A15" s="13" t="str">
        <f t="shared" si="0"/>
        <v>ACC0014</v>
      </c>
      <c r="B15" s="1" t="str">
        <f>IFERROR(INDEX('Input Contact Information'!$B$2:$B$200,MATCH(ROW()-1,'Input Contact Information'!$T$2:$T$200,0)),"")</f>
        <v>DP World</v>
      </c>
      <c r="C15" s="24" t="s">
        <v>189</v>
      </c>
      <c r="D15" s="24" t="s">
        <v>231</v>
      </c>
      <c r="E15" s="24" t="s">
        <v>232</v>
      </c>
      <c r="F15" s="24" t="s">
        <v>233</v>
      </c>
      <c r="G15" s="24" t="s">
        <v>229</v>
      </c>
      <c r="H15" s="1" t="str">
        <f>IFERROR(INDEX('Input Contact Information'!$A$2:$A$200,MATCH($B15,'Input Contact Information'!$B$2:$B$200,0)),"")</f>
        <v>Badaoui Saroufim</v>
      </c>
      <c r="I15" s="24" t="s">
        <v>234</v>
      </c>
      <c r="J15" s="1">
        <f>IF($B15="","",COUNTIFS('Input Contact Information'!$B$2:$B$200,$B15,'Input Contact Information'!$Q$2:$Q$200,"&lt;&gt;"))</f>
        <v>3</v>
      </c>
      <c r="K15" s="1">
        <f ca="1">IF($B15="","",COUNTIFS('Contacts Overview'!$D$2:$D$200,$A15,'Contacts Overview'!$R$2:$R$200,"On Track"))</f>
        <v>1</v>
      </c>
      <c r="L15" s="1">
        <f ca="1">IF($B15="","",COUNTIFS('Contacts Overview'!$D$2:$D$200,$A15,'Contacts Overview'!$R$2:$R$200,"For Review"))</f>
        <v>1</v>
      </c>
      <c r="M15" s="1">
        <f ca="1">IF($B15="","",COUNTIFS('Contacts Overview'!$D$2:$D$200,$A15,'Contacts Overview'!$R$2:$R$200,"Overdue"))</f>
        <v>1</v>
      </c>
    </row>
    <row r="16" spans="1:13" ht="15" customHeight="1" x14ac:dyDescent="0.35">
      <c r="A16" s="13" t="str">
        <f t="shared" si="0"/>
        <v>ACC0015</v>
      </c>
      <c r="B16" s="1" t="str">
        <f>IFERROR(INDEX('Input Contact Information'!$B$2:$B$200,MATCH(ROW()-1,'Input Contact Information'!$T$2:$T$200,0)),"")</f>
        <v>Emaar Properties</v>
      </c>
      <c r="C16" s="24" t="s">
        <v>215</v>
      </c>
      <c r="D16" s="24" t="s">
        <v>235</v>
      </c>
      <c r="E16" s="24" t="s">
        <v>217</v>
      </c>
      <c r="F16" s="24" t="s">
        <v>236</v>
      </c>
      <c r="G16" s="24" t="s">
        <v>229</v>
      </c>
      <c r="H16" s="1" t="str">
        <f>IFERROR(INDEX('Input Contact Information'!$A$2:$A$200,MATCH($B16,'Input Contact Information'!$B$2:$B$200,0)),"")</f>
        <v>Meher Ben Marzouk</v>
      </c>
      <c r="I16" s="24" t="s">
        <v>237</v>
      </c>
      <c r="J16" s="1">
        <f>IF($B16="","",COUNTIFS('Input Contact Information'!$B$2:$B$200,$B16,'Input Contact Information'!$Q$2:$Q$200,"&lt;&gt;"))</f>
        <v>3</v>
      </c>
      <c r="K16" s="1">
        <f ca="1">IF($B16="","",COUNTIFS('Contacts Overview'!$D$2:$D$200,$A16,'Contacts Overview'!$R$2:$R$200,"On Track"))</f>
        <v>1</v>
      </c>
      <c r="L16" s="1">
        <f ca="1">IF($B16="","",COUNTIFS('Contacts Overview'!$D$2:$D$200,$A16,'Contacts Overview'!$R$2:$R$200,"For Review"))</f>
        <v>1</v>
      </c>
      <c r="M16" s="1">
        <f ca="1">IF($B16="","",COUNTIFS('Contacts Overview'!$D$2:$D$200,$A16,'Contacts Overview'!$R$2:$R$200,"Overdue"))</f>
        <v>1</v>
      </c>
    </row>
    <row r="17" spans="1:13" ht="15" customHeight="1" x14ac:dyDescent="0.35">
      <c r="A17" s="13" t="str">
        <f t="shared" si="0"/>
        <v>ACC0016</v>
      </c>
      <c r="B17" s="1" t="str">
        <f>IFERROR(INDEX('Input Contact Information'!$B$2:$B$200,MATCH(ROW()-1,'Input Contact Information'!$T$2:$T$200,0)),"")</f>
        <v>Invest Qatar</v>
      </c>
      <c r="C17" s="24" t="s">
        <v>238</v>
      </c>
      <c r="D17" s="24" t="s">
        <v>239</v>
      </c>
      <c r="E17" s="24" t="s">
        <v>240</v>
      </c>
      <c r="F17" s="24" t="s">
        <v>241</v>
      </c>
      <c r="G17" s="24" t="s">
        <v>188</v>
      </c>
      <c r="H17" s="1" t="str">
        <f>IFERROR(INDEX('Input Contact Information'!$A$2:$A$200,MATCH($B17,'Input Contact Information'!$B$2:$B$200,0)),"")</f>
        <v>Eric Guraieb</v>
      </c>
      <c r="I17" s="24" t="s">
        <v>118</v>
      </c>
      <c r="J17" s="1">
        <f>IF($B17="","",COUNTIFS('Input Contact Information'!$B$2:$B$200,$B17,'Input Contact Information'!$Q$2:$Q$200,"&lt;&gt;"))</f>
        <v>0</v>
      </c>
      <c r="K17" s="1">
        <f ca="1">IF($B17="","",COUNTIFS('Contacts Overview'!$D$2:$D$200,$A17,'Contacts Overview'!$R$2:$R$200,"On Track"))</f>
        <v>0</v>
      </c>
      <c r="L17" s="1">
        <f ca="1">IF($B17="","",COUNTIFS('Contacts Overview'!$D$2:$D$200,$A17,'Contacts Overview'!$R$2:$R$200,"For Review"))</f>
        <v>0</v>
      </c>
      <c r="M17" s="1">
        <f ca="1">IF($B17="","",COUNTIFS('Contacts Overview'!$D$2:$D$200,$A17,'Contacts Overview'!$R$2:$R$200,"Overdue"))</f>
        <v>0</v>
      </c>
    </row>
    <row r="18" spans="1:13" ht="15" customHeight="1" x14ac:dyDescent="0.35">
      <c r="A18" s="13" t="str">
        <f t="shared" si="0"/>
        <v/>
      </c>
      <c r="B18" s="1" t="str">
        <f>IFERROR(INDEX('Input Contact Information'!$B$2:$B$200,MATCH(ROW()-1,'Input Contact Information'!$T$2:$T$200,0)),"")</f>
        <v/>
      </c>
      <c r="H18" s="1" t="str">
        <f>IFERROR(INDEX('Input Contact Information'!$A$2:$A$200,MATCH($B18,'Input Contact Information'!$B$2:$B$200,0)),"")</f>
        <v/>
      </c>
      <c r="J18" s="1" t="str">
        <f>IF($B18="","",COUNTIFS('Input Contact Information'!$B$2:$B$200,$B18,'Input Contact Information'!$Q$2:$Q$200,"&lt;&gt;"))</f>
        <v/>
      </c>
      <c r="K18" s="1" t="str">
        <f>IF($B18="","",COUNTIFS('Contacts Overview'!$D$2:$D$200,$A18,'Contacts Overview'!$R$2:$R$200,"On Track"))</f>
        <v/>
      </c>
      <c r="L18" s="1" t="str">
        <f>IF($B18="","",COUNTIFS('Contacts Overview'!$D$2:$D$200,$A18,'Contacts Overview'!$R$2:$R$200,"For Review"))</f>
        <v/>
      </c>
      <c r="M18" s="1" t="str">
        <f>IF($B18="","",COUNTIFS('Contacts Overview'!$D$2:$D$200,$A18,'Contacts Overview'!$R$2:$R$200,"Overdue"))</f>
        <v/>
      </c>
    </row>
    <row r="19" spans="1:13" ht="15" customHeight="1" x14ac:dyDescent="0.35">
      <c r="A19" s="13" t="str">
        <f t="shared" si="0"/>
        <v/>
      </c>
      <c r="B19" s="1" t="str">
        <f>IFERROR(INDEX('Input Contact Information'!$B$2:$B$200,MATCH(ROW()-1,'Input Contact Information'!$T$2:$T$200,0)),"")</f>
        <v/>
      </c>
      <c r="H19" s="1" t="str">
        <f>IFERROR(INDEX('Input Contact Information'!$A$2:$A$200,MATCH($B19,'Input Contact Information'!$B$2:$B$200,0)),"")</f>
        <v/>
      </c>
      <c r="J19" s="1" t="str">
        <f>IF($B19="","",COUNTIFS('Input Contact Information'!$B$2:$B$200,$B19,'Input Contact Information'!$Q$2:$Q$200,"&lt;&gt;"))</f>
        <v/>
      </c>
      <c r="K19" s="1" t="str">
        <f>IF($B19="","",COUNTIFS('Contacts Overview'!$D$2:$D$200,$A19,'Contacts Overview'!$R$2:$R$200,"On Track"))</f>
        <v/>
      </c>
      <c r="L19" s="1" t="str">
        <f>IF($B19="","",COUNTIFS('Contacts Overview'!$D$2:$D$200,$A19,'Contacts Overview'!$R$2:$R$200,"For Review"))</f>
        <v/>
      </c>
      <c r="M19" s="1" t="str">
        <f>IF($B19="","",COUNTIFS('Contacts Overview'!$D$2:$D$200,$A19,'Contacts Overview'!$R$2:$R$200,"Overdue"))</f>
        <v/>
      </c>
    </row>
    <row r="20" spans="1:13" ht="15" customHeight="1" x14ac:dyDescent="0.35">
      <c r="A20" s="13" t="str">
        <f t="shared" si="0"/>
        <v/>
      </c>
      <c r="B20" s="1" t="str">
        <f>IFERROR(INDEX('Input Contact Information'!$B$2:$B$200,MATCH(ROW()-1,'Input Contact Information'!$T$2:$T$200,0)),"")</f>
        <v/>
      </c>
      <c r="H20" s="1" t="str">
        <f>IFERROR(INDEX('Input Contact Information'!$A$2:$A$200,MATCH($B20,'Input Contact Information'!$B$2:$B$200,0)),"")</f>
        <v/>
      </c>
      <c r="J20" s="1" t="str">
        <f>IF($B20="","",COUNTIFS('Input Contact Information'!$B$2:$B$200,$B20,'Input Contact Information'!$Q$2:$Q$200,"&lt;&gt;"))</f>
        <v/>
      </c>
      <c r="K20" s="1" t="str">
        <f>IF($B20="","",COUNTIFS('Contacts Overview'!$D$2:$D$200,$A20,'Contacts Overview'!$R$2:$R$200,"On Track"))</f>
        <v/>
      </c>
      <c r="L20" s="1" t="str">
        <f>IF($B20="","",COUNTIFS('Contacts Overview'!$D$2:$D$200,$A20,'Contacts Overview'!$R$2:$R$200,"For Review"))</f>
        <v/>
      </c>
      <c r="M20" s="1" t="str">
        <f>IF($B20="","",COUNTIFS('Contacts Overview'!$D$2:$D$200,$A20,'Contacts Overview'!$R$2:$R$200,"Overdue"))</f>
        <v/>
      </c>
    </row>
    <row r="21" spans="1:13" ht="15" customHeight="1" x14ac:dyDescent="0.35">
      <c r="A21" s="13" t="str">
        <f t="shared" si="0"/>
        <v/>
      </c>
      <c r="B21" s="1" t="str">
        <f>IFERROR(INDEX('Input Contact Information'!$B$2:$B$200,MATCH(ROW()-1,'Input Contact Information'!$T$2:$T$200,0)),"")</f>
        <v/>
      </c>
      <c r="H21" s="1" t="str">
        <f>IFERROR(INDEX('Input Contact Information'!$A$2:$A$200,MATCH($B21,'Input Contact Information'!$B$2:$B$200,0)),"")</f>
        <v/>
      </c>
      <c r="J21" s="1" t="str">
        <f>IF($B21="","",COUNTIFS('Input Contact Information'!$B$2:$B$200,$B21,'Input Contact Information'!$Q$2:$Q$200,"&lt;&gt;"))</f>
        <v/>
      </c>
      <c r="K21" s="1" t="str">
        <f>IF($B21="","",COUNTIFS('Contacts Overview'!$D$2:$D$200,$A21,'Contacts Overview'!$R$2:$R$200,"On Track"))</f>
        <v/>
      </c>
      <c r="L21" s="1" t="str">
        <f>IF($B21="","",COUNTIFS('Contacts Overview'!$D$2:$D$200,$A21,'Contacts Overview'!$R$2:$R$200,"For Review"))</f>
        <v/>
      </c>
      <c r="M21" s="1" t="str">
        <f>IF($B21="","",COUNTIFS('Contacts Overview'!$D$2:$D$200,$A21,'Contacts Overview'!$R$2:$R$200,"Overdue"))</f>
        <v/>
      </c>
    </row>
    <row r="22" spans="1:13" ht="15" customHeight="1" x14ac:dyDescent="0.35">
      <c r="A22" s="13" t="str">
        <f t="shared" si="0"/>
        <v/>
      </c>
      <c r="B22" s="1" t="str">
        <f>IFERROR(INDEX('Input Contact Information'!$B$2:$B$200,MATCH(ROW()-1,'Input Contact Information'!$T$2:$T$200,0)),"")</f>
        <v/>
      </c>
      <c r="H22" s="1" t="str">
        <f>IFERROR(INDEX('Input Contact Information'!$A$2:$A$200,MATCH($B22,'Input Contact Information'!$B$2:$B$200,0)),"")</f>
        <v/>
      </c>
      <c r="J22" s="1" t="str">
        <f>IF($B22="","",COUNTIFS('Input Contact Information'!$B$2:$B$200,$B22,'Input Contact Information'!$Q$2:$Q$200,"&lt;&gt;"))</f>
        <v/>
      </c>
      <c r="K22" s="1" t="str">
        <f>IF($B22="","",COUNTIFS('Contacts Overview'!$D$2:$D$200,$A22,'Contacts Overview'!$R$2:$R$200,"On Track"))</f>
        <v/>
      </c>
      <c r="L22" s="1" t="str">
        <f>IF($B22="","",COUNTIFS('Contacts Overview'!$D$2:$D$200,$A22,'Contacts Overview'!$R$2:$R$200,"For Review"))</f>
        <v/>
      </c>
      <c r="M22" s="1" t="str">
        <f>IF($B22="","",COUNTIFS('Contacts Overview'!$D$2:$D$200,$A22,'Contacts Overview'!$R$2:$R$200,"Overdue"))</f>
        <v/>
      </c>
    </row>
    <row r="23" spans="1:13" ht="15" customHeight="1" x14ac:dyDescent="0.35">
      <c r="A23" s="13" t="str">
        <f t="shared" si="0"/>
        <v/>
      </c>
      <c r="B23" s="1" t="str">
        <f>IFERROR(INDEX('Input Contact Information'!$B$2:$B$200,MATCH(ROW()-1,'Input Contact Information'!$T$2:$T$200,0)),"")</f>
        <v/>
      </c>
      <c r="H23" s="1" t="str">
        <f>IFERROR(INDEX('Input Contact Information'!$A$2:$A$200,MATCH($B23,'Input Contact Information'!$B$2:$B$200,0)),"")</f>
        <v/>
      </c>
      <c r="J23" s="1" t="str">
        <f>IF($B23="","",COUNTIFS('Input Contact Information'!$B$2:$B$200,$B23,'Input Contact Information'!$Q$2:$Q$200,"&lt;&gt;"))</f>
        <v/>
      </c>
      <c r="K23" s="1" t="str">
        <f>IF($B23="","",COUNTIFS('Contacts Overview'!$D$2:$D$200,$A23,'Contacts Overview'!$R$2:$R$200,"On Track"))</f>
        <v/>
      </c>
      <c r="L23" s="1" t="str">
        <f>IF($B23="","",COUNTIFS('Contacts Overview'!$D$2:$D$200,$A23,'Contacts Overview'!$R$2:$R$200,"For Review"))</f>
        <v/>
      </c>
      <c r="M23" s="1" t="str">
        <f>IF($B23="","",COUNTIFS('Contacts Overview'!$D$2:$D$200,$A23,'Contacts Overview'!$R$2:$R$200,"Overdue"))</f>
        <v/>
      </c>
    </row>
    <row r="24" spans="1:13" ht="15" customHeight="1" x14ac:dyDescent="0.35">
      <c r="A24" s="13" t="str">
        <f t="shared" si="0"/>
        <v/>
      </c>
      <c r="B24" s="1" t="str">
        <f>IFERROR(INDEX('Input Contact Information'!$B$2:$B$200,MATCH(ROW()-1,'Input Contact Information'!$T$2:$T$200,0)),"")</f>
        <v/>
      </c>
      <c r="H24" s="1" t="str">
        <f>IFERROR(INDEX('Input Contact Information'!$A$2:$A$200,MATCH($B24,'Input Contact Information'!$B$2:$B$200,0)),"")</f>
        <v/>
      </c>
      <c r="J24" s="1" t="str">
        <f>IF($B24="","",COUNTIFS('Input Contact Information'!$B$2:$B$200,$B24,'Input Contact Information'!$Q$2:$Q$200,"&lt;&gt;"))</f>
        <v/>
      </c>
      <c r="K24" s="1" t="str">
        <f>IF($B24="","",COUNTIFS('Contacts Overview'!$D$2:$D$200,$A24,'Contacts Overview'!$R$2:$R$200,"On Track"))</f>
        <v/>
      </c>
      <c r="L24" s="1" t="str">
        <f>IF($B24="","",COUNTIFS('Contacts Overview'!$D$2:$D$200,$A24,'Contacts Overview'!$R$2:$R$200,"For Review"))</f>
        <v/>
      </c>
      <c r="M24" s="1" t="str">
        <f>IF($B24="","",COUNTIFS('Contacts Overview'!$D$2:$D$200,$A24,'Contacts Overview'!$R$2:$R$200,"Overdue"))</f>
        <v/>
      </c>
    </row>
    <row r="25" spans="1:13" ht="15" customHeight="1" x14ac:dyDescent="0.35">
      <c r="A25" s="13" t="str">
        <f t="shared" si="0"/>
        <v/>
      </c>
      <c r="B25" s="1" t="str">
        <f>IFERROR(INDEX('Input Contact Information'!$B$2:$B$200,MATCH(ROW()-1,'Input Contact Information'!$T$2:$T$200,0)),"")</f>
        <v/>
      </c>
      <c r="H25" s="1" t="str">
        <f>IFERROR(INDEX('Input Contact Information'!$A$2:$A$200,MATCH($B25,'Input Contact Information'!$B$2:$B$200,0)),"")</f>
        <v/>
      </c>
      <c r="J25" s="1" t="str">
        <f>IF($B25="","",COUNTIFS('Input Contact Information'!$B$2:$B$200,$B25,'Input Contact Information'!$Q$2:$Q$200,"&lt;&gt;"))</f>
        <v/>
      </c>
      <c r="K25" s="1" t="str">
        <f>IF($B25="","",COUNTIFS('Contacts Overview'!$D$2:$D$200,$A25,'Contacts Overview'!$R$2:$R$200,"On Track"))</f>
        <v/>
      </c>
      <c r="L25" s="1" t="str">
        <f>IF($B25="","",COUNTIFS('Contacts Overview'!$D$2:$D$200,$A25,'Contacts Overview'!$R$2:$R$200,"For Review"))</f>
        <v/>
      </c>
      <c r="M25" s="1" t="str">
        <f>IF($B25="","",COUNTIFS('Contacts Overview'!$D$2:$D$200,$A25,'Contacts Overview'!$R$2:$R$200,"Overdue"))</f>
        <v/>
      </c>
    </row>
    <row r="26" spans="1:13" ht="15" customHeight="1" x14ac:dyDescent="0.35">
      <c r="A26" s="13" t="str">
        <f t="shared" si="0"/>
        <v/>
      </c>
      <c r="B26" s="1" t="str">
        <f>IFERROR(INDEX('Input Contact Information'!$B$2:$B$200,MATCH(ROW()-1,'Input Contact Information'!$T$2:$T$200,0)),"")</f>
        <v/>
      </c>
      <c r="H26" s="1" t="str">
        <f>IFERROR(INDEX('Input Contact Information'!$A$2:$A$200,MATCH($B26,'Input Contact Information'!$B$2:$B$200,0)),"")</f>
        <v/>
      </c>
      <c r="J26" s="1" t="str">
        <f>IF($B26="","",COUNTIFS('Input Contact Information'!$B$2:$B$200,$B26,'Input Contact Information'!$Q$2:$Q$200,"&lt;&gt;"))</f>
        <v/>
      </c>
      <c r="K26" s="1" t="str">
        <f>IF($B26="","",COUNTIFS('Contacts Overview'!$D$2:$D$200,$A26,'Contacts Overview'!$R$2:$R$200,"On Track"))</f>
        <v/>
      </c>
      <c r="L26" s="1" t="str">
        <f>IF($B26="","",COUNTIFS('Contacts Overview'!$D$2:$D$200,$A26,'Contacts Overview'!$R$2:$R$200,"For Review"))</f>
        <v/>
      </c>
      <c r="M26" s="1" t="str">
        <f>IF($B26="","",COUNTIFS('Contacts Overview'!$D$2:$D$200,$A26,'Contacts Overview'!$R$2:$R$200,"Overdue"))</f>
        <v/>
      </c>
    </row>
    <row r="27" spans="1:13" ht="15" customHeight="1" x14ac:dyDescent="0.35">
      <c r="A27" s="13" t="str">
        <f t="shared" si="0"/>
        <v/>
      </c>
      <c r="B27" s="1" t="str">
        <f>IFERROR(INDEX('Input Contact Information'!$B$2:$B$200,MATCH(ROW()-1,'Input Contact Information'!$T$2:$T$200,0)),"")</f>
        <v/>
      </c>
      <c r="H27" s="1" t="str">
        <f>IFERROR(INDEX('Input Contact Information'!$A$2:$A$200,MATCH($B27,'Input Contact Information'!$B$2:$B$200,0)),"")</f>
        <v/>
      </c>
      <c r="J27" s="1" t="str">
        <f>IF($B27="","",COUNTIFS('Input Contact Information'!$B$2:$B$200,$B27,'Input Contact Information'!$Q$2:$Q$200,"&lt;&gt;"))</f>
        <v/>
      </c>
      <c r="K27" s="1" t="str">
        <f>IF($B27="","",COUNTIFS('Contacts Overview'!$D$2:$D$200,$A27,'Contacts Overview'!$R$2:$R$200,"On Track"))</f>
        <v/>
      </c>
      <c r="L27" s="1" t="str">
        <f>IF($B27="","",COUNTIFS('Contacts Overview'!$D$2:$D$200,$A27,'Contacts Overview'!$R$2:$R$200,"For Review"))</f>
        <v/>
      </c>
      <c r="M27" s="1" t="str">
        <f>IF($B27="","",COUNTIFS('Contacts Overview'!$D$2:$D$200,$A27,'Contacts Overview'!$R$2:$R$200,"Overdue"))</f>
        <v/>
      </c>
    </row>
    <row r="28" spans="1:13" ht="15" customHeight="1" x14ac:dyDescent="0.35">
      <c r="A28" s="13" t="str">
        <f t="shared" si="0"/>
        <v/>
      </c>
      <c r="B28" s="1" t="str">
        <f>IFERROR(INDEX('Input Contact Information'!$B$2:$B$200,MATCH(ROW()-1,'Input Contact Information'!$T$2:$T$200,0)),"")</f>
        <v/>
      </c>
      <c r="H28" s="1" t="str">
        <f>IFERROR(INDEX('Input Contact Information'!$A$2:$A$200,MATCH($B28,'Input Contact Information'!$B$2:$B$200,0)),"")</f>
        <v/>
      </c>
      <c r="J28" s="1" t="str">
        <f>IF($B28="","",COUNTIFS('Input Contact Information'!$B$2:$B$200,$B28,'Input Contact Information'!$Q$2:$Q$200,"&lt;&gt;"))</f>
        <v/>
      </c>
      <c r="K28" s="1" t="str">
        <f>IF($B28="","",COUNTIFS('Contacts Overview'!$D$2:$D$200,$A28,'Contacts Overview'!$R$2:$R$200,"On Track"))</f>
        <v/>
      </c>
      <c r="L28" s="1" t="str">
        <f>IF($B28="","",COUNTIFS('Contacts Overview'!$D$2:$D$200,$A28,'Contacts Overview'!$R$2:$R$200,"For Review"))</f>
        <v/>
      </c>
      <c r="M28" s="1" t="str">
        <f>IF($B28="","",COUNTIFS('Contacts Overview'!$D$2:$D$200,$A28,'Contacts Overview'!$R$2:$R$200,"Overdue"))</f>
        <v/>
      </c>
    </row>
    <row r="29" spans="1:13" ht="15" customHeight="1" x14ac:dyDescent="0.35">
      <c r="A29" s="13" t="str">
        <f t="shared" si="0"/>
        <v/>
      </c>
      <c r="B29" s="1" t="str">
        <f>IFERROR(INDEX('Input Contact Information'!$B$2:$B$200,MATCH(ROW()-1,'Input Contact Information'!$T$2:$T$200,0)),"")</f>
        <v/>
      </c>
      <c r="H29" s="1" t="str">
        <f>IFERROR(INDEX('Input Contact Information'!$A$2:$A$200,MATCH($B29,'Input Contact Information'!$B$2:$B$200,0)),"")</f>
        <v/>
      </c>
      <c r="J29" s="1" t="str">
        <f>IF($B29="","",COUNTIFS('Input Contact Information'!$B$2:$B$200,$B29,'Input Contact Information'!$Q$2:$Q$200,"&lt;&gt;"))</f>
        <v/>
      </c>
      <c r="K29" s="1" t="str">
        <f>IF($B29="","",COUNTIFS('Contacts Overview'!$D$2:$D$200,$A29,'Contacts Overview'!$R$2:$R$200,"On Track"))</f>
        <v/>
      </c>
      <c r="L29" s="1" t="str">
        <f>IF($B29="","",COUNTIFS('Contacts Overview'!$D$2:$D$200,$A29,'Contacts Overview'!$R$2:$R$200,"For Review"))</f>
        <v/>
      </c>
      <c r="M29" s="1" t="str">
        <f>IF($B29="","",COUNTIFS('Contacts Overview'!$D$2:$D$200,$A29,'Contacts Overview'!$R$2:$R$200,"Overdue"))</f>
        <v/>
      </c>
    </row>
    <row r="30" spans="1:13" ht="15" customHeight="1" x14ac:dyDescent="0.35">
      <c r="A30" s="13" t="str">
        <f t="shared" si="0"/>
        <v/>
      </c>
      <c r="B30" s="1" t="str">
        <f>IFERROR(INDEX('Input Contact Information'!$B$2:$B$200,MATCH(ROW()-1,'Input Contact Information'!$T$2:$T$200,0)),"")</f>
        <v/>
      </c>
      <c r="H30" s="1" t="str">
        <f>IFERROR(INDEX('Input Contact Information'!$A$2:$A$200,MATCH($B30,'Input Contact Information'!$B$2:$B$200,0)),"")</f>
        <v/>
      </c>
      <c r="J30" s="1" t="str">
        <f>IF($B30="","",COUNTIFS('Input Contact Information'!$B$2:$B$200,$B30,'Input Contact Information'!$Q$2:$Q$200,"&lt;&gt;"))</f>
        <v/>
      </c>
      <c r="K30" s="1" t="str">
        <f>IF($B30="","",COUNTIFS('Contacts Overview'!$D$2:$D$200,$A30,'Contacts Overview'!$R$2:$R$200,"On Track"))</f>
        <v/>
      </c>
      <c r="L30" s="1" t="str">
        <f>IF($B30="","",COUNTIFS('Contacts Overview'!$D$2:$D$200,$A30,'Contacts Overview'!$R$2:$R$200,"For Review"))</f>
        <v/>
      </c>
      <c r="M30" s="1" t="str">
        <f>IF($B30="","",COUNTIFS('Contacts Overview'!$D$2:$D$200,$A30,'Contacts Overview'!$R$2:$R$200,"Overdue"))</f>
        <v/>
      </c>
    </row>
    <row r="31" spans="1:13" ht="15" customHeight="1" x14ac:dyDescent="0.35">
      <c r="A31" s="13" t="str">
        <f t="shared" si="0"/>
        <v/>
      </c>
      <c r="B31" s="1" t="str">
        <f>IFERROR(INDEX('Input Contact Information'!$B$2:$B$200,MATCH(ROW()-1,'Input Contact Information'!$T$2:$T$200,0)),"")</f>
        <v/>
      </c>
      <c r="H31" s="1" t="str">
        <f>IFERROR(INDEX('Input Contact Information'!$A$2:$A$200,MATCH($B31,'Input Contact Information'!$B$2:$B$200,0)),"")</f>
        <v/>
      </c>
      <c r="J31" s="1" t="str">
        <f>IF($B31="","",COUNTIFS('Input Contact Information'!$B$2:$B$200,$B31,'Input Contact Information'!$Q$2:$Q$200,"&lt;&gt;"))</f>
        <v/>
      </c>
      <c r="K31" s="1" t="str">
        <f>IF($B31="","",COUNTIFS('Contacts Overview'!$D$2:$D$200,$A31,'Contacts Overview'!$R$2:$R$200,"On Track"))</f>
        <v/>
      </c>
      <c r="L31" s="1" t="str">
        <f>IF($B31="","",COUNTIFS('Contacts Overview'!$D$2:$D$200,$A31,'Contacts Overview'!$R$2:$R$200,"For Review"))</f>
        <v/>
      </c>
      <c r="M31" s="1" t="str">
        <f>IF($B31="","",COUNTIFS('Contacts Overview'!$D$2:$D$200,$A31,'Contacts Overview'!$R$2:$R$200,"Overdue"))</f>
        <v/>
      </c>
    </row>
    <row r="32" spans="1:13" ht="15" customHeight="1" x14ac:dyDescent="0.35">
      <c r="A32" s="13" t="str">
        <f t="shared" si="0"/>
        <v/>
      </c>
      <c r="B32" s="1" t="str">
        <f>IFERROR(INDEX('Input Contact Information'!$B$2:$B$200,MATCH(ROW()-1,'Input Contact Information'!$T$2:$T$200,0)),"")</f>
        <v/>
      </c>
      <c r="H32" s="1" t="str">
        <f>IFERROR(INDEX('Input Contact Information'!$A$2:$A$200,MATCH($B32,'Input Contact Information'!$B$2:$B$200,0)),"")</f>
        <v/>
      </c>
      <c r="J32" s="1" t="str">
        <f>IF($B32="","",COUNTIFS('Input Contact Information'!$B$2:$B$200,$B32,'Input Contact Information'!$Q$2:$Q$200,"&lt;&gt;"))</f>
        <v/>
      </c>
      <c r="K32" s="1" t="str">
        <f>IF($B32="","",COUNTIFS('Contacts Overview'!$D$2:$D$200,$A32,'Contacts Overview'!$R$2:$R$200,"On Track"))</f>
        <v/>
      </c>
      <c r="L32" s="1" t="str">
        <f>IF($B32="","",COUNTIFS('Contacts Overview'!$D$2:$D$200,$A32,'Contacts Overview'!$R$2:$R$200,"For Review"))</f>
        <v/>
      </c>
      <c r="M32" s="1" t="str">
        <f>IF($B32="","",COUNTIFS('Contacts Overview'!$D$2:$D$200,$A32,'Contacts Overview'!$R$2:$R$200,"Overdue"))</f>
        <v/>
      </c>
    </row>
    <row r="33" spans="1:13" ht="15" customHeight="1" x14ac:dyDescent="0.35">
      <c r="A33" s="13" t="str">
        <f t="shared" si="0"/>
        <v/>
      </c>
      <c r="B33" s="1" t="str">
        <f>IFERROR(INDEX('Input Contact Information'!$B$2:$B$200,MATCH(ROW()-1,'Input Contact Information'!$T$2:$T$200,0)),"")</f>
        <v/>
      </c>
      <c r="H33" s="1" t="str">
        <f>IFERROR(INDEX('Input Contact Information'!$A$2:$A$200,MATCH($B33,'Input Contact Information'!$B$2:$B$200,0)),"")</f>
        <v/>
      </c>
      <c r="J33" s="1" t="str">
        <f>IF($B33="","",COUNTIFS('Input Contact Information'!$B$2:$B$200,$B33,'Input Contact Information'!$Q$2:$Q$200,"&lt;&gt;"))</f>
        <v/>
      </c>
      <c r="K33" s="1" t="str">
        <f>IF($B33="","",COUNTIFS('Contacts Overview'!$D$2:$D$200,$A33,'Contacts Overview'!$R$2:$R$200,"On Track"))</f>
        <v/>
      </c>
      <c r="L33" s="1" t="str">
        <f>IF($B33="","",COUNTIFS('Contacts Overview'!$D$2:$D$200,$A33,'Contacts Overview'!$R$2:$R$200,"For Review"))</f>
        <v/>
      </c>
      <c r="M33" s="1" t="str">
        <f>IF($B33="","",COUNTIFS('Contacts Overview'!$D$2:$D$200,$A33,'Contacts Overview'!$R$2:$R$200,"Overdue"))</f>
        <v/>
      </c>
    </row>
    <row r="34" spans="1:13" ht="15" customHeight="1" x14ac:dyDescent="0.35">
      <c r="A34" s="13" t="str">
        <f t="shared" ref="A34:A65" si="1">IF(B34="","","ACC"&amp;TEXT(ROW()-1,"0000"))</f>
        <v/>
      </c>
      <c r="B34" s="1" t="str">
        <f>IFERROR(INDEX('Input Contact Information'!$B$2:$B$200,MATCH(ROW()-1,'Input Contact Information'!$T$2:$T$200,0)),"")</f>
        <v/>
      </c>
      <c r="H34" s="1" t="str">
        <f>IFERROR(INDEX('Input Contact Information'!$A$2:$A$200,MATCH($B34,'Input Contact Information'!$B$2:$B$200,0)),"")</f>
        <v/>
      </c>
      <c r="J34" s="1" t="str">
        <f>IF($B34="","",COUNTIFS('Input Contact Information'!$B$2:$B$200,$B34,'Input Contact Information'!$Q$2:$Q$200,"&lt;&gt;"))</f>
        <v/>
      </c>
      <c r="K34" s="1" t="str">
        <f>IF($B34="","",COUNTIFS('Contacts Overview'!$D$2:$D$200,$A34,'Contacts Overview'!$R$2:$R$200,"On Track"))</f>
        <v/>
      </c>
      <c r="L34" s="1" t="str">
        <f>IF($B34="","",COUNTIFS('Contacts Overview'!$D$2:$D$200,$A34,'Contacts Overview'!$R$2:$R$200,"For Review"))</f>
        <v/>
      </c>
      <c r="M34" s="1" t="str">
        <f>IF($B34="","",COUNTIFS('Contacts Overview'!$D$2:$D$200,$A34,'Contacts Overview'!$R$2:$R$200,"Overdue"))</f>
        <v/>
      </c>
    </row>
    <row r="35" spans="1:13" ht="15" customHeight="1" x14ac:dyDescent="0.35">
      <c r="A35" s="13" t="str">
        <f t="shared" si="1"/>
        <v/>
      </c>
      <c r="B35" s="1" t="str">
        <f>IFERROR(INDEX('Input Contact Information'!$B$2:$B$200,MATCH(ROW()-1,'Input Contact Information'!$T$2:$T$200,0)),"")</f>
        <v/>
      </c>
      <c r="H35" s="1" t="str">
        <f>IFERROR(INDEX('Input Contact Information'!$A$2:$A$200,MATCH($B35,'Input Contact Information'!$B$2:$B$200,0)),"")</f>
        <v/>
      </c>
      <c r="J35" s="1" t="str">
        <f>IF($B35="","",COUNTIFS('Input Contact Information'!$B$2:$B$200,$B35,'Input Contact Information'!$Q$2:$Q$200,"&lt;&gt;"))</f>
        <v/>
      </c>
      <c r="K35" s="1" t="str">
        <f>IF($B35="","",COUNTIFS('Contacts Overview'!$D$2:$D$200,$A35,'Contacts Overview'!$R$2:$R$200,"On Track"))</f>
        <v/>
      </c>
      <c r="L35" s="1" t="str">
        <f>IF($B35="","",COUNTIFS('Contacts Overview'!$D$2:$D$200,$A35,'Contacts Overview'!$R$2:$R$200,"For Review"))</f>
        <v/>
      </c>
      <c r="M35" s="1" t="str">
        <f>IF($B35="","",COUNTIFS('Contacts Overview'!$D$2:$D$200,$A35,'Contacts Overview'!$R$2:$R$200,"Overdue"))</f>
        <v/>
      </c>
    </row>
    <row r="36" spans="1:13" ht="15" customHeight="1" x14ac:dyDescent="0.35">
      <c r="A36" s="13" t="str">
        <f t="shared" si="1"/>
        <v/>
      </c>
      <c r="B36" s="1" t="str">
        <f>IFERROR(INDEX('Input Contact Information'!$B$2:$B$200,MATCH(ROW()-1,'Input Contact Information'!$T$2:$T$200,0)),"")</f>
        <v/>
      </c>
      <c r="H36" s="1" t="str">
        <f>IFERROR(INDEX('Input Contact Information'!$A$2:$A$200,MATCH($B36,'Input Contact Information'!$B$2:$B$200,0)),"")</f>
        <v/>
      </c>
      <c r="J36" s="1" t="str">
        <f>IF($B36="","",COUNTIFS('Input Contact Information'!$B$2:$B$200,$B36,'Input Contact Information'!$Q$2:$Q$200,"&lt;&gt;"))</f>
        <v/>
      </c>
      <c r="K36" s="1" t="str">
        <f>IF($B36="","",COUNTIFS('Contacts Overview'!$D$2:$D$200,$A36,'Contacts Overview'!$R$2:$R$200,"On Track"))</f>
        <v/>
      </c>
      <c r="L36" s="1" t="str">
        <f>IF($B36="","",COUNTIFS('Contacts Overview'!$D$2:$D$200,$A36,'Contacts Overview'!$R$2:$R$200,"For Review"))</f>
        <v/>
      </c>
      <c r="M36" s="1" t="str">
        <f>IF($B36="","",COUNTIFS('Contacts Overview'!$D$2:$D$200,$A36,'Contacts Overview'!$R$2:$R$200,"Overdue"))</f>
        <v/>
      </c>
    </row>
    <row r="37" spans="1:13" ht="15" customHeight="1" x14ac:dyDescent="0.35">
      <c r="A37" s="13" t="str">
        <f t="shared" si="1"/>
        <v/>
      </c>
      <c r="B37" s="1" t="str">
        <f>IFERROR(INDEX('Input Contact Information'!$B$2:$B$200,MATCH(ROW()-1,'Input Contact Information'!$T$2:$T$200,0)),"")</f>
        <v/>
      </c>
      <c r="H37" s="1" t="str">
        <f>IFERROR(INDEX('Input Contact Information'!$A$2:$A$200,MATCH($B37,'Input Contact Information'!$B$2:$B$200,0)),"")</f>
        <v/>
      </c>
      <c r="J37" s="1" t="str">
        <f>IF($B37="","",COUNTIFS('Input Contact Information'!$B$2:$B$200,$B37,'Input Contact Information'!$Q$2:$Q$200,"&lt;&gt;"))</f>
        <v/>
      </c>
      <c r="K37" s="1" t="str">
        <f>IF($B37="","",COUNTIFS('Contacts Overview'!$D$2:$D$200,$A37,'Contacts Overview'!$R$2:$R$200,"On Track"))</f>
        <v/>
      </c>
      <c r="L37" s="1" t="str">
        <f>IF($B37="","",COUNTIFS('Contacts Overview'!$D$2:$D$200,$A37,'Contacts Overview'!$R$2:$R$200,"For Review"))</f>
        <v/>
      </c>
      <c r="M37" s="1" t="str">
        <f>IF($B37="","",COUNTIFS('Contacts Overview'!$D$2:$D$200,$A37,'Contacts Overview'!$R$2:$R$200,"Overdue"))</f>
        <v/>
      </c>
    </row>
    <row r="38" spans="1:13" ht="15" customHeight="1" x14ac:dyDescent="0.35">
      <c r="A38" s="13" t="str">
        <f t="shared" si="1"/>
        <v/>
      </c>
      <c r="B38" s="1" t="str">
        <f>IFERROR(INDEX('Input Contact Information'!$B$2:$B$200,MATCH(ROW()-1,'Input Contact Information'!$T$2:$T$200,0)),"")</f>
        <v/>
      </c>
      <c r="H38" s="1" t="str">
        <f>IFERROR(INDEX('Input Contact Information'!$A$2:$A$200,MATCH($B38,'Input Contact Information'!$B$2:$B$200,0)),"")</f>
        <v/>
      </c>
      <c r="J38" s="1" t="str">
        <f>IF($B38="","",COUNTIFS('Input Contact Information'!$B$2:$B$200,$B38,'Input Contact Information'!$Q$2:$Q$200,"&lt;&gt;"))</f>
        <v/>
      </c>
      <c r="K38" s="1" t="str">
        <f>IF($B38="","",COUNTIFS('Contacts Overview'!$D$2:$D$200,$A38,'Contacts Overview'!$R$2:$R$200,"On Track"))</f>
        <v/>
      </c>
      <c r="L38" s="1" t="str">
        <f>IF($B38="","",COUNTIFS('Contacts Overview'!$D$2:$D$200,$A38,'Contacts Overview'!$R$2:$R$200,"For Review"))</f>
        <v/>
      </c>
      <c r="M38" s="1" t="str">
        <f>IF($B38="","",COUNTIFS('Contacts Overview'!$D$2:$D$200,$A38,'Contacts Overview'!$R$2:$R$200,"Overdue"))</f>
        <v/>
      </c>
    </row>
    <row r="39" spans="1:13" ht="15" customHeight="1" x14ac:dyDescent="0.35">
      <c r="A39" s="13" t="str">
        <f t="shared" si="1"/>
        <v/>
      </c>
      <c r="B39" s="1" t="str">
        <f>IFERROR(INDEX('Input Contact Information'!$B$2:$B$200,MATCH(ROW()-1,'Input Contact Information'!$T$2:$T$200,0)),"")</f>
        <v/>
      </c>
      <c r="H39" s="1" t="str">
        <f>IFERROR(INDEX('Input Contact Information'!$A$2:$A$200,MATCH($B39,'Input Contact Information'!$B$2:$B$200,0)),"")</f>
        <v/>
      </c>
      <c r="J39" s="1" t="str">
        <f>IF($B39="","",COUNTIFS('Input Contact Information'!$B$2:$B$200,$B39,'Input Contact Information'!$Q$2:$Q$200,"&lt;&gt;"))</f>
        <v/>
      </c>
      <c r="K39" s="1" t="str">
        <f>IF($B39="","",COUNTIFS('Contacts Overview'!$D$2:$D$200,$A39,'Contacts Overview'!$R$2:$R$200,"On Track"))</f>
        <v/>
      </c>
      <c r="L39" s="1" t="str">
        <f>IF($B39="","",COUNTIFS('Contacts Overview'!$D$2:$D$200,$A39,'Contacts Overview'!$R$2:$R$200,"For Review"))</f>
        <v/>
      </c>
      <c r="M39" s="1" t="str">
        <f>IF($B39="","",COUNTIFS('Contacts Overview'!$D$2:$D$200,$A39,'Contacts Overview'!$R$2:$R$200,"Overdue"))</f>
        <v/>
      </c>
    </row>
    <row r="40" spans="1:13" ht="15" customHeight="1" x14ac:dyDescent="0.35">
      <c r="A40" s="13" t="str">
        <f t="shared" si="1"/>
        <v/>
      </c>
      <c r="B40" s="1" t="str">
        <f>IFERROR(INDEX('Input Contact Information'!$B$2:$B$200,MATCH(ROW()-1,'Input Contact Information'!$T$2:$T$200,0)),"")</f>
        <v/>
      </c>
      <c r="H40" s="1" t="str">
        <f>IFERROR(INDEX('Input Contact Information'!$A$2:$A$200,MATCH($B40,'Input Contact Information'!$B$2:$B$200,0)),"")</f>
        <v/>
      </c>
      <c r="J40" s="1" t="str">
        <f>IF($B40="","",COUNTIFS('Input Contact Information'!$B$2:$B$200,$B40,'Input Contact Information'!$Q$2:$Q$200,"&lt;&gt;"))</f>
        <v/>
      </c>
      <c r="K40" s="1" t="str">
        <f>IF($B40="","",COUNTIFS('Contacts Overview'!$D$2:$D$200,$A40,'Contacts Overview'!$R$2:$R$200,"On Track"))</f>
        <v/>
      </c>
      <c r="L40" s="1" t="str">
        <f>IF($B40="","",COUNTIFS('Contacts Overview'!$D$2:$D$200,$A40,'Contacts Overview'!$R$2:$R$200,"For Review"))</f>
        <v/>
      </c>
      <c r="M40" s="1" t="str">
        <f>IF($B40="","",COUNTIFS('Contacts Overview'!$D$2:$D$200,$A40,'Contacts Overview'!$R$2:$R$200,"Overdue"))</f>
        <v/>
      </c>
    </row>
    <row r="41" spans="1:13" ht="15" customHeight="1" x14ac:dyDescent="0.35">
      <c r="A41" s="13" t="str">
        <f t="shared" si="1"/>
        <v/>
      </c>
      <c r="B41" s="1" t="str">
        <f>IFERROR(INDEX('Input Contact Information'!$B$2:$B$200,MATCH(ROW()-1,'Input Contact Information'!$T$2:$T$200,0)),"")</f>
        <v/>
      </c>
      <c r="H41" s="1" t="str">
        <f>IFERROR(INDEX('Input Contact Information'!$A$2:$A$200,MATCH($B41,'Input Contact Information'!$B$2:$B$200,0)),"")</f>
        <v/>
      </c>
      <c r="J41" s="1" t="str">
        <f>IF($B41="","",COUNTIFS('Input Contact Information'!$B$2:$B$200,$B41,'Input Contact Information'!$Q$2:$Q$200,"&lt;&gt;"))</f>
        <v/>
      </c>
      <c r="K41" s="1" t="str">
        <f>IF($B41="","",COUNTIFS('Contacts Overview'!$D$2:$D$200,$A41,'Contacts Overview'!$R$2:$R$200,"On Track"))</f>
        <v/>
      </c>
      <c r="L41" s="1" t="str">
        <f>IF($B41="","",COUNTIFS('Contacts Overview'!$D$2:$D$200,$A41,'Contacts Overview'!$R$2:$R$200,"For Review"))</f>
        <v/>
      </c>
      <c r="M41" s="1" t="str">
        <f>IF($B41="","",COUNTIFS('Contacts Overview'!$D$2:$D$200,$A41,'Contacts Overview'!$R$2:$R$200,"Overdue"))</f>
        <v/>
      </c>
    </row>
    <row r="42" spans="1:13" ht="15" customHeight="1" x14ac:dyDescent="0.35">
      <c r="A42" s="13" t="str">
        <f t="shared" si="1"/>
        <v/>
      </c>
      <c r="B42" s="1" t="str">
        <f>IFERROR(INDEX('Input Contact Information'!$B$2:$B$200,MATCH(ROW()-1,'Input Contact Information'!$T$2:$T$200,0)),"")</f>
        <v/>
      </c>
      <c r="H42" s="1" t="str">
        <f>IFERROR(INDEX('Input Contact Information'!$A$2:$A$200,MATCH($B42,'Input Contact Information'!$B$2:$B$200,0)),"")</f>
        <v/>
      </c>
      <c r="J42" s="1" t="str">
        <f>IF($B42="","",COUNTIFS('Input Contact Information'!$B$2:$B$200,$B42,'Input Contact Information'!$Q$2:$Q$200,"&lt;&gt;"))</f>
        <v/>
      </c>
      <c r="K42" s="1" t="str">
        <f>IF($B42="","",COUNTIFS('Contacts Overview'!$D$2:$D$200,$A42,'Contacts Overview'!$R$2:$R$200,"On Track"))</f>
        <v/>
      </c>
      <c r="L42" s="1" t="str">
        <f>IF($B42="","",COUNTIFS('Contacts Overview'!$D$2:$D$200,$A42,'Contacts Overview'!$R$2:$R$200,"For Review"))</f>
        <v/>
      </c>
      <c r="M42" s="1" t="str">
        <f>IF($B42="","",COUNTIFS('Contacts Overview'!$D$2:$D$200,$A42,'Contacts Overview'!$R$2:$R$200,"Overdue"))</f>
        <v/>
      </c>
    </row>
    <row r="43" spans="1:13" ht="15" customHeight="1" x14ac:dyDescent="0.35">
      <c r="A43" s="13" t="str">
        <f t="shared" si="1"/>
        <v/>
      </c>
      <c r="B43" s="1" t="str">
        <f>IFERROR(INDEX('Input Contact Information'!$B$2:$B$200,MATCH(ROW()-1,'Input Contact Information'!$T$2:$T$200,0)),"")</f>
        <v/>
      </c>
      <c r="H43" s="1" t="str">
        <f>IFERROR(INDEX('Input Contact Information'!$A$2:$A$200,MATCH($B43,'Input Contact Information'!$B$2:$B$200,0)),"")</f>
        <v/>
      </c>
      <c r="J43" s="1" t="str">
        <f>IF($B43="","",COUNTIFS('Input Contact Information'!$B$2:$B$200,$B43,'Input Contact Information'!$Q$2:$Q$200,"&lt;&gt;"))</f>
        <v/>
      </c>
      <c r="K43" s="1" t="str">
        <f>IF($B43="","",COUNTIFS('Contacts Overview'!$D$2:$D$200,$A43,'Contacts Overview'!$R$2:$R$200,"On Track"))</f>
        <v/>
      </c>
      <c r="L43" s="1" t="str">
        <f>IF($B43="","",COUNTIFS('Contacts Overview'!$D$2:$D$200,$A43,'Contacts Overview'!$R$2:$R$200,"For Review"))</f>
        <v/>
      </c>
      <c r="M43" s="1" t="str">
        <f>IF($B43="","",COUNTIFS('Contacts Overview'!$D$2:$D$200,$A43,'Contacts Overview'!$R$2:$R$200,"Overdue"))</f>
        <v/>
      </c>
    </row>
    <row r="44" spans="1:13" ht="15" customHeight="1" x14ac:dyDescent="0.35">
      <c r="A44" s="13" t="str">
        <f t="shared" si="1"/>
        <v/>
      </c>
      <c r="B44" s="1" t="str">
        <f>IFERROR(INDEX('Input Contact Information'!$B$2:$B$200,MATCH(ROW()-1,'Input Contact Information'!$T$2:$T$200,0)),"")</f>
        <v/>
      </c>
      <c r="H44" s="1" t="str">
        <f>IFERROR(INDEX('Input Contact Information'!$A$2:$A$200,MATCH($B44,'Input Contact Information'!$B$2:$B$200,0)),"")</f>
        <v/>
      </c>
      <c r="J44" s="1" t="str">
        <f>IF($B44="","",COUNTIFS('Input Contact Information'!$B$2:$B$200,$B44,'Input Contact Information'!$Q$2:$Q$200,"&lt;&gt;"))</f>
        <v/>
      </c>
      <c r="K44" s="1" t="str">
        <f>IF($B44="","",COUNTIFS('Contacts Overview'!$D$2:$D$200,$A44,'Contacts Overview'!$R$2:$R$200,"On Track"))</f>
        <v/>
      </c>
      <c r="L44" s="1" t="str">
        <f>IF($B44="","",COUNTIFS('Contacts Overview'!$D$2:$D$200,$A44,'Contacts Overview'!$R$2:$R$200,"For Review"))</f>
        <v/>
      </c>
      <c r="M44" s="1" t="str">
        <f>IF($B44="","",COUNTIFS('Contacts Overview'!$D$2:$D$200,$A44,'Contacts Overview'!$R$2:$R$200,"Overdue"))</f>
        <v/>
      </c>
    </row>
    <row r="45" spans="1:13" ht="15" customHeight="1" x14ac:dyDescent="0.35">
      <c r="A45" s="13" t="str">
        <f t="shared" si="1"/>
        <v/>
      </c>
      <c r="B45" s="1" t="str">
        <f>IFERROR(INDEX('Input Contact Information'!$B$2:$B$200,MATCH(ROW()-1,'Input Contact Information'!$T$2:$T$200,0)),"")</f>
        <v/>
      </c>
      <c r="H45" s="1" t="str">
        <f>IFERROR(INDEX('Input Contact Information'!$A$2:$A$200,MATCH($B45,'Input Contact Information'!$B$2:$B$200,0)),"")</f>
        <v/>
      </c>
      <c r="J45" s="1" t="str">
        <f>IF($B45="","",COUNTIFS('Input Contact Information'!$B$2:$B$200,$B45,'Input Contact Information'!$Q$2:$Q$200,"&lt;&gt;"))</f>
        <v/>
      </c>
      <c r="K45" s="1" t="str">
        <f>IF($B45="","",COUNTIFS('Contacts Overview'!$D$2:$D$200,$A45,'Contacts Overview'!$R$2:$R$200,"On Track"))</f>
        <v/>
      </c>
      <c r="L45" s="1" t="str">
        <f>IF($B45="","",COUNTIFS('Contacts Overview'!$D$2:$D$200,$A45,'Contacts Overview'!$R$2:$R$200,"For Review"))</f>
        <v/>
      </c>
      <c r="M45" s="1" t="str">
        <f>IF($B45="","",COUNTIFS('Contacts Overview'!$D$2:$D$200,$A45,'Contacts Overview'!$R$2:$R$200,"Overdue"))</f>
        <v/>
      </c>
    </row>
    <row r="46" spans="1:13" ht="15" customHeight="1" x14ac:dyDescent="0.35">
      <c r="A46" s="13" t="str">
        <f t="shared" si="1"/>
        <v/>
      </c>
      <c r="B46" s="1" t="str">
        <f>IFERROR(INDEX('Input Contact Information'!$B$2:$B$200,MATCH(ROW()-1,'Input Contact Information'!$T$2:$T$200,0)),"")</f>
        <v/>
      </c>
      <c r="H46" s="1" t="str">
        <f>IFERROR(INDEX('Input Contact Information'!$A$2:$A$200,MATCH($B46,'Input Contact Information'!$B$2:$B$200,0)),"")</f>
        <v/>
      </c>
      <c r="J46" s="1" t="str">
        <f>IF($B46="","",COUNTIFS('Input Contact Information'!$B$2:$B$200,$B46,'Input Contact Information'!$Q$2:$Q$200,"&lt;&gt;"))</f>
        <v/>
      </c>
      <c r="K46" s="1" t="str">
        <f>IF($B46="","",COUNTIFS('Contacts Overview'!$D$2:$D$200,$A46,'Contacts Overview'!$R$2:$R$200,"On Track"))</f>
        <v/>
      </c>
      <c r="L46" s="1" t="str">
        <f>IF($B46="","",COUNTIFS('Contacts Overview'!$D$2:$D$200,$A46,'Contacts Overview'!$R$2:$R$200,"For Review"))</f>
        <v/>
      </c>
      <c r="M46" s="1" t="str">
        <f>IF($B46="","",COUNTIFS('Contacts Overview'!$D$2:$D$200,$A46,'Contacts Overview'!$R$2:$R$200,"Overdue"))</f>
        <v/>
      </c>
    </row>
    <row r="47" spans="1:13" ht="15" customHeight="1" x14ac:dyDescent="0.35">
      <c r="A47" s="13" t="str">
        <f t="shared" si="1"/>
        <v/>
      </c>
      <c r="B47" s="1" t="str">
        <f>IFERROR(INDEX('Input Contact Information'!$B$2:$B$200,MATCH(ROW()-1,'Input Contact Information'!$T$2:$T$200,0)),"")</f>
        <v/>
      </c>
      <c r="H47" s="1" t="str">
        <f>IFERROR(INDEX('Input Contact Information'!$A$2:$A$200,MATCH($B47,'Input Contact Information'!$B$2:$B$200,0)),"")</f>
        <v/>
      </c>
      <c r="J47" s="1" t="str">
        <f>IF($B47="","",COUNTIFS('Input Contact Information'!$B$2:$B$200,$B47,'Input Contact Information'!$Q$2:$Q$200,"&lt;&gt;"))</f>
        <v/>
      </c>
      <c r="K47" s="1" t="str">
        <f>IF($B47="","",COUNTIFS('Contacts Overview'!$D$2:$D$200,$A47,'Contacts Overview'!$R$2:$R$200,"On Track"))</f>
        <v/>
      </c>
      <c r="L47" s="1" t="str">
        <f>IF($B47="","",COUNTIFS('Contacts Overview'!$D$2:$D$200,$A47,'Contacts Overview'!$R$2:$R$200,"For Review"))</f>
        <v/>
      </c>
      <c r="M47" s="1" t="str">
        <f>IF($B47="","",COUNTIFS('Contacts Overview'!$D$2:$D$200,$A47,'Contacts Overview'!$R$2:$R$200,"Overdue"))</f>
        <v/>
      </c>
    </row>
    <row r="48" spans="1:13" ht="15" customHeight="1" x14ac:dyDescent="0.35">
      <c r="A48" s="13" t="str">
        <f t="shared" si="1"/>
        <v/>
      </c>
      <c r="B48" s="1" t="str">
        <f>IFERROR(INDEX('Input Contact Information'!$B$2:$B$200,MATCH(ROW()-1,'Input Contact Information'!$T$2:$T$200,0)),"")</f>
        <v/>
      </c>
      <c r="H48" s="1" t="str">
        <f>IFERROR(INDEX('Input Contact Information'!$A$2:$A$200,MATCH($B48,'Input Contact Information'!$B$2:$B$200,0)),"")</f>
        <v/>
      </c>
      <c r="J48" s="1" t="str">
        <f>IF($B48="","",COUNTIFS('Input Contact Information'!$B$2:$B$200,$B48,'Input Contact Information'!$Q$2:$Q$200,"&lt;&gt;"))</f>
        <v/>
      </c>
      <c r="K48" s="1" t="str">
        <f>IF($B48="","",COUNTIFS('Contacts Overview'!$D$2:$D$200,$A48,'Contacts Overview'!$R$2:$R$200,"On Track"))</f>
        <v/>
      </c>
      <c r="L48" s="1" t="str">
        <f>IF($B48="","",COUNTIFS('Contacts Overview'!$D$2:$D$200,$A48,'Contacts Overview'!$R$2:$R$200,"For Review"))</f>
        <v/>
      </c>
      <c r="M48" s="1" t="str">
        <f>IF($B48="","",COUNTIFS('Contacts Overview'!$D$2:$D$200,$A48,'Contacts Overview'!$R$2:$R$200,"Overdue"))</f>
        <v/>
      </c>
    </row>
    <row r="49" spans="1:13" ht="15" customHeight="1" x14ac:dyDescent="0.35">
      <c r="A49" s="13" t="str">
        <f t="shared" si="1"/>
        <v/>
      </c>
      <c r="B49" s="1" t="str">
        <f>IFERROR(INDEX('Input Contact Information'!$B$2:$B$200,MATCH(ROW()-1,'Input Contact Information'!$T$2:$T$200,0)),"")</f>
        <v/>
      </c>
      <c r="H49" s="1" t="str">
        <f>IFERROR(INDEX('Input Contact Information'!$A$2:$A$200,MATCH($B49,'Input Contact Information'!$B$2:$B$200,0)),"")</f>
        <v/>
      </c>
      <c r="J49" s="1" t="str">
        <f>IF($B49="","",COUNTIFS('Input Contact Information'!$B$2:$B$200,$B49,'Input Contact Information'!$Q$2:$Q$200,"&lt;&gt;"))</f>
        <v/>
      </c>
      <c r="K49" s="1" t="str">
        <f>IF($B49="","",COUNTIFS('Contacts Overview'!$D$2:$D$200,$A49,'Contacts Overview'!$R$2:$R$200,"On Track"))</f>
        <v/>
      </c>
      <c r="L49" s="1" t="str">
        <f>IF($B49="","",COUNTIFS('Contacts Overview'!$D$2:$D$200,$A49,'Contacts Overview'!$R$2:$R$200,"For Review"))</f>
        <v/>
      </c>
      <c r="M49" s="1" t="str">
        <f>IF($B49="","",COUNTIFS('Contacts Overview'!$D$2:$D$200,$A49,'Contacts Overview'!$R$2:$R$200,"Overdue"))</f>
        <v/>
      </c>
    </row>
    <row r="50" spans="1:13" ht="15" customHeight="1" x14ac:dyDescent="0.35">
      <c r="A50" s="13" t="str">
        <f t="shared" si="1"/>
        <v/>
      </c>
      <c r="B50" s="1" t="str">
        <f>IFERROR(INDEX('Input Contact Information'!$B$2:$B$200,MATCH(ROW()-1,'Input Contact Information'!$T$2:$T$200,0)),"")</f>
        <v/>
      </c>
      <c r="H50" s="1" t="str">
        <f>IFERROR(INDEX('Input Contact Information'!$A$2:$A$200,MATCH($B50,'Input Contact Information'!$B$2:$B$200,0)),"")</f>
        <v/>
      </c>
      <c r="J50" s="1" t="str">
        <f>IF($B50="","",COUNTIFS('Input Contact Information'!$B$2:$B$200,$B50,'Input Contact Information'!$Q$2:$Q$200,"&lt;&gt;"))</f>
        <v/>
      </c>
      <c r="K50" s="1" t="str">
        <f>IF($B50="","",COUNTIFS('Contacts Overview'!$D$2:$D$200,$A50,'Contacts Overview'!$R$2:$R$200,"On Track"))</f>
        <v/>
      </c>
      <c r="L50" s="1" t="str">
        <f>IF($B50="","",COUNTIFS('Contacts Overview'!$D$2:$D$200,$A50,'Contacts Overview'!$R$2:$R$200,"For Review"))</f>
        <v/>
      </c>
      <c r="M50" s="1" t="str">
        <f>IF($B50="","",COUNTIFS('Contacts Overview'!$D$2:$D$200,$A50,'Contacts Overview'!$R$2:$R$200,"Overdue"))</f>
        <v/>
      </c>
    </row>
    <row r="51" spans="1:13" ht="15" customHeight="1" x14ac:dyDescent="0.35">
      <c r="A51" s="13" t="str">
        <f t="shared" si="1"/>
        <v/>
      </c>
      <c r="B51" s="1" t="str">
        <f>IFERROR(INDEX('Input Contact Information'!$B$2:$B$200,MATCH(ROW()-1,'Input Contact Information'!$T$2:$T$200,0)),"")</f>
        <v/>
      </c>
      <c r="H51" s="1" t="str">
        <f>IFERROR(INDEX('Input Contact Information'!$A$2:$A$200,MATCH($B51,'Input Contact Information'!$B$2:$B$200,0)),"")</f>
        <v/>
      </c>
      <c r="J51" s="1" t="str">
        <f>IF($B51="","",COUNTIFS('Input Contact Information'!$B$2:$B$200,$B51,'Input Contact Information'!$Q$2:$Q$200,"&lt;&gt;"))</f>
        <v/>
      </c>
      <c r="K51" s="1" t="str">
        <f>IF($B51="","",COUNTIFS('Contacts Overview'!$D$2:$D$200,$A51,'Contacts Overview'!$R$2:$R$200,"On Track"))</f>
        <v/>
      </c>
      <c r="L51" s="1" t="str">
        <f>IF($B51="","",COUNTIFS('Contacts Overview'!$D$2:$D$200,$A51,'Contacts Overview'!$R$2:$R$200,"For Review"))</f>
        <v/>
      </c>
      <c r="M51" s="1" t="str">
        <f>IF($B51="","",COUNTIFS('Contacts Overview'!$D$2:$D$200,$A51,'Contacts Overview'!$R$2:$R$200,"Overdue"))</f>
        <v/>
      </c>
    </row>
    <row r="52" spans="1:13" ht="15" customHeight="1" x14ac:dyDescent="0.35">
      <c r="A52" s="13" t="str">
        <f t="shared" si="1"/>
        <v/>
      </c>
      <c r="B52" s="1" t="str">
        <f>IFERROR(INDEX('Input Contact Information'!$B$2:$B$200,MATCH(ROW()-1,'Input Contact Information'!$T$2:$T$200,0)),"")</f>
        <v/>
      </c>
      <c r="H52" s="1" t="str">
        <f>IFERROR(INDEX('Input Contact Information'!$A$2:$A$200,MATCH($B52,'Input Contact Information'!$B$2:$B$200,0)),"")</f>
        <v/>
      </c>
      <c r="J52" s="1" t="str">
        <f>IF($B52="","",COUNTIFS('Input Contact Information'!$B$2:$B$200,$B52,'Input Contact Information'!$Q$2:$Q$200,"&lt;&gt;"))</f>
        <v/>
      </c>
      <c r="K52" s="1" t="str">
        <f>IF($B52="","",COUNTIFS('Contacts Overview'!$D$2:$D$200,$A52,'Contacts Overview'!$R$2:$R$200,"On Track"))</f>
        <v/>
      </c>
      <c r="L52" s="1" t="str">
        <f>IF($B52="","",COUNTIFS('Contacts Overview'!$D$2:$D$200,$A52,'Contacts Overview'!$R$2:$R$200,"For Review"))</f>
        <v/>
      </c>
      <c r="M52" s="1" t="str">
        <f>IF($B52="","",COUNTIFS('Contacts Overview'!$D$2:$D$200,$A52,'Contacts Overview'!$R$2:$R$200,"Overdue"))</f>
        <v/>
      </c>
    </row>
    <row r="53" spans="1:13" ht="15" customHeight="1" x14ac:dyDescent="0.35">
      <c r="A53" s="13" t="str">
        <f t="shared" si="1"/>
        <v/>
      </c>
      <c r="B53" s="1" t="str">
        <f>IFERROR(INDEX('Input Contact Information'!$B$2:$B$200,MATCH(ROW()-1,'Input Contact Information'!$T$2:$T$200,0)),"")</f>
        <v/>
      </c>
      <c r="H53" s="1" t="str">
        <f>IFERROR(INDEX('Input Contact Information'!$A$2:$A$200,MATCH($B53,'Input Contact Information'!$B$2:$B$200,0)),"")</f>
        <v/>
      </c>
      <c r="J53" s="1" t="str">
        <f>IF($B53="","",COUNTIFS('Input Contact Information'!$B$2:$B$200,$B53,'Input Contact Information'!$Q$2:$Q$200,"&lt;&gt;"))</f>
        <v/>
      </c>
      <c r="K53" s="1" t="str">
        <f>IF($B53="","",COUNTIFS('Contacts Overview'!$D$2:$D$200,$A53,'Contacts Overview'!$R$2:$R$200,"On Track"))</f>
        <v/>
      </c>
      <c r="L53" s="1" t="str">
        <f>IF($B53="","",COUNTIFS('Contacts Overview'!$D$2:$D$200,$A53,'Contacts Overview'!$R$2:$R$200,"For Review"))</f>
        <v/>
      </c>
      <c r="M53" s="1" t="str">
        <f>IF($B53="","",COUNTIFS('Contacts Overview'!$D$2:$D$200,$A53,'Contacts Overview'!$R$2:$R$200,"Overdue"))</f>
        <v/>
      </c>
    </row>
    <row r="54" spans="1:13" ht="15" customHeight="1" x14ac:dyDescent="0.35">
      <c r="A54" s="13" t="str">
        <f t="shared" si="1"/>
        <v/>
      </c>
      <c r="B54" s="1" t="str">
        <f>IFERROR(INDEX('Input Contact Information'!$B$2:$B$200,MATCH(ROW()-1,'Input Contact Information'!$T$2:$T$200,0)),"")</f>
        <v/>
      </c>
      <c r="H54" s="1" t="str">
        <f>IFERROR(INDEX('Input Contact Information'!$A$2:$A$200,MATCH($B54,'Input Contact Information'!$B$2:$B$200,0)),"")</f>
        <v/>
      </c>
      <c r="J54" s="1" t="str">
        <f>IF($B54="","",COUNTIFS('Input Contact Information'!$B$2:$B$200,$B54,'Input Contact Information'!$Q$2:$Q$200,"&lt;&gt;"))</f>
        <v/>
      </c>
      <c r="K54" s="1" t="str">
        <f>IF($B54="","",COUNTIFS('Contacts Overview'!$D$2:$D$200,$A54,'Contacts Overview'!$R$2:$R$200,"On Track"))</f>
        <v/>
      </c>
      <c r="L54" s="1" t="str">
        <f>IF($B54="","",COUNTIFS('Contacts Overview'!$D$2:$D$200,$A54,'Contacts Overview'!$R$2:$R$200,"For Review"))</f>
        <v/>
      </c>
      <c r="M54" s="1" t="str">
        <f>IF($B54="","",COUNTIFS('Contacts Overview'!$D$2:$D$200,$A54,'Contacts Overview'!$R$2:$R$200,"Overdue"))</f>
        <v/>
      </c>
    </row>
    <row r="55" spans="1:13" ht="15" customHeight="1" x14ac:dyDescent="0.35">
      <c r="A55" s="13" t="str">
        <f t="shared" si="1"/>
        <v/>
      </c>
      <c r="B55" s="1" t="str">
        <f>IFERROR(INDEX('Input Contact Information'!$B$2:$B$200,MATCH(ROW()-1,'Input Contact Information'!$T$2:$T$200,0)),"")</f>
        <v/>
      </c>
      <c r="H55" s="1" t="str">
        <f>IFERROR(INDEX('Input Contact Information'!$A$2:$A$200,MATCH($B55,'Input Contact Information'!$B$2:$B$200,0)),"")</f>
        <v/>
      </c>
      <c r="J55" s="1" t="str">
        <f>IF($B55="","",COUNTIFS('Input Contact Information'!$B$2:$B$200,$B55,'Input Contact Information'!$Q$2:$Q$200,"&lt;&gt;"))</f>
        <v/>
      </c>
      <c r="K55" s="1" t="str">
        <f>IF($B55="","",COUNTIFS('Contacts Overview'!$D$2:$D$200,$A55,'Contacts Overview'!$R$2:$R$200,"On Track"))</f>
        <v/>
      </c>
      <c r="L55" s="1" t="str">
        <f>IF($B55="","",COUNTIFS('Contacts Overview'!$D$2:$D$200,$A55,'Contacts Overview'!$R$2:$R$200,"For Review"))</f>
        <v/>
      </c>
      <c r="M55" s="1" t="str">
        <f>IF($B55="","",COUNTIFS('Contacts Overview'!$D$2:$D$200,$A55,'Contacts Overview'!$R$2:$R$200,"Overdue"))</f>
        <v/>
      </c>
    </row>
    <row r="56" spans="1:13" ht="15" customHeight="1" x14ac:dyDescent="0.35">
      <c r="A56" s="13" t="str">
        <f t="shared" si="1"/>
        <v/>
      </c>
      <c r="B56" s="1" t="str">
        <f>IFERROR(INDEX('Input Contact Information'!$B$2:$B$200,MATCH(ROW()-1,'Input Contact Information'!$T$2:$T$200,0)),"")</f>
        <v/>
      </c>
      <c r="H56" s="1" t="str">
        <f>IFERROR(INDEX('Input Contact Information'!$A$2:$A$200,MATCH($B56,'Input Contact Information'!$B$2:$B$200,0)),"")</f>
        <v/>
      </c>
      <c r="J56" s="1" t="str">
        <f>IF($B56="","",COUNTIFS('Input Contact Information'!$B$2:$B$200,$B56,'Input Contact Information'!$Q$2:$Q$200,"&lt;&gt;"))</f>
        <v/>
      </c>
      <c r="K56" s="1" t="str">
        <f>IF($B56="","",COUNTIFS('Contacts Overview'!$D$2:$D$200,$A56,'Contacts Overview'!$R$2:$R$200,"On Track"))</f>
        <v/>
      </c>
      <c r="L56" s="1" t="str">
        <f>IF($B56="","",COUNTIFS('Contacts Overview'!$D$2:$D$200,$A56,'Contacts Overview'!$R$2:$R$200,"For Review"))</f>
        <v/>
      </c>
      <c r="M56" s="1" t="str">
        <f>IF($B56="","",COUNTIFS('Contacts Overview'!$D$2:$D$200,$A56,'Contacts Overview'!$R$2:$R$200,"Overdue"))</f>
        <v/>
      </c>
    </row>
    <row r="57" spans="1:13" ht="15" customHeight="1" x14ac:dyDescent="0.35">
      <c r="A57" s="13" t="str">
        <f t="shared" si="1"/>
        <v/>
      </c>
      <c r="B57" s="1" t="str">
        <f>IFERROR(INDEX('Input Contact Information'!$B$2:$B$200,MATCH(ROW()-1,'Input Contact Information'!$T$2:$T$200,0)),"")</f>
        <v/>
      </c>
      <c r="H57" s="1" t="str">
        <f>IFERROR(INDEX('Input Contact Information'!$A$2:$A$200,MATCH($B57,'Input Contact Information'!$B$2:$B$200,0)),"")</f>
        <v/>
      </c>
      <c r="J57" s="1" t="str">
        <f>IF($B57="","",COUNTIFS('Input Contact Information'!$B$2:$B$200,$B57,'Input Contact Information'!$Q$2:$Q$200,"&lt;&gt;"))</f>
        <v/>
      </c>
      <c r="K57" s="1" t="str">
        <f>IF($B57="","",COUNTIFS('Contacts Overview'!$D$2:$D$200,$A57,'Contacts Overview'!$R$2:$R$200,"On Track"))</f>
        <v/>
      </c>
      <c r="L57" s="1" t="str">
        <f>IF($B57="","",COUNTIFS('Contacts Overview'!$D$2:$D$200,$A57,'Contacts Overview'!$R$2:$R$200,"For Review"))</f>
        <v/>
      </c>
      <c r="M57" s="1" t="str">
        <f>IF($B57="","",COUNTIFS('Contacts Overview'!$D$2:$D$200,$A57,'Contacts Overview'!$R$2:$R$200,"Overdue"))</f>
        <v/>
      </c>
    </row>
    <row r="58" spans="1:13" ht="15" customHeight="1" x14ac:dyDescent="0.35">
      <c r="A58" s="13" t="str">
        <f t="shared" si="1"/>
        <v/>
      </c>
      <c r="B58" s="1" t="str">
        <f>IFERROR(INDEX('Input Contact Information'!$B$2:$B$200,MATCH(ROW()-1,'Input Contact Information'!$T$2:$T$200,0)),"")</f>
        <v/>
      </c>
      <c r="H58" s="1" t="str">
        <f>IFERROR(INDEX('Input Contact Information'!$A$2:$A$200,MATCH($B58,'Input Contact Information'!$B$2:$B$200,0)),"")</f>
        <v/>
      </c>
      <c r="J58" s="1" t="str">
        <f>IF($B58="","",COUNTIFS('Input Contact Information'!$B$2:$B$200,$B58,'Input Contact Information'!$Q$2:$Q$200,"&lt;&gt;"))</f>
        <v/>
      </c>
      <c r="K58" s="1" t="str">
        <f>IF($B58="","",COUNTIFS('Contacts Overview'!$D$2:$D$200,$A58,'Contacts Overview'!$R$2:$R$200,"On Track"))</f>
        <v/>
      </c>
      <c r="L58" s="1" t="str">
        <f>IF($B58="","",COUNTIFS('Contacts Overview'!$D$2:$D$200,$A58,'Contacts Overview'!$R$2:$R$200,"For Review"))</f>
        <v/>
      </c>
      <c r="M58" s="1" t="str">
        <f>IF($B58="","",COUNTIFS('Contacts Overview'!$D$2:$D$200,$A58,'Contacts Overview'!$R$2:$R$200,"Overdue"))</f>
        <v/>
      </c>
    </row>
    <row r="59" spans="1:13" ht="15" customHeight="1" x14ac:dyDescent="0.35">
      <c r="A59" s="13" t="str">
        <f t="shared" si="1"/>
        <v/>
      </c>
      <c r="B59" s="1" t="str">
        <f>IFERROR(INDEX('Input Contact Information'!$B$2:$B$200,MATCH(ROW()-1,'Input Contact Information'!$T$2:$T$200,0)),"")</f>
        <v/>
      </c>
      <c r="H59" s="1" t="str">
        <f>IFERROR(INDEX('Input Contact Information'!$A$2:$A$200,MATCH($B59,'Input Contact Information'!$B$2:$B$200,0)),"")</f>
        <v/>
      </c>
      <c r="J59" s="1" t="str">
        <f>IF($B59="","",COUNTIFS('Input Contact Information'!$B$2:$B$200,$B59,'Input Contact Information'!$Q$2:$Q$200,"&lt;&gt;"))</f>
        <v/>
      </c>
      <c r="K59" s="1" t="str">
        <f>IF($B59="","",COUNTIFS('Contacts Overview'!$D$2:$D$200,$A59,'Contacts Overview'!$R$2:$R$200,"On Track"))</f>
        <v/>
      </c>
      <c r="L59" s="1" t="str">
        <f>IF($B59="","",COUNTIFS('Contacts Overview'!$D$2:$D$200,$A59,'Contacts Overview'!$R$2:$R$200,"For Review"))</f>
        <v/>
      </c>
      <c r="M59" s="1" t="str">
        <f>IF($B59="","",COUNTIFS('Contacts Overview'!$D$2:$D$200,$A59,'Contacts Overview'!$R$2:$R$200,"Overdue"))</f>
        <v/>
      </c>
    </row>
    <row r="60" spans="1:13" ht="15" customHeight="1" x14ac:dyDescent="0.35">
      <c r="A60" s="13" t="str">
        <f t="shared" si="1"/>
        <v/>
      </c>
      <c r="B60" s="1" t="str">
        <f>IFERROR(INDEX('Input Contact Information'!$B$2:$B$200,MATCH(ROW()-1,'Input Contact Information'!$T$2:$T$200,0)),"")</f>
        <v/>
      </c>
      <c r="H60" s="1" t="str">
        <f>IFERROR(INDEX('Input Contact Information'!$A$2:$A$200,MATCH($B60,'Input Contact Information'!$B$2:$B$200,0)),"")</f>
        <v/>
      </c>
      <c r="J60" s="1" t="str">
        <f>IF($B60="","",COUNTIFS('Input Contact Information'!$B$2:$B$200,$B60,'Input Contact Information'!$Q$2:$Q$200,"&lt;&gt;"))</f>
        <v/>
      </c>
      <c r="K60" s="1" t="str">
        <f>IF($B60="","",COUNTIFS('Contacts Overview'!$D$2:$D$200,$A60,'Contacts Overview'!$R$2:$R$200,"On Track"))</f>
        <v/>
      </c>
      <c r="L60" s="1" t="str">
        <f>IF($B60="","",COUNTIFS('Contacts Overview'!$D$2:$D$200,$A60,'Contacts Overview'!$R$2:$R$200,"For Review"))</f>
        <v/>
      </c>
      <c r="M60" s="1" t="str">
        <f>IF($B60="","",COUNTIFS('Contacts Overview'!$D$2:$D$200,$A60,'Contacts Overview'!$R$2:$R$200,"Overdue"))</f>
        <v/>
      </c>
    </row>
    <row r="61" spans="1:13" ht="15" customHeight="1" x14ac:dyDescent="0.35">
      <c r="A61" s="13" t="str">
        <f t="shared" si="1"/>
        <v/>
      </c>
      <c r="B61" s="1" t="str">
        <f>IFERROR(INDEX('Input Contact Information'!$B$2:$B$200,MATCH(ROW()-1,'Input Contact Information'!$T$2:$T$200,0)),"")</f>
        <v/>
      </c>
      <c r="H61" s="1" t="str">
        <f>IFERROR(INDEX('Input Contact Information'!$A$2:$A$200,MATCH($B61,'Input Contact Information'!$B$2:$B$200,0)),"")</f>
        <v/>
      </c>
      <c r="J61" s="1" t="str">
        <f>IF($B61="","",COUNTIFS('Input Contact Information'!$B$2:$B$200,$B61,'Input Contact Information'!$Q$2:$Q$200,"&lt;&gt;"))</f>
        <v/>
      </c>
      <c r="K61" s="1" t="str">
        <f>IF($B61="","",COUNTIFS('Contacts Overview'!$D$2:$D$200,$A61,'Contacts Overview'!$R$2:$R$200,"On Track"))</f>
        <v/>
      </c>
      <c r="L61" s="1" t="str">
        <f>IF($B61="","",COUNTIFS('Contacts Overview'!$D$2:$D$200,$A61,'Contacts Overview'!$R$2:$R$200,"For Review"))</f>
        <v/>
      </c>
      <c r="M61" s="1" t="str">
        <f>IF($B61="","",COUNTIFS('Contacts Overview'!$D$2:$D$200,$A61,'Contacts Overview'!$R$2:$R$200,"Overdue"))</f>
        <v/>
      </c>
    </row>
    <row r="62" spans="1:13" ht="15" customHeight="1" x14ac:dyDescent="0.35">
      <c r="A62" s="13" t="str">
        <f t="shared" si="1"/>
        <v/>
      </c>
      <c r="B62" s="1" t="str">
        <f>IFERROR(INDEX('Input Contact Information'!$B$2:$B$200,MATCH(ROW()-1,'Input Contact Information'!$T$2:$T$200,0)),"")</f>
        <v/>
      </c>
      <c r="H62" s="1" t="str">
        <f>IFERROR(INDEX('Input Contact Information'!$A$2:$A$200,MATCH($B62,'Input Contact Information'!$B$2:$B$200,0)),"")</f>
        <v/>
      </c>
      <c r="J62" s="1" t="str">
        <f>IF($B62="","",COUNTIFS('Input Contact Information'!$B$2:$B$200,$B62,'Input Contact Information'!$Q$2:$Q$200,"&lt;&gt;"))</f>
        <v/>
      </c>
      <c r="K62" s="1" t="str">
        <f>IF($B62="","",COUNTIFS('Contacts Overview'!$D$2:$D$200,$A62,'Contacts Overview'!$R$2:$R$200,"On Track"))</f>
        <v/>
      </c>
      <c r="L62" s="1" t="str">
        <f>IF($B62="","",COUNTIFS('Contacts Overview'!$D$2:$D$200,$A62,'Contacts Overview'!$R$2:$R$200,"For Review"))</f>
        <v/>
      </c>
      <c r="M62" s="1" t="str">
        <f>IF($B62="","",COUNTIFS('Contacts Overview'!$D$2:$D$200,$A62,'Contacts Overview'!$R$2:$R$200,"Overdue"))</f>
        <v/>
      </c>
    </row>
    <row r="63" spans="1:13" ht="15" customHeight="1" x14ac:dyDescent="0.35">
      <c r="A63" s="13" t="str">
        <f t="shared" si="1"/>
        <v/>
      </c>
      <c r="B63" s="1" t="str">
        <f>IFERROR(INDEX('Input Contact Information'!$B$2:$B$200,MATCH(ROW()-1,'Input Contact Information'!$T$2:$T$200,0)),"")</f>
        <v/>
      </c>
      <c r="H63" s="1" t="str">
        <f>IFERROR(INDEX('Input Contact Information'!$A$2:$A$200,MATCH($B63,'Input Contact Information'!$B$2:$B$200,0)),"")</f>
        <v/>
      </c>
      <c r="J63" s="1" t="str">
        <f>IF($B63="","",COUNTIFS('Input Contact Information'!$B$2:$B$200,$B63,'Input Contact Information'!$Q$2:$Q$200,"&lt;&gt;"))</f>
        <v/>
      </c>
      <c r="K63" s="1" t="str">
        <f>IF($B63="","",COUNTIFS('Contacts Overview'!$D$2:$D$200,$A63,'Contacts Overview'!$R$2:$R$200,"On Track"))</f>
        <v/>
      </c>
      <c r="L63" s="1" t="str">
        <f>IF($B63="","",COUNTIFS('Contacts Overview'!$D$2:$D$200,$A63,'Contacts Overview'!$R$2:$R$200,"For Review"))</f>
        <v/>
      </c>
      <c r="M63" s="1" t="str">
        <f>IF($B63="","",COUNTIFS('Contacts Overview'!$D$2:$D$200,$A63,'Contacts Overview'!$R$2:$R$200,"Overdue"))</f>
        <v/>
      </c>
    </row>
    <row r="64" spans="1:13" ht="15" customHeight="1" x14ac:dyDescent="0.35">
      <c r="A64" s="13" t="str">
        <f t="shared" si="1"/>
        <v/>
      </c>
      <c r="B64" s="1" t="str">
        <f>IFERROR(INDEX('Input Contact Information'!$B$2:$B$200,MATCH(ROW()-1,'Input Contact Information'!$T$2:$T$200,0)),"")</f>
        <v/>
      </c>
      <c r="H64" s="1" t="str">
        <f>IFERROR(INDEX('Input Contact Information'!$A$2:$A$200,MATCH($B64,'Input Contact Information'!$B$2:$B$200,0)),"")</f>
        <v/>
      </c>
      <c r="J64" s="1" t="str">
        <f>IF($B64="","",COUNTIFS('Input Contact Information'!$B$2:$B$200,$B64,'Input Contact Information'!$Q$2:$Q$200,"&lt;&gt;"))</f>
        <v/>
      </c>
      <c r="K64" s="1" t="str">
        <f>IF($B64="","",COUNTIFS('Contacts Overview'!$D$2:$D$200,$A64,'Contacts Overview'!$R$2:$R$200,"On Track"))</f>
        <v/>
      </c>
      <c r="L64" s="1" t="str">
        <f>IF($B64="","",COUNTIFS('Contacts Overview'!$D$2:$D$200,$A64,'Contacts Overview'!$R$2:$R$200,"For Review"))</f>
        <v/>
      </c>
      <c r="M64" s="1" t="str">
        <f>IF($B64="","",COUNTIFS('Contacts Overview'!$D$2:$D$200,$A64,'Contacts Overview'!$R$2:$R$200,"Overdue"))</f>
        <v/>
      </c>
    </row>
    <row r="65" spans="1:13" ht="15" customHeight="1" x14ac:dyDescent="0.35">
      <c r="A65" s="13" t="str">
        <f t="shared" si="1"/>
        <v/>
      </c>
      <c r="B65" s="1" t="str">
        <f>IFERROR(INDEX('Input Contact Information'!$B$2:$B$200,MATCH(ROW()-1,'Input Contact Information'!$T$2:$T$200,0)),"")</f>
        <v/>
      </c>
      <c r="H65" s="1" t="str">
        <f>IFERROR(INDEX('Input Contact Information'!$A$2:$A$200,MATCH($B65,'Input Contact Information'!$B$2:$B$200,0)),"")</f>
        <v/>
      </c>
      <c r="J65" s="1" t="str">
        <f>IF($B65="","",COUNTIFS('Input Contact Information'!$B$2:$B$200,$B65,'Input Contact Information'!$Q$2:$Q$200,"&lt;&gt;"))</f>
        <v/>
      </c>
      <c r="K65" s="1" t="str">
        <f>IF($B65="","",COUNTIFS('Contacts Overview'!$D$2:$D$200,$A65,'Contacts Overview'!$R$2:$R$200,"On Track"))</f>
        <v/>
      </c>
      <c r="L65" s="1" t="str">
        <f>IF($B65="","",COUNTIFS('Contacts Overview'!$D$2:$D$200,$A65,'Contacts Overview'!$R$2:$R$200,"For Review"))</f>
        <v/>
      </c>
      <c r="M65" s="1" t="str">
        <f>IF($B65="","",COUNTIFS('Contacts Overview'!$D$2:$D$200,$A65,'Contacts Overview'!$R$2:$R$200,"Overdue"))</f>
        <v/>
      </c>
    </row>
    <row r="66" spans="1:13" ht="15" customHeight="1" x14ac:dyDescent="0.35">
      <c r="A66" s="13" t="str">
        <f t="shared" ref="A66:A97" si="2">IF(B66="","","ACC"&amp;TEXT(ROW()-1,"0000"))</f>
        <v/>
      </c>
      <c r="B66" s="1" t="str">
        <f>IFERROR(INDEX('Input Contact Information'!$B$2:$B$200,MATCH(ROW()-1,'Input Contact Information'!$T$2:$T$200,0)),"")</f>
        <v/>
      </c>
      <c r="H66" s="1" t="str">
        <f>IFERROR(INDEX('Input Contact Information'!$A$2:$A$200,MATCH($B66,'Input Contact Information'!$B$2:$B$200,0)),"")</f>
        <v/>
      </c>
      <c r="J66" s="1" t="str">
        <f>IF($B66="","",COUNTIFS('Input Contact Information'!$B$2:$B$200,$B66,'Input Contact Information'!$Q$2:$Q$200,"&lt;&gt;"))</f>
        <v/>
      </c>
      <c r="K66" s="1" t="str">
        <f>IF($B66="","",COUNTIFS('Contacts Overview'!$D$2:$D$200,$A66,'Contacts Overview'!$R$2:$R$200,"On Track"))</f>
        <v/>
      </c>
      <c r="L66" s="1" t="str">
        <f>IF($B66="","",COUNTIFS('Contacts Overview'!$D$2:$D$200,$A66,'Contacts Overview'!$R$2:$R$200,"For Review"))</f>
        <v/>
      </c>
      <c r="M66" s="1" t="str">
        <f>IF($B66="","",COUNTIFS('Contacts Overview'!$D$2:$D$200,$A66,'Contacts Overview'!$R$2:$R$200,"Overdue"))</f>
        <v/>
      </c>
    </row>
    <row r="67" spans="1:13" ht="15" customHeight="1" x14ac:dyDescent="0.35">
      <c r="A67" s="13" t="str">
        <f t="shared" si="2"/>
        <v/>
      </c>
      <c r="B67" s="1" t="str">
        <f>IFERROR(INDEX('Input Contact Information'!$B$2:$B$200,MATCH(ROW()-1,'Input Contact Information'!$T$2:$T$200,0)),"")</f>
        <v/>
      </c>
      <c r="H67" s="1" t="str">
        <f>IFERROR(INDEX('Input Contact Information'!$A$2:$A$200,MATCH($B67,'Input Contact Information'!$B$2:$B$200,0)),"")</f>
        <v/>
      </c>
      <c r="J67" s="1" t="str">
        <f>IF($B67="","",COUNTIFS('Input Contact Information'!$B$2:$B$200,$B67,'Input Contact Information'!$Q$2:$Q$200,"&lt;&gt;"))</f>
        <v/>
      </c>
      <c r="K67" s="1" t="str">
        <f>IF($B67="","",COUNTIFS('Contacts Overview'!$D$2:$D$200,$A67,'Contacts Overview'!$R$2:$R$200,"On Track"))</f>
        <v/>
      </c>
      <c r="L67" s="1" t="str">
        <f>IF($B67="","",COUNTIFS('Contacts Overview'!$D$2:$D$200,$A67,'Contacts Overview'!$R$2:$R$200,"For Review"))</f>
        <v/>
      </c>
      <c r="M67" s="1" t="str">
        <f>IF($B67="","",COUNTIFS('Contacts Overview'!$D$2:$D$200,$A67,'Contacts Overview'!$R$2:$R$200,"Overdue"))</f>
        <v/>
      </c>
    </row>
    <row r="68" spans="1:13" ht="15" customHeight="1" x14ac:dyDescent="0.35">
      <c r="A68" s="13" t="str">
        <f t="shared" si="2"/>
        <v/>
      </c>
      <c r="B68" s="1" t="str">
        <f>IFERROR(INDEX('Input Contact Information'!$B$2:$B$200,MATCH(ROW()-1,'Input Contact Information'!$T$2:$T$200,0)),"")</f>
        <v/>
      </c>
      <c r="H68" s="1" t="str">
        <f>IFERROR(INDEX('Input Contact Information'!$A$2:$A$200,MATCH($B68,'Input Contact Information'!$B$2:$B$200,0)),"")</f>
        <v/>
      </c>
      <c r="J68" s="1" t="str">
        <f>IF($B68="","",COUNTIFS('Input Contact Information'!$B$2:$B$200,$B68,'Input Contact Information'!$Q$2:$Q$200,"&lt;&gt;"))</f>
        <v/>
      </c>
      <c r="K68" s="1" t="str">
        <f>IF($B68="","",COUNTIFS('Contacts Overview'!$D$2:$D$200,$A68,'Contacts Overview'!$R$2:$R$200,"On Track"))</f>
        <v/>
      </c>
      <c r="L68" s="1" t="str">
        <f>IF($B68="","",COUNTIFS('Contacts Overview'!$D$2:$D$200,$A68,'Contacts Overview'!$R$2:$R$200,"For Review"))</f>
        <v/>
      </c>
      <c r="M68" s="1" t="str">
        <f>IF($B68="","",COUNTIFS('Contacts Overview'!$D$2:$D$200,$A68,'Contacts Overview'!$R$2:$R$200,"Overdue"))</f>
        <v/>
      </c>
    </row>
    <row r="69" spans="1:13" ht="15" customHeight="1" x14ac:dyDescent="0.35">
      <c r="A69" s="13" t="str">
        <f t="shared" si="2"/>
        <v/>
      </c>
      <c r="B69" s="1" t="str">
        <f>IFERROR(INDEX('Input Contact Information'!$B$2:$B$200,MATCH(ROW()-1,'Input Contact Information'!$T$2:$T$200,0)),"")</f>
        <v/>
      </c>
      <c r="H69" s="1" t="str">
        <f>IFERROR(INDEX('Input Contact Information'!$A$2:$A$200,MATCH($B69,'Input Contact Information'!$B$2:$B$200,0)),"")</f>
        <v/>
      </c>
      <c r="J69" s="1" t="str">
        <f>IF($B69="","",COUNTIFS('Input Contact Information'!$B$2:$B$200,$B69,'Input Contact Information'!$Q$2:$Q$200,"&lt;&gt;"))</f>
        <v/>
      </c>
      <c r="K69" s="1" t="str">
        <f>IF($B69="","",COUNTIFS('Contacts Overview'!$D$2:$D$200,$A69,'Contacts Overview'!$R$2:$R$200,"On Track"))</f>
        <v/>
      </c>
      <c r="L69" s="1" t="str">
        <f>IF($B69="","",COUNTIFS('Contacts Overview'!$D$2:$D$200,$A69,'Contacts Overview'!$R$2:$R$200,"For Review"))</f>
        <v/>
      </c>
      <c r="M69" s="1" t="str">
        <f>IF($B69="","",COUNTIFS('Contacts Overview'!$D$2:$D$200,$A69,'Contacts Overview'!$R$2:$R$200,"Overdue"))</f>
        <v/>
      </c>
    </row>
    <row r="70" spans="1:13" ht="15" customHeight="1" x14ac:dyDescent="0.35">
      <c r="A70" s="13" t="str">
        <f t="shared" si="2"/>
        <v/>
      </c>
      <c r="B70" s="1" t="str">
        <f>IFERROR(INDEX('Input Contact Information'!$B$2:$B$200,MATCH(ROW()-1,'Input Contact Information'!$T$2:$T$200,0)),"")</f>
        <v/>
      </c>
      <c r="H70" s="1" t="str">
        <f>IFERROR(INDEX('Input Contact Information'!$A$2:$A$200,MATCH($B70,'Input Contact Information'!$B$2:$B$200,0)),"")</f>
        <v/>
      </c>
      <c r="J70" s="1" t="str">
        <f>IF($B70="","",COUNTIFS('Input Contact Information'!$B$2:$B$200,$B70,'Input Contact Information'!$Q$2:$Q$200,"&lt;&gt;"))</f>
        <v/>
      </c>
      <c r="K70" s="1" t="str">
        <f>IF($B70="","",COUNTIFS('Contacts Overview'!$D$2:$D$200,$A70,'Contacts Overview'!$R$2:$R$200,"On Track"))</f>
        <v/>
      </c>
      <c r="L70" s="1" t="str">
        <f>IF($B70="","",COUNTIFS('Contacts Overview'!$D$2:$D$200,$A70,'Contacts Overview'!$R$2:$R$200,"For Review"))</f>
        <v/>
      </c>
      <c r="M70" s="1" t="str">
        <f>IF($B70="","",COUNTIFS('Contacts Overview'!$D$2:$D$200,$A70,'Contacts Overview'!$R$2:$R$200,"Overdue"))</f>
        <v/>
      </c>
    </row>
    <row r="71" spans="1:13" ht="15" customHeight="1" x14ac:dyDescent="0.35">
      <c r="A71" s="13" t="str">
        <f t="shared" si="2"/>
        <v/>
      </c>
      <c r="B71" s="1" t="str">
        <f>IFERROR(INDEX('Input Contact Information'!$B$2:$B$200,MATCH(ROW()-1,'Input Contact Information'!$T$2:$T$200,0)),"")</f>
        <v/>
      </c>
      <c r="H71" s="1" t="str">
        <f>IFERROR(INDEX('Input Contact Information'!$A$2:$A$200,MATCH($B71,'Input Contact Information'!$B$2:$B$200,0)),"")</f>
        <v/>
      </c>
      <c r="J71" s="1" t="str">
        <f>IF($B71="","",COUNTIFS('Input Contact Information'!$B$2:$B$200,$B71,'Input Contact Information'!$Q$2:$Q$200,"&lt;&gt;"))</f>
        <v/>
      </c>
      <c r="K71" s="1" t="str">
        <f>IF($B71="","",COUNTIFS('Contacts Overview'!$D$2:$D$200,$A71,'Contacts Overview'!$R$2:$R$200,"On Track"))</f>
        <v/>
      </c>
      <c r="L71" s="1" t="str">
        <f>IF($B71="","",COUNTIFS('Contacts Overview'!$D$2:$D$200,$A71,'Contacts Overview'!$R$2:$R$200,"For Review"))</f>
        <v/>
      </c>
      <c r="M71" s="1" t="str">
        <f>IF($B71="","",COUNTIFS('Contacts Overview'!$D$2:$D$200,$A71,'Contacts Overview'!$R$2:$R$200,"Overdue"))</f>
        <v/>
      </c>
    </row>
    <row r="72" spans="1:13" ht="15" customHeight="1" x14ac:dyDescent="0.35">
      <c r="A72" s="13" t="str">
        <f t="shared" si="2"/>
        <v/>
      </c>
      <c r="B72" s="1" t="str">
        <f>IFERROR(INDEX('Input Contact Information'!$B$2:$B$200,MATCH(ROW()-1,'Input Contact Information'!$T$2:$T$200,0)),"")</f>
        <v/>
      </c>
      <c r="H72" s="1" t="str">
        <f>IFERROR(INDEX('Input Contact Information'!$A$2:$A$200,MATCH($B72,'Input Contact Information'!$B$2:$B$200,0)),"")</f>
        <v/>
      </c>
      <c r="J72" s="1" t="str">
        <f>IF($B72="","",COUNTIFS('Input Contact Information'!$B$2:$B$200,$B72,'Input Contact Information'!$Q$2:$Q$200,"&lt;&gt;"))</f>
        <v/>
      </c>
      <c r="K72" s="1" t="str">
        <f>IF($B72="","",COUNTIFS('Contacts Overview'!$D$2:$D$200,$A72,'Contacts Overview'!$R$2:$R$200,"On Track"))</f>
        <v/>
      </c>
      <c r="L72" s="1" t="str">
        <f>IF($B72="","",COUNTIFS('Contacts Overview'!$D$2:$D$200,$A72,'Contacts Overview'!$R$2:$R$200,"For Review"))</f>
        <v/>
      </c>
      <c r="M72" s="1" t="str">
        <f>IF($B72="","",COUNTIFS('Contacts Overview'!$D$2:$D$200,$A72,'Contacts Overview'!$R$2:$R$200,"Overdue"))</f>
        <v/>
      </c>
    </row>
    <row r="73" spans="1:13" ht="15" customHeight="1" x14ac:dyDescent="0.35">
      <c r="A73" s="13" t="str">
        <f t="shared" si="2"/>
        <v/>
      </c>
      <c r="B73" s="1" t="str">
        <f>IFERROR(INDEX('Input Contact Information'!$B$2:$B$200,MATCH(ROW()-1,'Input Contact Information'!$T$2:$T$200,0)),"")</f>
        <v/>
      </c>
      <c r="H73" s="1" t="str">
        <f>IFERROR(INDEX('Input Contact Information'!$A$2:$A$200,MATCH($B73,'Input Contact Information'!$B$2:$B$200,0)),"")</f>
        <v/>
      </c>
      <c r="J73" s="1" t="str">
        <f>IF($B73="","",COUNTIFS('Input Contact Information'!$B$2:$B$200,$B73,'Input Contact Information'!$Q$2:$Q$200,"&lt;&gt;"))</f>
        <v/>
      </c>
      <c r="K73" s="1" t="str">
        <f>IF($B73="","",COUNTIFS('Contacts Overview'!$D$2:$D$200,$A73,'Contacts Overview'!$R$2:$R$200,"On Track"))</f>
        <v/>
      </c>
      <c r="L73" s="1" t="str">
        <f>IF($B73="","",COUNTIFS('Contacts Overview'!$D$2:$D$200,$A73,'Contacts Overview'!$R$2:$R$200,"For Review"))</f>
        <v/>
      </c>
      <c r="M73" s="1" t="str">
        <f>IF($B73="","",COUNTIFS('Contacts Overview'!$D$2:$D$200,$A73,'Contacts Overview'!$R$2:$R$200,"Overdue"))</f>
        <v/>
      </c>
    </row>
    <row r="74" spans="1:13" ht="15" customHeight="1" x14ac:dyDescent="0.35">
      <c r="A74" s="13" t="str">
        <f t="shared" si="2"/>
        <v/>
      </c>
      <c r="B74" s="1" t="str">
        <f>IFERROR(INDEX('Input Contact Information'!$B$2:$B$200,MATCH(ROW()-1,'Input Contact Information'!$T$2:$T$200,0)),"")</f>
        <v/>
      </c>
      <c r="H74" s="1" t="str">
        <f>IFERROR(INDEX('Input Contact Information'!$A$2:$A$200,MATCH($B74,'Input Contact Information'!$B$2:$B$200,0)),"")</f>
        <v/>
      </c>
      <c r="J74" s="1" t="str">
        <f>IF($B74="","",COUNTIFS('Input Contact Information'!$B$2:$B$200,$B74,'Input Contact Information'!$Q$2:$Q$200,"&lt;&gt;"))</f>
        <v/>
      </c>
      <c r="K74" s="1" t="str">
        <f>IF($B74="","",COUNTIFS('Contacts Overview'!$D$2:$D$200,$A74,'Contacts Overview'!$R$2:$R$200,"On Track"))</f>
        <v/>
      </c>
      <c r="L74" s="1" t="str">
        <f>IF($B74="","",COUNTIFS('Contacts Overview'!$D$2:$D$200,$A74,'Contacts Overview'!$R$2:$R$200,"For Review"))</f>
        <v/>
      </c>
      <c r="M74" s="1" t="str">
        <f>IF($B74="","",COUNTIFS('Contacts Overview'!$D$2:$D$200,$A74,'Contacts Overview'!$R$2:$R$200,"Overdue"))</f>
        <v/>
      </c>
    </row>
    <row r="75" spans="1:13" ht="15" customHeight="1" x14ac:dyDescent="0.35">
      <c r="A75" s="13" t="str">
        <f t="shared" si="2"/>
        <v/>
      </c>
      <c r="B75" s="1" t="str">
        <f>IFERROR(INDEX('Input Contact Information'!$B$2:$B$200,MATCH(ROW()-1,'Input Contact Information'!$T$2:$T$200,0)),"")</f>
        <v/>
      </c>
      <c r="H75" s="1" t="str">
        <f>IFERROR(INDEX('Input Contact Information'!$A$2:$A$200,MATCH($B75,'Input Contact Information'!$B$2:$B$200,0)),"")</f>
        <v/>
      </c>
      <c r="J75" s="1" t="str">
        <f>IF($B75="","",COUNTIFS('Input Contact Information'!$B$2:$B$200,$B75,'Input Contact Information'!$Q$2:$Q$200,"&lt;&gt;"))</f>
        <v/>
      </c>
      <c r="K75" s="1" t="str">
        <f>IF($B75="","",COUNTIFS('Contacts Overview'!$D$2:$D$200,$A75,'Contacts Overview'!$R$2:$R$200,"On Track"))</f>
        <v/>
      </c>
      <c r="L75" s="1" t="str">
        <f>IF($B75="","",COUNTIFS('Contacts Overview'!$D$2:$D$200,$A75,'Contacts Overview'!$R$2:$R$200,"For Review"))</f>
        <v/>
      </c>
      <c r="M75" s="1" t="str">
        <f>IF($B75="","",COUNTIFS('Contacts Overview'!$D$2:$D$200,$A75,'Contacts Overview'!$R$2:$R$200,"Overdue"))</f>
        <v/>
      </c>
    </row>
    <row r="76" spans="1:13" ht="15" customHeight="1" x14ac:dyDescent="0.35">
      <c r="A76" s="13" t="str">
        <f t="shared" si="2"/>
        <v/>
      </c>
      <c r="B76" s="1" t="str">
        <f>IFERROR(INDEX('Input Contact Information'!$B$2:$B$200,MATCH(ROW()-1,'Input Contact Information'!$T$2:$T$200,0)),"")</f>
        <v/>
      </c>
      <c r="H76" s="1" t="str">
        <f>IFERROR(INDEX('Input Contact Information'!$A$2:$A$200,MATCH($B76,'Input Contact Information'!$B$2:$B$200,0)),"")</f>
        <v/>
      </c>
      <c r="J76" s="1" t="str">
        <f>IF($B76="","",COUNTIFS('Input Contact Information'!$B$2:$B$200,$B76,'Input Contact Information'!$Q$2:$Q$200,"&lt;&gt;"))</f>
        <v/>
      </c>
      <c r="K76" s="1" t="str">
        <f>IF($B76="","",COUNTIFS('Contacts Overview'!$D$2:$D$200,$A76,'Contacts Overview'!$R$2:$R$200,"On Track"))</f>
        <v/>
      </c>
      <c r="L76" s="1" t="str">
        <f>IF($B76="","",COUNTIFS('Contacts Overview'!$D$2:$D$200,$A76,'Contacts Overview'!$R$2:$R$200,"For Review"))</f>
        <v/>
      </c>
      <c r="M76" s="1" t="str">
        <f>IF($B76="","",COUNTIFS('Contacts Overview'!$D$2:$D$200,$A76,'Contacts Overview'!$R$2:$R$200,"Overdue"))</f>
        <v/>
      </c>
    </row>
    <row r="77" spans="1:13" ht="15" customHeight="1" x14ac:dyDescent="0.35">
      <c r="A77" s="13" t="str">
        <f t="shared" si="2"/>
        <v/>
      </c>
      <c r="B77" s="1" t="str">
        <f>IFERROR(INDEX('Input Contact Information'!$B$2:$B$200,MATCH(ROW()-1,'Input Contact Information'!$T$2:$T$200,0)),"")</f>
        <v/>
      </c>
      <c r="H77" s="1" t="str">
        <f>IFERROR(INDEX('Input Contact Information'!$A$2:$A$200,MATCH($B77,'Input Contact Information'!$B$2:$B$200,0)),"")</f>
        <v/>
      </c>
      <c r="J77" s="1" t="str">
        <f>IF($B77="","",COUNTIFS('Input Contact Information'!$B$2:$B$200,$B77,'Input Contact Information'!$Q$2:$Q$200,"&lt;&gt;"))</f>
        <v/>
      </c>
      <c r="K77" s="1" t="str">
        <f>IF($B77="","",COUNTIFS('Contacts Overview'!$D$2:$D$200,$A77,'Contacts Overview'!$R$2:$R$200,"On Track"))</f>
        <v/>
      </c>
      <c r="L77" s="1" t="str">
        <f>IF($B77="","",COUNTIFS('Contacts Overview'!$D$2:$D$200,$A77,'Contacts Overview'!$R$2:$R$200,"For Review"))</f>
        <v/>
      </c>
      <c r="M77" s="1" t="str">
        <f>IF($B77="","",COUNTIFS('Contacts Overview'!$D$2:$D$200,$A77,'Contacts Overview'!$R$2:$R$200,"Overdue"))</f>
        <v/>
      </c>
    </row>
    <row r="78" spans="1:13" ht="15" customHeight="1" x14ac:dyDescent="0.35">
      <c r="A78" s="13" t="str">
        <f t="shared" si="2"/>
        <v/>
      </c>
      <c r="B78" s="1" t="str">
        <f>IFERROR(INDEX('Input Contact Information'!$B$2:$B$200,MATCH(ROW()-1,'Input Contact Information'!$T$2:$T$200,0)),"")</f>
        <v/>
      </c>
      <c r="H78" s="1" t="str">
        <f>IFERROR(INDEX('Input Contact Information'!$A$2:$A$200,MATCH($B78,'Input Contact Information'!$B$2:$B$200,0)),"")</f>
        <v/>
      </c>
      <c r="J78" s="1" t="str">
        <f>IF($B78="","",COUNTIFS('Input Contact Information'!$B$2:$B$200,$B78,'Input Contact Information'!$Q$2:$Q$200,"&lt;&gt;"))</f>
        <v/>
      </c>
      <c r="K78" s="1" t="str">
        <f>IF($B78="","",COUNTIFS('Contacts Overview'!$D$2:$D$200,$A78,'Contacts Overview'!$R$2:$R$200,"On Track"))</f>
        <v/>
      </c>
      <c r="L78" s="1" t="str">
        <f>IF($B78="","",COUNTIFS('Contacts Overview'!$D$2:$D$200,$A78,'Contacts Overview'!$R$2:$R$200,"For Review"))</f>
        <v/>
      </c>
      <c r="M78" s="1" t="str">
        <f>IF($B78="","",COUNTIFS('Contacts Overview'!$D$2:$D$200,$A78,'Contacts Overview'!$R$2:$R$200,"Overdue"))</f>
        <v/>
      </c>
    </row>
    <row r="79" spans="1:13" ht="15" customHeight="1" x14ac:dyDescent="0.35">
      <c r="A79" s="13" t="str">
        <f t="shared" si="2"/>
        <v/>
      </c>
      <c r="B79" s="1" t="str">
        <f>IFERROR(INDEX('Input Contact Information'!$B$2:$B$200,MATCH(ROW()-1,'Input Contact Information'!$T$2:$T$200,0)),"")</f>
        <v/>
      </c>
      <c r="H79" s="1" t="str">
        <f>IFERROR(INDEX('Input Contact Information'!$A$2:$A$200,MATCH($B79,'Input Contact Information'!$B$2:$B$200,0)),"")</f>
        <v/>
      </c>
      <c r="J79" s="1" t="str">
        <f>IF($B79="","",COUNTIFS('Input Contact Information'!$B$2:$B$200,$B79,'Input Contact Information'!$Q$2:$Q$200,"&lt;&gt;"))</f>
        <v/>
      </c>
      <c r="K79" s="1" t="str">
        <f>IF($B79="","",COUNTIFS('Contacts Overview'!$D$2:$D$200,$A79,'Contacts Overview'!$R$2:$R$200,"On Track"))</f>
        <v/>
      </c>
      <c r="L79" s="1" t="str">
        <f>IF($B79="","",COUNTIFS('Contacts Overview'!$D$2:$D$200,$A79,'Contacts Overview'!$R$2:$R$200,"For Review"))</f>
        <v/>
      </c>
      <c r="M79" s="1" t="str">
        <f>IF($B79="","",COUNTIFS('Contacts Overview'!$D$2:$D$200,$A79,'Contacts Overview'!$R$2:$R$200,"Overdue"))</f>
        <v/>
      </c>
    </row>
    <row r="80" spans="1:13" ht="15" customHeight="1" x14ac:dyDescent="0.35">
      <c r="A80" s="13" t="str">
        <f t="shared" si="2"/>
        <v/>
      </c>
      <c r="B80" s="1" t="str">
        <f>IFERROR(INDEX('Input Contact Information'!$B$2:$B$200,MATCH(ROW()-1,'Input Contact Information'!$T$2:$T$200,0)),"")</f>
        <v/>
      </c>
      <c r="H80" s="1" t="str">
        <f>IFERROR(INDEX('Input Contact Information'!$A$2:$A$200,MATCH($B80,'Input Contact Information'!$B$2:$B$200,0)),"")</f>
        <v/>
      </c>
      <c r="J80" s="1" t="str">
        <f>IF($B80="","",COUNTIFS('Input Contact Information'!$B$2:$B$200,$B80,'Input Contact Information'!$Q$2:$Q$200,"&lt;&gt;"))</f>
        <v/>
      </c>
      <c r="K80" s="1" t="str">
        <f>IF($B80="","",COUNTIFS('Contacts Overview'!$D$2:$D$200,$A80,'Contacts Overview'!$R$2:$R$200,"On Track"))</f>
        <v/>
      </c>
      <c r="L80" s="1" t="str">
        <f>IF($B80="","",COUNTIFS('Contacts Overview'!$D$2:$D$200,$A80,'Contacts Overview'!$R$2:$R$200,"For Review"))</f>
        <v/>
      </c>
      <c r="M80" s="1" t="str">
        <f>IF($B80="","",COUNTIFS('Contacts Overview'!$D$2:$D$200,$A80,'Contacts Overview'!$R$2:$R$200,"Overdue"))</f>
        <v/>
      </c>
    </row>
    <row r="81" spans="1:13" ht="15" customHeight="1" x14ac:dyDescent="0.35">
      <c r="A81" s="13" t="str">
        <f t="shared" si="2"/>
        <v/>
      </c>
      <c r="B81" s="1" t="str">
        <f>IFERROR(INDEX('Input Contact Information'!$B$2:$B$200,MATCH(ROW()-1,'Input Contact Information'!$T$2:$T$200,0)),"")</f>
        <v/>
      </c>
      <c r="H81" s="1" t="str">
        <f>IFERROR(INDEX('Input Contact Information'!$A$2:$A$200,MATCH($B81,'Input Contact Information'!$B$2:$B$200,0)),"")</f>
        <v/>
      </c>
      <c r="J81" s="1" t="str">
        <f>IF($B81="","",COUNTIFS('Input Contact Information'!$B$2:$B$200,$B81,'Input Contact Information'!$Q$2:$Q$200,"&lt;&gt;"))</f>
        <v/>
      </c>
      <c r="K81" s="1" t="str">
        <f>IF($B81="","",COUNTIFS('Contacts Overview'!$D$2:$D$200,$A81,'Contacts Overview'!$R$2:$R$200,"On Track"))</f>
        <v/>
      </c>
      <c r="L81" s="1" t="str">
        <f>IF($B81="","",COUNTIFS('Contacts Overview'!$D$2:$D$200,$A81,'Contacts Overview'!$R$2:$R$200,"For Review"))</f>
        <v/>
      </c>
      <c r="M81" s="1" t="str">
        <f>IF($B81="","",COUNTIFS('Contacts Overview'!$D$2:$D$200,$A81,'Contacts Overview'!$R$2:$R$200,"Overdue"))</f>
        <v/>
      </c>
    </row>
    <row r="82" spans="1:13" ht="15" customHeight="1" x14ac:dyDescent="0.35">
      <c r="A82" s="13" t="str">
        <f t="shared" si="2"/>
        <v/>
      </c>
      <c r="B82" s="1" t="str">
        <f>IFERROR(INDEX('Input Contact Information'!$B$2:$B$200,MATCH(ROW()-1,'Input Contact Information'!$T$2:$T$200,0)),"")</f>
        <v/>
      </c>
      <c r="H82" s="1" t="str">
        <f>IFERROR(INDEX('Input Contact Information'!$A$2:$A$200,MATCH($B82,'Input Contact Information'!$B$2:$B$200,0)),"")</f>
        <v/>
      </c>
      <c r="J82" s="1" t="str">
        <f>IF($B82="","",COUNTIFS('Input Contact Information'!$B$2:$B$200,$B82,'Input Contact Information'!$Q$2:$Q$200,"&lt;&gt;"))</f>
        <v/>
      </c>
      <c r="K82" s="1" t="str">
        <f>IF($B82="","",COUNTIFS('Contacts Overview'!$D$2:$D$200,$A82,'Contacts Overview'!$R$2:$R$200,"On Track"))</f>
        <v/>
      </c>
      <c r="L82" s="1" t="str">
        <f>IF($B82="","",COUNTIFS('Contacts Overview'!$D$2:$D$200,$A82,'Contacts Overview'!$R$2:$R$200,"For Review"))</f>
        <v/>
      </c>
      <c r="M82" s="1" t="str">
        <f>IF($B82="","",COUNTIFS('Contacts Overview'!$D$2:$D$200,$A82,'Contacts Overview'!$R$2:$R$200,"Overdue"))</f>
        <v/>
      </c>
    </row>
    <row r="83" spans="1:13" ht="15" customHeight="1" x14ac:dyDescent="0.35">
      <c r="A83" s="13" t="str">
        <f t="shared" si="2"/>
        <v/>
      </c>
      <c r="B83" s="1" t="str">
        <f>IFERROR(INDEX('Input Contact Information'!$B$2:$B$200,MATCH(ROW()-1,'Input Contact Information'!$T$2:$T$200,0)),"")</f>
        <v/>
      </c>
      <c r="H83" s="1" t="str">
        <f>IFERROR(INDEX('Input Contact Information'!$A$2:$A$200,MATCH($B83,'Input Contact Information'!$B$2:$B$200,0)),"")</f>
        <v/>
      </c>
      <c r="J83" s="1" t="str">
        <f>IF($B83="","",COUNTIFS('Input Contact Information'!$B$2:$B$200,$B83,'Input Contact Information'!$Q$2:$Q$200,"&lt;&gt;"))</f>
        <v/>
      </c>
      <c r="K83" s="1" t="str">
        <f>IF($B83="","",COUNTIFS('Contacts Overview'!$D$2:$D$200,$A83,'Contacts Overview'!$R$2:$R$200,"On Track"))</f>
        <v/>
      </c>
      <c r="L83" s="1" t="str">
        <f>IF($B83="","",COUNTIFS('Contacts Overview'!$D$2:$D$200,$A83,'Contacts Overview'!$R$2:$R$200,"For Review"))</f>
        <v/>
      </c>
      <c r="M83" s="1" t="str">
        <f>IF($B83="","",COUNTIFS('Contacts Overview'!$D$2:$D$200,$A83,'Contacts Overview'!$R$2:$R$200,"Overdue"))</f>
        <v/>
      </c>
    </row>
    <row r="84" spans="1:13" ht="15" customHeight="1" x14ac:dyDescent="0.35">
      <c r="A84" s="13" t="str">
        <f t="shared" si="2"/>
        <v/>
      </c>
      <c r="B84" s="1" t="str">
        <f>IFERROR(INDEX('Input Contact Information'!$B$2:$B$200,MATCH(ROW()-1,'Input Contact Information'!$T$2:$T$200,0)),"")</f>
        <v/>
      </c>
      <c r="H84" s="1" t="str">
        <f>IFERROR(INDEX('Input Contact Information'!$A$2:$A$200,MATCH($B84,'Input Contact Information'!$B$2:$B$200,0)),"")</f>
        <v/>
      </c>
      <c r="J84" s="1" t="str">
        <f>IF($B84="","",COUNTIFS('Input Contact Information'!$B$2:$B$200,$B84,'Input Contact Information'!$Q$2:$Q$200,"&lt;&gt;"))</f>
        <v/>
      </c>
      <c r="K84" s="1" t="str">
        <f>IF($B84="","",COUNTIFS('Contacts Overview'!$D$2:$D$200,$A84,'Contacts Overview'!$R$2:$R$200,"On Track"))</f>
        <v/>
      </c>
      <c r="L84" s="1" t="str">
        <f>IF($B84="","",COUNTIFS('Contacts Overview'!$D$2:$D$200,$A84,'Contacts Overview'!$R$2:$R$200,"For Review"))</f>
        <v/>
      </c>
      <c r="M84" s="1" t="str">
        <f>IF($B84="","",COUNTIFS('Contacts Overview'!$D$2:$D$200,$A84,'Contacts Overview'!$R$2:$R$200,"Overdue"))</f>
        <v/>
      </c>
    </row>
    <row r="85" spans="1:13" ht="15" customHeight="1" x14ac:dyDescent="0.35">
      <c r="A85" s="13" t="str">
        <f t="shared" si="2"/>
        <v/>
      </c>
      <c r="B85" s="1" t="str">
        <f>IFERROR(INDEX('Input Contact Information'!$B$2:$B$200,MATCH(ROW()-1,'Input Contact Information'!$T$2:$T$200,0)),"")</f>
        <v/>
      </c>
      <c r="H85" s="1" t="str">
        <f>IFERROR(INDEX('Input Contact Information'!$A$2:$A$200,MATCH($B85,'Input Contact Information'!$B$2:$B$200,0)),"")</f>
        <v/>
      </c>
      <c r="J85" s="1" t="str">
        <f>IF($B85="","",COUNTIFS('Input Contact Information'!$B$2:$B$200,$B85,'Input Contact Information'!$Q$2:$Q$200,"&lt;&gt;"))</f>
        <v/>
      </c>
      <c r="K85" s="1" t="str">
        <f>IF($B85="","",COUNTIFS('Contacts Overview'!$D$2:$D$200,$A85,'Contacts Overview'!$R$2:$R$200,"On Track"))</f>
        <v/>
      </c>
      <c r="L85" s="1" t="str">
        <f>IF($B85="","",COUNTIFS('Contacts Overview'!$D$2:$D$200,$A85,'Contacts Overview'!$R$2:$R$200,"For Review"))</f>
        <v/>
      </c>
      <c r="M85" s="1" t="str">
        <f>IF($B85="","",COUNTIFS('Contacts Overview'!$D$2:$D$200,$A85,'Contacts Overview'!$R$2:$R$200,"Overdue"))</f>
        <v/>
      </c>
    </row>
    <row r="86" spans="1:13" ht="15" customHeight="1" x14ac:dyDescent="0.35">
      <c r="A86" s="13" t="str">
        <f t="shared" si="2"/>
        <v/>
      </c>
      <c r="B86" s="1" t="str">
        <f>IFERROR(INDEX('Input Contact Information'!$B$2:$B$200,MATCH(ROW()-1,'Input Contact Information'!$T$2:$T$200,0)),"")</f>
        <v/>
      </c>
      <c r="H86" s="1" t="str">
        <f>IFERROR(INDEX('Input Contact Information'!$A$2:$A$200,MATCH($B86,'Input Contact Information'!$B$2:$B$200,0)),"")</f>
        <v/>
      </c>
      <c r="J86" s="1" t="str">
        <f>IF($B86="","",COUNTIFS('Input Contact Information'!$B$2:$B$200,$B86,'Input Contact Information'!$Q$2:$Q$200,"&lt;&gt;"))</f>
        <v/>
      </c>
      <c r="K86" s="1" t="str">
        <f>IF($B86="","",COUNTIFS('Contacts Overview'!$D$2:$D$200,$A86,'Contacts Overview'!$R$2:$R$200,"On Track"))</f>
        <v/>
      </c>
      <c r="L86" s="1" t="str">
        <f>IF($B86="","",COUNTIFS('Contacts Overview'!$D$2:$D$200,$A86,'Contacts Overview'!$R$2:$R$200,"For Review"))</f>
        <v/>
      </c>
      <c r="M86" s="1" t="str">
        <f>IF($B86="","",COUNTIFS('Contacts Overview'!$D$2:$D$200,$A86,'Contacts Overview'!$R$2:$R$200,"Overdue"))</f>
        <v/>
      </c>
    </row>
    <row r="87" spans="1:13" ht="15" customHeight="1" x14ac:dyDescent="0.35">
      <c r="A87" s="13" t="str">
        <f t="shared" si="2"/>
        <v/>
      </c>
      <c r="B87" s="1" t="str">
        <f>IFERROR(INDEX('Input Contact Information'!$B$2:$B$200,MATCH(ROW()-1,'Input Contact Information'!$T$2:$T$200,0)),"")</f>
        <v/>
      </c>
      <c r="H87" s="1" t="str">
        <f>IFERROR(INDEX('Input Contact Information'!$A$2:$A$200,MATCH($B87,'Input Contact Information'!$B$2:$B$200,0)),"")</f>
        <v/>
      </c>
      <c r="J87" s="1" t="str">
        <f>IF($B87="","",COUNTIFS('Input Contact Information'!$B$2:$B$200,$B87,'Input Contact Information'!$Q$2:$Q$200,"&lt;&gt;"))</f>
        <v/>
      </c>
      <c r="K87" s="1" t="str">
        <f>IF($B87="","",COUNTIFS('Contacts Overview'!$D$2:$D$200,$A87,'Contacts Overview'!$R$2:$R$200,"On Track"))</f>
        <v/>
      </c>
      <c r="L87" s="1" t="str">
        <f>IF($B87="","",COUNTIFS('Contacts Overview'!$D$2:$D$200,$A87,'Contacts Overview'!$R$2:$R$200,"For Review"))</f>
        <v/>
      </c>
      <c r="M87" s="1" t="str">
        <f>IF($B87="","",COUNTIFS('Contacts Overview'!$D$2:$D$200,$A87,'Contacts Overview'!$R$2:$R$200,"Overdue"))</f>
        <v/>
      </c>
    </row>
    <row r="88" spans="1:13" ht="15" customHeight="1" x14ac:dyDescent="0.35">
      <c r="A88" s="13" t="str">
        <f t="shared" si="2"/>
        <v/>
      </c>
      <c r="B88" s="1" t="str">
        <f>IFERROR(INDEX('Input Contact Information'!$B$2:$B$200,MATCH(ROW()-1,'Input Contact Information'!$T$2:$T$200,0)),"")</f>
        <v/>
      </c>
      <c r="H88" s="1" t="str">
        <f>IFERROR(INDEX('Input Contact Information'!$A$2:$A$200,MATCH($B88,'Input Contact Information'!$B$2:$B$200,0)),"")</f>
        <v/>
      </c>
      <c r="J88" s="1" t="str">
        <f>IF($B88="","",COUNTIFS('Input Contact Information'!$B$2:$B$200,$B88,'Input Contact Information'!$Q$2:$Q$200,"&lt;&gt;"))</f>
        <v/>
      </c>
      <c r="K88" s="1" t="str">
        <f>IF($B88="","",COUNTIFS('Contacts Overview'!$D$2:$D$200,$A88,'Contacts Overview'!$R$2:$R$200,"On Track"))</f>
        <v/>
      </c>
      <c r="L88" s="1" t="str">
        <f>IF($B88="","",COUNTIFS('Contacts Overview'!$D$2:$D$200,$A88,'Contacts Overview'!$R$2:$R$200,"For Review"))</f>
        <v/>
      </c>
      <c r="M88" s="1" t="str">
        <f>IF($B88="","",COUNTIFS('Contacts Overview'!$D$2:$D$200,$A88,'Contacts Overview'!$R$2:$R$200,"Overdue"))</f>
        <v/>
      </c>
    </row>
    <row r="89" spans="1:13" ht="15" customHeight="1" x14ac:dyDescent="0.35">
      <c r="A89" s="13" t="str">
        <f t="shared" si="2"/>
        <v/>
      </c>
      <c r="B89" s="1" t="str">
        <f>IFERROR(INDEX('Input Contact Information'!$B$2:$B$200,MATCH(ROW()-1,'Input Contact Information'!$T$2:$T$200,0)),"")</f>
        <v/>
      </c>
      <c r="H89" s="1" t="str">
        <f>IFERROR(INDEX('Input Contact Information'!$A$2:$A$200,MATCH($B89,'Input Contact Information'!$B$2:$B$200,0)),"")</f>
        <v/>
      </c>
      <c r="J89" s="1" t="str">
        <f>IF($B89="","",COUNTIFS('Input Contact Information'!$B$2:$B$200,$B89,'Input Contact Information'!$Q$2:$Q$200,"&lt;&gt;"))</f>
        <v/>
      </c>
      <c r="K89" s="1" t="str">
        <f>IF($B89="","",COUNTIFS('Contacts Overview'!$D$2:$D$200,$A89,'Contacts Overview'!$R$2:$R$200,"On Track"))</f>
        <v/>
      </c>
      <c r="L89" s="1" t="str">
        <f>IF($B89="","",COUNTIFS('Contacts Overview'!$D$2:$D$200,$A89,'Contacts Overview'!$R$2:$R$200,"For Review"))</f>
        <v/>
      </c>
      <c r="M89" s="1" t="str">
        <f>IF($B89="","",COUNTIFS('Contacts Overview'!$D$2:$D$200,$A89,'Contacts Overview'!$R$2:$R$200,"Overdue"))</f>
        <v/>
      </c>
    </row>
    <row r="90" spans="1:13" ht="15" customHeight="1" x14ac:dyDescent="0.35">
      <c r="A90" s="13" t="str">
        <f t="shared" si="2"/>
        <v/>
      </c>
      <c r="B90" s="1" t="str">
        <f>IFERROR(INDEX('Input Contact Information'!$B$2:$B$200,MATCH(ROW()-1,'Input Contact Information'!$T$2:$T$200,0)),"")</f>
        <v/>
      </c>
      <c r="H90" s="1" t="str">
        <f>IFERROR(INDEX('Input Contact Information'!$A$2:$A$200,MATCH($B90,'Input Contact Information'!$B$2:$B$200,0)),"")</f>
        <v/>
      </c>
      <c r="J90" s="1" t="str">
        <f>IF($B90="","",COUNTIFS('Input Contact Information'!$B$2:$B$200,$B90,'Input Contact Information'!$Q$2:$Q$200,"&lt;&gt;"))</f>
        <v/>
      </c>
      <c r="K90" s="1" t="str">
        <f>IF($B90="","",COUNTIFS('Contacts Overview'!$D$2:$D$200,$A90,'Contacts Overview'!$R$2:$R$200,"On Track"))</f>
        <v/>
      </c>
      <c r="L90" s="1" t="str">
        <f>IF($B90="","",COUNTIFS('Contacts Overview'!$D$2:$D$200,$A90,'Contacts Overview'!$R$2:$R$200,"For Review"))</f>
        <v/>
      </c>
      <c r="M90" s="1" t="str">
        <f>IF($B90="","",COUNTIFS('Contacts Overview'!$D$2:$D$200,$A90,'Contacts Overview'!$R$2:$R$200,"Overdue"))</f>
        <v/>
      </c>
    </row>
    <row r="91" spans="1:13" ht="15" customHeight="1" x14ac:dyDescent="0.35">
      <c r="A91" s="13" t="str">
        <f t="shared" si="2"/>
        <v/>
      </c>
      <c r="B91" s="1" t="str">
        <f>IFERROR(INDEX('Input Contact Information'!$B$2:$B$200,MATCH(ROW()-1,'Input Contact Information'!$T$2:$T$200,0)),"")</f>
        <v/>
      </c>
      <c r="H91" s="1" t="str">
        <f>IFERROR(INDEX('Input Contact Information'!$A$2:$A$200,MATCH($B91,'Input Contact Information'!$B$2:$B$200,0)),"")</f>
        <v/>
      </c>
      <c r="J91" s="1" t="str">
        <f>IF($B91="","",COUNTIFS('Input Contact Information'!$B$2:$B$200,$B91,'Input Contact Information'!$Q$2:$Q$200,"&lt;&gt;"))</f>
        <v/>
      </c>
      <c r="K91" s="1" t="str">
        <f>IF($B91="","",COUNTIFS('Contacts Overview'!$D$2:$D$200,$A91,'Contacts Overview'!$R$2:$R$200,"On Track"))</f>
        <v/>
      </c>
      <c r="L91" s="1" t="str">
        <f>IF($B91="","",COUNTIFS('Contacts Overview'!$D$2:$D$200,$A91,'Contacts Overview'!$R$2:$R$200,"For Review"))</f>
        <v/>
      </c>
      <c r="M91" s="1" t="str">
        <f>IF($B91="","",COUNTIFS('Contacts Overview'!$D$2:$D$200,$A91,'Contacts Overview'!$R$2:$R$200,"Overdue"))</f>
        <v/>
      </c>
    </row>
    <row r="92" spans="1:13" ht="15" customHeight="1" x14ac:dyDescent="0.35">
      <c r="A92" s="13" t="str">
        <f t="shared" si="2"/>
        <v/>
      </c>
      <c r="B92" s="1" t="str">
        <f>IFERROR(INDEX('Input Contact Information'!$B$2:$B$200,MATCH(ROW()-1,'Input Contact Information'!$T$2:$T$200,0)),"")</f>
        <v/>
      </c>
      <c r="H92" s="1" t="str">
        <f>IFERROR(INDEX('Input Contact Information'!$A$2:$A$200,MATCH($B92,'Input Contact Information'!$B$2:$B$200,0)),"")</f>
        <v/>
      </c>
      <c r="J92" s="1" t="str">
        <f>IF($B92="","",COUNTIFS('Input Contact Information'!$B$2:$B$200,$B92,'Input Contact Information'!$Q$2:$Q$200,"&lt;&gt;"))</f>
        <v/>
      </c>
      <c r="K92" s="1" t="str">
        <f>IF($B92="","",COUNTIFS('Contacts Overview'!$D$2:$D$200,$A92,'Contacts Overview'!$R$2:$R$200,"On Track"))</f>
        <v/>
      </c>
      <c r="L92" s="1" t="str">
        <f>IF($B92="","",COUNTIFS('Contacts Overview'!$D$2:$D$200,$A92,'Contacts Overview'!$R$2:$R$200,"For Review"))</f>
        <v/>
      </c>
      <c r="M92" s="1" t="str">
        <f>IF($B92="","",COUNTIFS('Contacts Overview'!$D$2:$D$200,$A92,'Contacts Overview'!$R$2:$R$200,"Overdue"))</f>
        <v/>
      </c>
    </row>
    <row r="93" spans="1:13" ht="15" customHeight="1" x14ac:dyDescent="0.35">
      <c r="A93" s="13" t="str">
        <f t="shared" si="2"/>
        <v/>
      </c>
      <c r="B93" s="1" t="str">
        <f>IFERROR(INDEX('Input Contact Information'!$B$2:$B$200,MATCH(ROW()-1,'Input Contact Information'!$T$2:$T$200,0)),"")</f>
        <v/>
      </c>
      <c r="H93" s="1" t="str">
        <f>IFERROR(INDEX('Input Contact Information'!$A$2:$A$200,MATCH($B93,'Input Contact Information'!$B$2:$B$200,0)),"")</f>
        <v/>
      </c>
      <c r="J93" s="1" t="str">
        <f>IF($B93="","",COUNTIFS('Input Contact Information'!$B$2:$B$200,$B93,'Input Contact Information'!$Q$2:$Q$200,"&lt;&gt;"))</f>
        <v/>
      </c>
      <c r="K93" s="1" t="str">
        <f>IF($B93="","",COUNTIFS('Contacts Overview'!$D$2:$D$200,$A93,'Contacts Overview'!$R$2:$R$200,"On Track"))</f>
        <v/>
      </c>
      <c r="L93" s="1" t="str">
        <f>IF($B93="","",COUNTIFS('Contacts Overview'!$D$2:$D$200,$A93,'Contacts Overview'!$R$2:$R$200,"For Review"))</f>
        <v/>
      </c>
      <c r="M93" s="1" t="str">
        <f>IF($B93="","",COUNTIFS('Contacts Overview'!$D$2:$D$200,$A93,'Contacts Overview'!$R$2:$R$200,"Overdue"))</f>
        <v/>
      </c>
    </row>
    <row r="94" spans="1:13" ht="15" customHeight="1" x14ac:dyDescent="0.35">
      <c r="A94" s="13" t="str">
        <f t="shared" si="2"/>
        <v/>
      </c>
      <c r="B94" s="1" t="str">
        <f>IFERROR(INDEX('Input Contact Information'!$B$2:$B$200,MATCH(ROW()-1,'Input Contact Information'!$T$2:$T$200,0)),"")</f>
        <v/>
      </c>
      <c r="H94" s="1" t="str">
        <f>IFERROR(INDEX('Input Contact Information'!$A$2:$A$200,MATCH($B94,'Input Contact Information'!$B$2:$B$200,0)),"")</f>
        <v/>
      </c>
      <c r="J94" s="1" t="str">
        <f>IF($B94="","",COUNTIFS('Input Contact Information'!$B$2:$B$200,$B94,'Input Contact Information'!$Q$2:$Q$200,"&lt;&gt;"))</f>
        <v/>
      </c>
      <c r="K94" s="1" t="str">
        <f>IF($B94="","",COUNTIFS('Contacts Overview'!$D$2:$D$200,$A94,'Contacts Overview'!$R$2:$R$200,"On Track"))</f>
        <v/>
      </c>
      <c r="L94" s="1" t="str">
        <f>IF($B94="","",COUNTIFS('Contacts Overview'!$D$2:$D$200,$A94,'Contacts Overview'!$R$2:$R$200,"For Review"))</f>
        <v/>
      </c>
      <c r="M94" s="1" t="str">
        <f>IF($B94="","",COUNTIFS('Contacts Overview'!$D$2:$D$200,$A94,'Contacts Overview'!$R$2:$R$200,"Overdue"))</f>
        <v/>
      </c>
    </row>
    <row r="95" spans="1:13" ht="15" customHeight="1" x14ac:dyDescent="0.35">
      <c r="A95" s="13" t="str">
        <f t="shared" si="2"/>
        <v/>
      </c>
      <c r="B95" s="1" t="str">
        <f>IFERROR(INDEX('Input Contact Information'!$B$2:$B$200,MATCH(ROW()-1,'Input Contact Information'!$T$2:$T$200,0)),"")</f>
        <v/>
      </c>
      <c r="H95" s="1" t="str">
        <f>IFERROR(INDEX('Input Contact Information'!$A$2:$A$200,MATCH($B95,'Input Contact Information'!$B$2:$B$200,0)),"")</f>
        <v/>
      </c>
      <c r="J95" s="1" t="str">
        <f>IF($B95="","",COUNTIFS('Input Contact Information'!$B$2:$B$200,$B95,'Input Contact Information'!$Q$2:$Q$200,"&lt;&gt;"))</f>
        <v/>
      </c>
      <c r="K95" s="1" t="str">
        <f>IF($B95="","",COUNTIFS('Contacts Overview'!$D$2:$D$200,$A95,'Contacts Overview'!$R$2:$R$200,"On Track"))</f>
        <v/>
      </c>
      <c r="L95" s="1" t="str">
        <f>IF($B95="","",COUNTIFS('Contacts Overview'!$D$2:$D$200,$A95,'Contacts Overview'!$R$2:$R$200,"For Review"))</f>
        <v/>
      </c>
      <c r="M95" s="1" t="str">
        <f>IF($B95="","",COUNTIFS('Contacts Overview'!$D$2:$D$200,$A95,'Contacts Overview'!$R$2:$R$200,"Overdue"))</f>
        <v/>
      </c>
    </row>
    <row r="96" spans="1:13" ht="15" customHeight="1" x14ac:dyDescent="0.35">
      <c r="A96" s="13" t="str">
        <f t="shared" si="2"/>
        <v/>
      </c>
      <c r="B96" s="1" t="str">
        <f>IFERROR(INDEX('Input Contact Information'!$B$2:$B$200,MATCH(ROW()-1,'Input Contact Information'!$T$2:$T$200,0)),"")</f>
        <v/>
      </c>
      <c r="H96" s="1" t="str">
        <f>IFERROR(INDEX('Input Contact Information'!$A$2:$A$200,MATCH($B96,'Input Contact Information'!$B$2:$B$200,0)),"")</f>
        <v/>
      </c>
      <c r="J96" s="1" t="str">
        <f>IF($B96="","",COUNTIFS('Input Contact Information'!$B$2:$B$200,$B96,'Input Contact Information'!$Q$2:$Q$200,"&lt;&gt;"))</f>
        <v/>
      </c>
      <c r="K96" s="1" t="str">
        <f>IF($B96="","",COUNTIFS('Contacts Overview'!$D$2:$D$200,$A96,'Contacts Overview'!$R$2:$R$200,"On Track"))</f>
        <v/>
      </c>
      <c r="L96" s="1" t="str">
        <f>IF($B96="","",COUNTIFS('Contacts Overview'!$D$2:$D$200,$A96,'Contacts Overview'!$R$2:$R$200,"For Review"))</f>
        <v/>
      </c>
      <c r="M96" s="1" t="str">
        <f>IF($B96="","",COUNTIFS('Contacts Overview'!$D$2:$D$200,$A96,'Contacts Overview'!$R$2:$R$200,"Overdue"))</f>
        <v/>
      </c>
    </row>
    <row r="97" spans="1:13" ht="15" customHeight="1" x14ac:dyDescent="0.35">
      <c r="A97" s="13" t="str">
        <f t="shared" si="2"/>
        <v/>
      </c>
      <c r="B97" s="1" t="str">
        <f>IFERROR(INDEX('Input Contact Information'!$B$2:$B$200,MATCH(ROW()-1,'Input Contact Information'!$T$2:$T$200,0)),"")</f>
        <v/>
      </c>
      <c r="H97" s="1" t="str">
        <f>IFERROR(INDEX('Input Contact Information'!$A$2:$A$200,MATCH($B97,'Input Contact Information'!$B$2:$B$200,0)),"")</f>
        <v/>
      </c>
      <c r="J97" s="1" t="str">
        <f>IF($B97="","",COUNTIFS('Input Contact Information'!$B$2:$B$200,$B97,'Input Contact Information'!$Q$2:$Q$200,"&lt;&gt;"))</f>
        <v/>
      </c>
      <c r="K97" s="1" t="str">
        <f>IF($B97="","",COUNTIFS('Contacts Overview'!$D$2:$D$200,$A97,'Contacts Overview'!$R$2:$R$200,"On Track"))</f>
        <v/>
      </c>
      <c r="L97" s="1" t="str">
        <f>IF($B97="","",COUNTIFS('Contacts Overview'!$D$2:$D$200,$A97,'Contacts Overview'!$R$2:$R$200,"For Review"))</f>
        <v/>
      </c>
      <c r="M97" s="1" t="str">
        <f>IF($B97="","",COUNTIFS('Contacts Overview'!$D$2:$D$200,$A97,'Contacts Overview'!$R$2:$R$200,"Overdue"))</f>
        <v/>
      </c>
    </row>
    <row r="98" spans="1:13" ht="15" customHeight="1" x14ac:dyDescent="0.35">
      <c r="A98" s="13" t="str">
        <f t="shared" ref="A98:A100" si="3">IF(B98="","","ACC"&amp;TEXT(ROW()-1,"0000"))</f>
        <v/>
      </c>
      <c r="B98" s="1" t="str">
        <f>IFERROR(INDEX('Input Contact Information'!$B$2:$B$200,MATCH(ROW()-1,'Input Contact Information'!$T$2:$T$200,0)),"")</f>
        <v/>
      </c>
      <c r="H98" s="1" t="str">
        <f>IFERROR(INDEX('Input Contact Information'!$A$2:$A$200,MATCH($B98,'Input Contact Information'!$B$2:$B$200,0)),"")</f>
        <v/>
      </c>
      <c r="J98" s="1" t="str">
        <f>IF($B98="","",COUNTIFS('Input Contact Information'!$B$2:$B$200,$B98,'Input Contact Information'!$Q$2:$Q$200,"&lt;&gt;"))</f>
        <v/>
      </c>
      <c r="K98" s="1" t="str">
        <f>IF($B98="","",COUNTIFS('Contacts Overview'!$D$2:$D$200,$A98,'Contacts Overview'!$R$2:$R$200,"On Track"))</f>
        <v/>
      </c>
      <c r="L98" s="1" t="str">
        <f>IF($B98="","",COUNTIFS('Contacts Overview'!$D$2:$D$200,$A98,'Contacts Overview'!$R$2:$R$200,"For Review"))</f>
        <v/>
      </c>
      <c r="M98" s="1" t="str">
        <f>IF($B98="","",COUNTIFS('Contacts Overview'!$D$2:$D$200,$A98,'Contacts Overview'!$R$2:$R$200,"Overdue"))</f>
        <v/>
      </c>
    </row>
    <row r="99" spans="1:13" ht="15" customHeight="1" x14ac:dyDescent="0.35">
      <c r="A99" s="13" t="str">
        <f t="shared" si="3"/>
        <v/>
      </c>
      <c r="B99" s="1" t="str">
        <f>IFERROR(INDEX('Input Contact Information'!$B$2:$B$200,MATCH(ROW()-1,'Input Contact Information'!$T$2:$T$200,0)),"")</f>
        <v/>
      </c>
      <c r="H99" s="1" t="str">
        <f>IFERROR(INDEX('Input Contact Information'!$A$2:$A$200,MATCH($B99,'Input Contact Information'!$B$2:$B$200,0)),"")</f>
        <v/>
      </c>
      <c r="J99" s="1" t="str">
        <f>IF($B99="","",COUNTIFS('Input Contact Information'!$B$2:$B$200,$B99,'Input Contact Information'!$Q$2:$Q$200,"&lt;&gt;"))</f>
        <v/>
      </c>
      <c r="K99" s="1" t="str">
        <f>IF($B99="","",COUNTIFS('Contacts Overview'!$D$2:$D$200,$A99,'Contacts Overview'!$R$2:$R$200,"On Track"))</f>
        <v/>
      </c>
      <c r="L99" s="1" t="str">
        <f>IF($B99="","",COUNTIFS('Contacts Overview'!$D$2:$D$200,$A99,'Contacts Overview'!$R$2:$R$200,"For Review"))</f>
        <v/>
      </c>
      <c r="M99" s="1" t="str">
        <f>IF($B99="","",COUNTIFS('Contacts Overview'!$D$2:$D$200,$A99,'Contacts Overview'!$R$2:$R$200,"Overdue"))</f>
        <v/>
      </c>
    </row>
    <row r="100" spans="1:13" ht="15" customHeight="1" x14ac:dyDescent="0.35">
      <c r="A100" s="13" t="str">
        <f t="shared" si="3"/>
        <v/>
      </c>
      <c r="B100" s="1" t="str">
        <f>IFERROR(INDEX('Input Contact Information'!$B$2:$B$200,MATCH(ROW()-1,'Input Contact Information'!$T$2:$T$200,0)),"")</f>
        <v/>
      </c>
      <c r="H100" s="1" t="str">
        <f>IFERROR(INDEX('Input Contact Information'!$A$2:$A$200,MATCH($B100,'Input Contact Information'!$B$2:$B$200,0)),"")</f>
        <v/>
      </c>
      <c r="J100" s="1" t="str">
        <f>IF($B100="","",COUNTIFS('Input Contact Information'!$B$2:$B$200,$B100,'Input Contact Information'!$Q$2:$Q$200,"&lt;&gt;"))</f>
        <v/>
      </c>
      <c r="K100" s="1" t="str">
        <f>IF($B100="","",COUNTIFS('Contacts Overview'!$D$2:$D$200,$A100,'Contacts Overview'!$R$2:$R$200,"On Track"))</f>
        <v/>
      </c>
      <c r="L100" s="1" t="str">
        <f>IF($B100="","",COUNTIFS('Contacts Overview'!$D$2:$D$200,$A100,'Contacts Overview'!$R$2:$R$200,"For Review"))</f>
        <v/>
      </c>
      <c r="M100" s="1" t="str">
        <f>IF($B100="","",COUNTIFS('Contacts Overview'!$D$2:$D$200,$A100,'Contacts Overview'!$R$2:$R$200,"Overdue"))</f>
        <v/>
      </c>
    </row>
  </sheetData>
  <dataValidations count="1">
    <dataValidation type="list" allowBlank="1" sqref="I2:I100" xr:uid="{00000000-0002-0000-0400-000000000000}">
      <formula1>BainPoC_FullNames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00"/>
  <sheetViews>
    <sheetView zoomScaleNormal="100" workbookViewId="0">
      <pane ySplit="1" topLeftCell="A2" activePane="bottomLeft" state="frozen"/>
      <selection activeCell="Q1" sqref="Q1"/>
      <selection pane="bottomLeft" activeCell="F2" sqref="F2:F13"/>
    </sheetView>
  </sheetViews>
  <sheetFormatPr defaultColWidth="8.58203125" defaultRowHeight="15.5" x14ac:dyDescent="0.35"/>
  <cols>
    <col min="1" max="1" width="12" style="1" customWidth="1"/>
    <col min="4" max="4" width="12" style="1" customWidth="1"/>
    <col min="5" max="5" width="17.4140625" style="1" customWidth="1"/>
    <col min="6" max="6" width="36.4140625" style="1" customWidth="1"/>
    <col min="7" max="8" width="18.75" style="1" customWidth="1"/>
    <col min="9" max="9" width="18.08203125" style="1" customWidth="1"/>
    <col min="10" max="10" width="23.33203125" style="1" customWidth="1"/>
    <col min="11" max="11" width="18.9140625" style="1" customWidth="1"/>
    <col min="12" max="12" width="19.75" style="1" customWidth="1"/>
    <col min="13" max="13" width="17" style="1" customWidth="1"/>
    <col min="15" max="15" width="20.58203125" style="1" customWidth="1"/>
    <col min="17" max="17" width="25.5" style="1" customWidth="1"/>
    <col min="18" max="18" width="18.58203125" style="1" customWidth="1"/>
    <col min="19" max="19" width="20" style="1" customWidth="1"/>
    <col min="20" max="20" width="24.1640625" customWidth="1"/>
    <col min="21" max="21" width="26.75" customWidth="1"/>
    <col min="22" max="22" width="13" style="1" hidden="1" customWidth="1"/>
    <col min="23" max="23" width="13" style="2" hidden="1" customWidth="1"/>
    <col min="24" max="24" width="25.25" style="2" hidden="1" customWidth="1"/>
  </cols>
  <sheetData>
    <row r="1" spans="1:24" ht="15" customHeight="1" x14ac:dyDescent="0.35">
      <c r="A1" s="11" t="s">
        <v>242</v>
      </c>
      <c r="B1" s="11" t="s">
        <v>243</v>
      </c>
      <c r="C1" s="11" t="s">
        <v>244</v>
      </c>
      <c r="D1" s="11" t="s">
        <v>171</v>
      </c>
      <c r="E1" s="11" t="s">
        <v>245</v>
      </c>
      <c r="F1" s="11" t="s">
        <v>22</v>
      </c>
      <c r="G1" s="11" t="s">
        <v>246</v>
      </c>
      <c r="H1" s="11" t="s">
        <v>247</v>
      </c>
      <c r="I1" s="11" t="s">
        <v>24</v>
      </c>
      <c r="J1" s="11" t="s">
        <v>25</v>
      </c>
      <c r="K1" s="11" t="s">
        <v>178</v>
      </c>
      <c r="L1" s="11" t="s">
        <v>179</v>
      </c>
      <c r="M1" s="11" t="s">
        <v>26</v>
      </c>
      <c r="N1" s="11" t="s">
        <v>27</v>
      </c>
      <c r="O1" s="11" t="s">
        <v>28</v>
      </c>
      <c r="P1" s="11" t="s">
        <v>248</v>
      </c>
      <c r="Q1" s="11" t="s">
        <v>249</v>
      </c>
      <c r="R1" s="11" t="s">
        <v>250</v>
      </c>
      <c r="S1" s="11" t="s">
        <v>251</v>
      </c>
      <c r="T1" s="11" t="s">
        <v>252</v>
      </c>
      <c r="U1" s="11" t="s">
        <v>32</v>
      </c>
    </row>
    <row r="2" spans="1:24" ht="15" customHeight="1" x14ac:dyDescent="0.35">
      <c r="A2" s="13" t="str">
        <f t="shared" ref="A2:A33" si="0">IF(B2="","","CON"&amp;TEXT(ROW()-1,"0000"))</f>
        <v>CON0001</v>
      </c>
      <c r="B2" s="1" t="str">
        <f>IFERROR(INDEX('Input Contact Information'!$C$2:$C$200,MATCH(ROW()-1,'Input Contact Information'!$V$2:$V$200,0)),"")</f>
        <v>Amal Al Noor</v>
      </c>
      <c r="C2" s="1" t="str">
        <f>IFERROR(INDEX('Input Contact Information'!$B$2:$B$200,MATCH(ROW()-1,'Input Contact Information'!$V$2:$V$200,0)),"")</f>
        <v>QatarEnergy</v>
      </c>
      <c r="D2" s="1" t="str">
        <f>IF($B2="","",IF(W2="","",INDEX('Accounts Overview'!$A$2:$A$100,W2)))</f>
        <v>ACC0001</v>
      </c>
      <c r="E2" s="1" t="str">
        <f>IF($B2="","",IF(V2="","",IF(INDEX('Input Contact Information'!$D$2:$D$200,V2)="","",INDEX('Input Contact Information'!$D$2:$D$200,V2))))</f>
        <v>Chief Executive Officer</v>
      </c>
      <c r="F2" s="1" t="str">
        <f>IF($B2="","",IF(V2="","",IF(INDEX('Input Contact Information'!$F$2:$F$200,V2)="","",INDEX('Input Contact Information'!$F$2:$F$200,V2))))</f>
        <v>amal.alnoor@sample-1.example</v>
      </c>
      <c r="G2" s="1" t="str">
        <f>IF($B2="","",IF(V2="","",IF(INDEX('Input Contact Information'!$E$2:$E$200,V2)="","",INDEX('Input Contact Information'!$E$2:$E$200,V2))))</f>
        <v/>
      </c>
      <c r="H2" s="1" t="str">
        <f>IF($B2="","",IF(V2="","",IF(INDEX('Input Contact Information'!$G$2:$G$200,V2)="","",INDEX('Input Contact Information'!$G$2:$G$200,V2))))</f>
        <v/>
      </c>
      <c r="I2" s="1" t="str">
        <f>IF($B2="","",IF(V2="","",IF(INDEX('Input Contact Information'!$H$2:$H$200,V2)="","",INDEX('Input Contact Information'!$H$2:$H$200,V2))))</f>
        <v/>
      </c>
      <c r="J2" s="1" t="str">
        <f>IF($B2="","",IF(V2="","",IF(INDEX('Input Contact Information'!$I$2:$I$200,V2)="","",INDEX('Input Contact Information'!$I$2:$I$200,V2))))</f>
        <v>Email</v>
      </c>
      <c r="K2" s="1" t="str">
        <f>IF($B2="","",IF(V2="","",IF(INDEX('Input Contact Information'!$A$2:$A$200,V2)="","",INDEX('Input Contact Information'!$A$2:$A$200,V2))))</f>
        <v>Wael Hatoum</v>
      </c>
      <c r="L2" s="1" t="str">
        <f>IF($B2="","",IF(W2="","",IF(INDEX('Accounts Overview'!$I$2:$I$100,W2)="","",INDEX('Accounts Overview'!$I$2:$I$100,W2))))</f>
        <v>Alberto Michelotti</v>
      </c>
      <c r="M2" s="1" t="str">
        <f>IF($B2="","",IF(V2="","",IF(INDEX('Input Contact Information'!$J$2:$J$200,V2)="","",INDEX('Input Contact Information'!$J$2:$J$200,V2))))</f>
        <v>High</v>
      </c>
      <c r="N2" s="1" t="str">
        <f>IF($B2="","",IF(V2="","",IF(INDEX('Input Contact Information'!$K$2:$K$200,V2)="","",INDEX('Input Contact Information'!$K$2:$K$200,V2))))</f>
        <v>High</v>
      </c>
      <c r="O2" s="1" t="str">
        <f>IF($B2="","",IF(V2="","",IF(INDEX('Input Contact Information'!$L$2:$L$200,V2)="","",INDEX('Input Contact Information'!$L$2:$L$200,V2))))</f>
        <v>High</v>
      </c>
      <c r="P2" s="1" t="str">
        <f>IF($B2="","",IF((IF(V2="","",IF(INDEX('Input Contact Information'!$N$2:$N$200,V2)="","",INDEX('Input Contact Information'!$N$2:$N$200,V2))))&lt;&gt;"",IF(V2="","",IF(INDEX('Input Contact Information'!$N$2:$N$200,V2)="","",INDEX('Input Contact Information'!$N$2:$N$200,V2))),IF(V2="","",IF(INDEX('Input Contact Information'!$M$2:$M$200,V2)="","",INDEX('Input Contact Information'!$M$2:$M$200,V2)))))</f>
        <v>Tier 1</v>
      </c>
      <c r="Q2" s="1" t="str">
        <f t="shared" ref="Q2:Q33" si="1">IF($B2="","",IF(P2="","",IF(P2="Tier 1","Monthly",IF(P2="Tier 2","Quarterly","Semi-annually"))))</f>
        <v>Monthly</v>
      </c>
      <c r="R2" s="1" t="str">
        <f ca="1">IF($B2="","",IF(X2="","",IF(INDEX('Engagements Overview'!$I$2:$I$200,X2)="","",INDEX('Engagements Overview'!$I$2:$I$200,X2))))</f>
        <v>Overdue</v>
      </c>
      <c r="S2" s="14">
        <f ca="1">IF($B2="","",IF(X2="","",IF(INDEX('Engagements Overview'!$K$2:$K$200,X2)="","",INDEX('Engagements Overview'!$K$2:$K$200,X2))))</f>
        <v>77</v>
      </c>
      <c r="T2" s="1" t="str">
        <f>IF($B2="","",IF(V2="","",IF(INDEX('Input Contact Information'!$O$2:$O$200,V2)="","",INDEX('Input Contact Information'!$O$2:$O$200,V2))))</f>
        <v>Energy transition — interested in decarbonisation pathways and global demand shifts; LNG — interested in the strategic role of LNG in the energy transition.</v>
      </c>
      <c r="U2" s="1" t="str">
        <f>IF($B2="","",IF(V2="","",IF(INDEX('Input Contact Information'!$P$2:$P$200,V2)="","",INDEX('Input Contact Information'!$P$2:$P$200,V2))))</f>
        <v>Golf — follows major golf events; Travel — enjoys distinctive destinations, resorts and courses.</v>
      </c>
      <c r="V2" s="1">
        <f>IF(B2="","",IFERROR(MATCH(B2&amp;"|"&amp;C2,'Input Contact Information'!$W$2:$W$200,0),""))</f>
        <v>1</v>
      </c>
      <c r="W2" s="1">
        <f>IF(C2="","",IFERROR(MATCH(C2,'Accounts Overview'!$B$2:$B$100,0),""))</f>
        <v>1</v>
      </c>
      <c r="X2" s="1">
        <f>IF(A2="","",IFERROR(MATCH(A2,'Engagements Overview'!$B$2:$B$200,0),""))</f>
        <v>1</v>
      </c>
    </row>
    <row r="3" spans="1:24" ht="15" customHeight="1" x14ac:dyDescent="0.35">
      <c r="A3" s="13" t="str">
        <f t="shared" si="0"/>
        <v>CON0002</v>
      </c>
      <c r="B3" s="1" t="str">
        <f>IFERROR(INDEX('Input Contact Information'!$C$2:$C$200,MATCH(ROW()-1,'Input Contact Information'!$V$2:$V$200,0)),"")</f>
        <v>Khalid Al Thani</v>
      </c>
      <c r="C3" s="1" t="str">
        <f>IFERROR(INDEX('Input Contact Information'!$B$2:$B$200,MATCH(ROW()-1,'Input Contact Information'!$V$2:$V$200,0)),"")</f>
        <v>QatarEnergy</v>
      </c>
      <c r="D3" s="1" t="str">
        <f>IF($B3="","",IF(W3="","",INDEX('Accounts Overview'!$A$2:$A$100,W3)))</f>
        <v>ACC0001</v>
      </c>
      <c r="E3" s="1" t="str">
        <f>IF($B3="","",IF(V3="","",IF(INDEX('Input Contact Information'!$D$2:$D$200,V3)="","",INDEX('Input Contact Information'!$D$2:$D$200,V3))))</f>
        <v>Chief Strategy Officer</v>
      </c>
      <c r="F3" s="1" t="str">
        <f>IF($B3="","",IF(V3="","",IF(INDEX('Input Contact Information'!$F$2:$F$200,V3)="","",INDEX('Input Contact Information'!$F$2:$F$200,V3))))</f>
        <v>khalid.althani@sample-1.example</v>
      </c>
      <c r="G3" s="1" t="str">
        <f>IF($B3="","",IF(V3="","",IF(INDEX('Input Contact Information'!$E$2:$E$200,V3)="","",INDEX('Input Contact Information'!$E$2:$E$200,V3))))</f>
        <v/>
      </c>
      <c r="H3" s="1" t="str">
        <f>IF($B3="","",IF(V3="","",IF(INDEX('Input Contact Information'!$G$2:$G$200,V3)="","",INDEX('Input Contact Information'!$G$2:$G$200,V3))))</f>
        <v/>
      </c>
      <c r="I3" s="1" t="str">
        <f>IF($B3="","",IF(V3="","",IF(INDEX('Input Contact Information'!$H$2:$H$200,V3)="","",INDEX('Input Contact Information'!$H$2:$H$200,V3))))</f>
        <v/>
      </c>
      <c r="J3" s="1" t="str">
        <f>IF($B3="","",IF(V3="","",IF(INDEX('Input Contact Information'!$I$2:$I$200,V3)="","",INDEX('Input Contact Information'!$I$2:$I$200,V3))))</f>
        <v>Email</v>
      </c>
      <c r="K3" s="1" t="str">
        <f>IF($B3="","",IF(V3="","",IF(INDEX('Input Contact Information'!$A$2:$A$200,V3)="","",INDEX('Input Contact Information'!$A$2:$A$200,V3))))</f>
        <v>Wael Hatoum</v>
      </c>
      <c r="L3" s="1" t="str">
        <f>IF($B3="","",IF(W3="","",IF(INDEX('Accounts Overview'!$I$2:$I$100,W3)="","",INDEX('Accounts Overview'!$I$2:$I$100,W3))))</f>
        <v>Alberto Michelotti</v>
      </c>
      <c r="M3" s="1" t="str">
        <f>IF($B3="","",IF(V3="","",IF(INDEX('Input Contact Information'!$J$2:$J$200,V3)="","",INDEX('Input Contact Information'!$J$2:$J$200,V3))))</f>
        <v>High</v>
      </c>
      <c r="N3" s="1" t="str">
        <f>IF($B3="","",IF(V3="","",IF(INDEX('Input Contact Information'!$K$2:$K$200,V3)="","",INDEX('Input Contact Information'!$K$2:$K$200,V3))))</f>
        <v>Medium</v>
      </c>
      <c r="O3" s="1" t="str">
        <f>IF($B3="","",IF(V3="","",IF(INDEX('Input Contact Information'!$L$2:$L$200,V3)="","",INDEX('Input Contact Information'!$L$2:$L$200,V3))))</f>
        <v>High</v>
      </c>
      <c r="P3" s="1" t="str">
        <f>IF($B3="","",IF((IF(V3="","",IF(INDEX('Input Contact Information'!$N$2:$N$200,V3)="","",INDEX('Input Contact Information'!$N$2:$N$200,V3))))&lt;&gt;"",IF(V3="","",IF(INDEX('Input Contact Information'!$N$2:$N$200,V3)="","",INDEX('Input Contact Information'!$N$2:$N$200,V3))),IF(V3="","",IF(INDEX('Input Contact Information'!$M$2:$M$200,V3)="","",INDEX('Input Contact Information'!$M$2:$M$200,V3)))))</f>
        <v>Tier 1</v>
      </c>
      <c r="Q3" s="1" t="str">
        <f t="shared" si="1"/>
        <v>Monthly</v>
      </c>
      <c r="R3" s="1" t="str">
        <f ca="1">IF($B3="","",IF(X3="","",IF(INDEX('Engagements Overview'!$I$2:$I$200,X3)="","",INDEX('Engagements Overview'!$I$2:$I$200,X3))))</f>
        <v>Overdue</v>
      </c>
      <c r="S3" s="14">
        <f ca="1">IF($B3="","",IF(X3="","",IF(INDEX('Engagements Overview'!$K$2:$K$200,X3)="","",INDEX('Engagements Overview'!$K$2:$K$200,X3))))</f>
        <v>112</v>
      </c>
      <c r="T3" s="1" t="str">
        <f>IF($B3="","",IF(V3="","",IF(INDEX('Input Contact Information'!$O$2:$O$200,V3)="","",INDEX('Input Contact Information'!$O$2:$O$200,V3))))</f>
        <v>Corporate strategy — interested in portfolio choices and how energy companies create value across assets; Energy trading — follows market volatility and trading opportunities.</v>
      </c>
      <c r="U3" s="1" t="str">
        <f>IF($B3="","",IF(V3="","",IF(INDEX('Input Contact Information'!$P$2:$P$200,V3)="","",INDEX('Input Contact Information'!$P$2:$P$200,V3))))</f>
        <v>Reading — enjoys business and current-affairs books; Padel — follows or plays padel socially.</v>
      </c>
      <c r="V3" s="1">
        <f>IF(B3="","",IFERROR(MATCH(B3&amp;"|"&amp;C3,'Input Contact Information'!$W$2:$W$200,0),""))</f>
        <v>2</v>
      </c>
      <c r="W3" s="1">
        <f>IF(C3="","",IFERROR(MATCH(C3,'Accounts Overview'!$B$2:$B$100,0),""))</f>
        <v>1</v>
      </c>
      <c r="X3" s="1">
        <f>IF(A3="","",IFERROR(MATCH(A3,'Engagements Overview'!$B$2:$B$200,0),""))</f>
        <v>2</v>
      </c>
    </row>
    <row r="4" spans="1:24" ht="15" customHeight="1" x14ac:dyDescent="0.35">
      <c r="A4" s="13" t="str">
        <f t="shared" si="0"/>
        <v>CON0003</v>
      </c>
      <c r="B4" s="1" t="str">
        <f>IFERROR(INDEX('Input Contact Information'!$C$2:$C$200,MATCH(ROW()-1,'Input Contact Information'!$V$2:$V$200,0)),"")</f>
        <v>Mariam Al Suwaidi</v>
      </c>
      <c r="C4" s="1" t="str">
        <f>IFERROR(INDEX('Input Contact Information'!$B$2:$B$200,MATCH(ROW()-1,'Input Contact Information'!$V$2:$V$200,0)),"")</f>
        <v>QatarEnergy</v>
      </c>
      <c r="D4" s="1" t="str">
        <f>IF($B4="","",IF(W4="","",INDEX('Accounts Overview'!$A$2:$A$100,W4)))</f>
        <v>ACC0001</v>
      </c>
      <c r="E4" s="1" t="str">
        <f>IF($B4="","",IF(V4="","",IF(INDEX('Input Contact Information'!$D$2:$D$200,V4)="","",INDEX('Input Contact Information'!$D$2:$D$200,V4))))</f>
        <v>Vice President, Strategy</v>
      </c>
      <c r="F4" s="1" t="str">
        <f>IF($B4="","",IF(V4="","",IF(INDEX('Input Contact Information'!$F$2:$F$200,V4)="","",INDEX('Input Contact Information'!$F$2:$F$200,V4))))</f>
        <v>mariam.alsuwaidi@sample-1.example</v>
      </c>
      <c r="G4" s="1" t="str">
        <f>IF($B4="","",IF(V4="","",IF(INDEX('Input Contact Information'!$E$2:$E$200,V4)="","",INDEX('Input Contact Information'!$E$2:$E$200,V4))))</f>
        <v/>
      </c>
      <c r="H4" s="1" t="str">
        <f>IF($B4="","",IF(V4="","",IF(INDEX('Input Contact Information'!$G$2:$G$200,V4)="","",INDEX('Input Contact Information'!$G$2:$G$200,V4))))</f>
        <v/>
      </c>
      <c r="I4" s="1" t="str">
        <f>IF($B4="","",IF(V4="","",IF(INDEX('Input Contact Information'!$H$2:$H$200,V4)="","",INDEX('Input Contact Information'!$H$2:$H$200,V4))))</f>
        <v/>
      </c>
      <c r="J4" s="1" t="str">
        <f>IF($B4="","",IF(V4="","",IF(INDEX('Input Contact Information'!$I$2:$I$200,V4)="","",INDEX('Input Contact Information'!$I$2:$I$200,V4))))</f>
        <v>Email</v>
      </c>
      <c r="K4" s="1" t="str">
        <f>IF($B4="","",IF(V4="","",IF(INDEX('Input Contact Information'!$A$2:$A$200,V4)="","",INDEX('Input Contact Information'!$A$2:$A$200,V4))))</f>
        <v>Wael Hatoum</v>
      </c>
      <c r="L4" s="1" t="str">
        <f>IF($B4="","",IF(W4="","",IF(INDEX('Accounts Overview'!$I$2:$I$100,W4)="","",INDEX('Accounts Overview'!$I$2:$I$100,W4))))</f>
        <v>Alberto Michelotti</v>
      </c>
      <c r="M4" s="1" t="str">
        <f>IF($B4="","",IF(V4="","",IF(INDEX('Input Contact Information'!$J$2:$J$200,V4)="","",INDEX('Input Contact Information'!$J$2:$J$200,V4))))</f>
        <v>High</v>
      </c>
      <c r="N4" s="1" t="str">
        <f>IF($B4="","",IF(V4="","",IF(INDEX('Input Contact Information'!$K$2:$K$200,V4)="","",INDEX('Input Contact Information'!$K$2:$K$200,V4))))</f>
        <v>Medium</v>
      </c>
      <c r="O4" s="1" t="str">
        <f>IF($B4="","",IF(V4="","",IF(INDEX('Input Contact Information'!$L$2:$L$200,V4)="","",INDEX('Input Contact Information'!$L$2:$L$200,V4))))</f>
        <v>High</v>
      </c>
      <c r="P4" s="1" t="str">
        <f>IF($B4="","",IF((IF(V4="","",IF(INDEX('Input Contact Information'!$N$2:$N$200,V4)="","",INDEX('Input Contact Information'!$N$2:$N$200,V4))))&lt;&gt;"",IF(V4="","",IF(INDEX('Input Contact Information'!$N$2:$N$200,V4)="","",INDEX('Input Contact Information'!$N$2:$N$200,V4))),IF(V4="","",IF(INDEX('Input Contact Information'!$M$2:$M$200,V4)="","",INDEX('Input Contact Information'!$M$2:$M$200,V4)))))</f>
        <v>Tier 1</v>
      </c>
      <c r="Q4" s="1" t="str">
        <f t="shared" si="1"/>
        <v>Monthly</v>
      </c>
      <c r="R4" s="1" t="str">
        <f ca="1">IF($B4="","",IF(X4="","",IF(INDEX('Engagements Overview'!$I$2:$I$200,X4)="","",INDEX('Engagements Overview'!$I$2:$I$200,X4))))</f>
        <v>Overdue</v>
      </c>
      <c r="S4" s="14">
        <f ca="1">IF($B4="","",IF(X4="","",IF(INDEX('Engagements Overview'!$K$2:$K$200,X4)="","",INDEX('Engagements Overview'!$K$2:$K$200,X4))))</f>
        <v>142</v>
      </c>
      <c r="T4" s="1" t="str">
        <f>IF($B4="","",IF(V4="","",IF(INDEX('Input Contact Information'!$O$2:$O$200,V4)="","",INDEX('Input Contact Information'!$O$2:$O$200,V4))))</f>
        <v>Decarbonisation — interested in scalable emissions reduction; Capital projects — interested in project economics and delivery of large energy investments.</v>
      </c>
      <c r="U4" s="1" t="str">
        <f>IF($B4="","",IF(V4="","",IF(INDEX('Input Contact Information'!$P$2:$P$200,V4)="","",INDEX('Input Contact Information'!$P$2:$P$200,V4))))</f>
        <v>Photography — enjoys destination and architectural photography; Travel — interested in culturally or visually distinctive places.</v>
      </c>
      <c r="V4" s="1">
        <f>IF(B4="","",IFERROR(MATCH(B4&amp;"|"&amp;C4,'Input Contact Information'!$W$2:$W$200,0),""))</f>
        <v>3</v>
      </c>
      <c r="W4" s="1">
        <f>IF(C4="","",IFERROR(MATCH(C4,'Accounts Overview'!$B$2:$B$100,0),""))</f>
        <v>1</v>
      </c>
      <c r="X4" s="1">
        <f>IF(A4="","",IFERROR(MATCH(A4,'Engagements Overview'!$B$2:$B$200,0),""))</f>
        <v>3</v>
      </c>
    </row>
    <row r="5" spans="1:24" ht="15" customHeight="1" x14ac:dyDescent="0.35">
      <c r="A5" s="13" t="str">
        <f t="shared" si="0"/>
        <v>CON0004</v>
      </c>
      <c r="B5" s="1" t="str">
        <f>IFERROR(INDEX('Input Contact Information'!$C$2:$C$200,MATCH(ROW()-1,'Input Contact Information'!$V$2:$V$200,0)),"")</f>
        <v>Fahad Al Kuwari</v>
      </c>
      <c r="C5" s="1" t="str">
        <f>IFERROR(INDEX('Input Contact Information'!$B$2:$B$200,MATCH(ROW()-1,'Input Contact Information'!$V$2:$V$200,0)),"")</f>
        <v>Qatar Airways Group</v>
      </c>
      <c r="D5" s="1" t="str">
        <f>IF($B5="","",IF(W5="","",INDEX('Accounts Overview'!$A$2:$A$100,W5)))</f>
        <v>ACC0002</v>
      </c>
      <c r="E5" s="1" t="str">
        <f>IF($B5="","",IF(V5="","",IF(INDEX('Input Contact Information'!$D$2:$D$200,V5)="","",INDEX('Input Contact Information'!$D$2:$D$200,V5))))</f>
        <v>Chief Executive Officer</v>
      </c>
      <c r="F5" s="1" t="str">
        <f>IF($B5="","",IF(V5="","",IF(INDEX('Input Contact Information'!$F$2:$F$200,V5)="","",INDEX('Input Contact Information'!$F$2:$F$200,V5))))</f>
        <v>fahad.alkuwari@sample-2.example</v>
      </c>
      <c r="G5" s="1" t="str">
        <f>IF($B5="","",IF(V5="","",IF(INDEX('Input Contact Information'!$E$2:$E$200,V5)="","",INDEX('Input Contact Information'!$E$2:$E$200,V5))))</f>
        <v/>
      </c>
      <c r="H5" s="1" t="str">
        <f>IF($B5="","",IF(V5="","",IF(INDEX('Input Contact Information'!$G$2:$G$200,V5)="","",INDEX('Input Contact Information'!$G$2:$G$200,V5))))</f>
        <v/>
      </c>
      <c r="I5" s="1" t="str">
        <f>IF($B5="","",IF(V5="","",IF(INDEX('Input Contact Information'!$H$2:$H$200,V5)="","",INDEX('Input Contact Information'!$H$2:$H$200,V5))))</f>
        <v/>
      </c>
      <c r="J5" s="1" t="str">
        <f>IF($B5="","",IF(V5="","",IF(INDEX('Input Contact Information'!$I$2:$I$200,V5)="","",INDEX('Input Contact Information'!$I$2:$I$200,V5))))</f>
        <v>Email</v>
      </c>
      <c r="K5" s="1" t="str">
        <f>IF($B5="","",IF(V5="","",IF(INDEX('Input Contact Information'!$A$2:$A$200,V5)="","",INDEX('Input Contact Information'!$A$2:$A$200,V5))))</f>
        <v>Alberto Michelotti</v>
      </c>
      <c r="L5" s="1" t="str">
        <f>IF($B5="","",IF(W5="","",IF(INDEX('Accounts Overview'!$I$2:$I$100,W5)="","",INDEX('Accounts Overview'!$I$2:$I$100,W5))))</f>
        <v>Eric Guraieb</v>
      </c>
      <c r="M5" s="1" t="str">
        <f>IF($B5="","",IF(V5="","",IF(INDEX('Input Contact Information'!$J$2:$J$200,V5)="","",INDEX('Input Contact Information'!$J$2:$J$200,V5))))</f>
        <v>High</v>
      </c>
      <c r="N5" s="1" t="str">
        <f>IF($B5="","",IF(V5="","",IF(INDEX('Input Contact Information'!$K$2:$K$200,V5)="","",INDEX('Input Contact Information'!$K$2:$K$200,V5))))</f>
        <v>Medium</v>
      </c>
      <c r="O5" s="1" t="str">
        <f>IF($B5="","",IF(V5="","",IF(INDEX('Input Contact Information'!$L$2:$L$200,V5)="","",INDEX('Input Contact Information'!$L$2:$L$200,V5))))</f>
        <v>High</v>
      </c>
      <c r="P5" s="1" t="str">
        <f>IF($B5="","",IF((IF(V5="","",IF(INDEX('Input Contact Information'!$N$2:$N$200,V5)="","",INDEX('Input Contact Information'!$N$2:$N$200,V5))))&lt;&gt;"",IF(V5="","",IF(INDEX('Input Contact Information'!$N$2:$N$200,V5)="","",INDEX('Input Contact Information'!$N$2:$N$200,V5))),IF(V5="","",IF(INDEX('Input Contact Information'!$M$2:$M$200,V5)="","",INDEX('Input Contact Information'!$M$2:$M$200,V5)))))</f>
        <v>Tier 1</v>
      </c>
      <c r="Q5" s="1" t="str">
        <f t="shared" si="1"/>
        <v>Monthly</v>
      </c>
      <c r="R5" s="1" t="str">
        <f ca="1">IF($B5="","",IF(X5="","",IF(INDEX('Engagements Overview'!$I$2:$I$200,X5)="","",INDEX('Engagements Overview'!$I$2:$I$200,X5))))</f>
        <v>Overdue</v>
      </c>
      <c r="S5" s="14">
        <f ca="1">IF($B5="","",IF(X5="","",IF(INDEX('Engagements Overview'!$K$2:$K$200,X5)="","",INDEX('Engagements Overview'!$K$2:$K$200,X5))))</f>
        <v>77</v>
      </c>
      <c r="T5" s="1" t="str">
        <f>IF($B5="","",IF(V5="","",IF(INDEX('Input Contact Information'!$O$2:$O$200,V5)="","",INDEX('Input Contact Information'!$O$2:$O$200,V5))))</f>
        <v>Airline strategy — interested in network economics, growth and profitability; Fleet expansion — interested in fleet choices and how they support network growth and customer experience.</v>
      </c>
      <c r="U5" s="1" t="str">
        <f>IF($B5="","",IF(V5="","",IF(INDEX('Input Contact Information'!$P$2:$P$200,V5)="","",INDEX('Input Contact Information'!$P$2:$P$200,V5))))</f>
        <v>Football — follows major football competitions; Aviation history — enjoys stories about iconic aircraft, airlines and aviation milestones.</v>
      </c>
      <c r="V5" s="1">
        <f>IF(B5="","",IFERROR(MATCH(B5&amp;"|"&amp;C5,'Input Contact Information'!$W$2:$W$200,0),""))</f>
        <v>4</v>
      </c>
      <c r="W5" s="1">
        <f>IF(C5="","",IFERROR(MATCH(C5,'Accounts Overview'!$B$2:$B$100,0),""))</f>
        <v>2</v>
      </c>
      <c r="X5" s="1">
        <f>IF(A5="","",IFERROR(MATCH(A5,'Engagements Overview'!$B$2:$B$200,0),""))</f>
        <v>4</v>
      </c>
    </row>
    <row r="6" spans="1:24" ht="15" customHeight="1" x14ac:dyDescent="0.35">
      <c r="A6" s="13" t="str">
        <f t="shared" si="0"/>
        <v>CON0005</v>
      </c>
      <c r="B6" s="1" t="str">
        <f>IFERROR(INDEX('Input Contact Information'!$C$2:$C$200,MATCH(ROW()-1,'Input Contact Information'!$V$2:$V$200,0)),"")</f>
        <v>Noor Al Marri</v>
      </c>
      <c r="C6" s="1" t="str">
        <f>IFERROR(INDEX('Input Contact Information'!$B$2:$B$200,MATCH(ROW()-1,'Input Contact Information'!$V$2:$V$200,0)),"")</f>
        <v>Qatar Airways Group</v>
      </c>
      <c r="D6" s="1" t="str">
        <f>IF($B6="","",IF(W6="","",INDEX('Accounts Overview'!$A$2:$A$100,W6)))</f>
        <v>ACC0002</v>
      </c>
      <c r="E6" s="1" t="str">
        <f>IF($B6="","",IF(V6="","",IF(INDEX('Input Contact Information'!$D$2:$D$200,V6)="","",INDEX('Input Contact Information'!$D$2:$D$200,V6))))</f>
        <v>Chief Strategy Officer</v>
      </c>
      <c r="F6" s="1" t="str">
        <f>IF($B6="","",IF(V6="","",IF(INDEX('Input Contact Information'!$F$2:$F$200,V6)="","",INDEX('Input Contact Information'!$F$2:$F$200,V6))))</f>
        <v>noor.almarri@sample-2.example</v>
      </c>
      <c r="G6" s="1" t="str">
        <f>IF($B6="","",IF(V6="","",IF(INDEX('Input Contact Information'!$E$2:$E$200,V6)="","",INDEX('Input Contact Information'!$E$2:$E$200,V6))))</f>
        <v/>
      </c>
      <c r="H6" s="1" t="str">
        <f>IF($B6="","",IF(V6="","",IF(INDEX('Input Contact Information'!$G$2:$G$200,V6)="","",INDEX('Input Contact Information'!$G$2:$G$200,V6))))</f>
        <v/>
      </c>
      <c r="I6" s="1" t="str">
        <f>IF($B6="","",IF(V6="","",IF(INDEX('Input Contact Information'!$H$2:$H$200,V6)="","",INDEX('Input Contact Information'!$H$2:$H$200,V6))))</f>
        <v/>
      </c>
      <c r="J6" s="1" t="str">
        <f>IF($B6="","",IF(V6="","",IF(INDEX('Input Contact Information'!$I$2:$I$200,V6)="","",INDEX('Input Contact Information'!$I$2:$I$200,V6))))</f>
        <v>Email</v>
      </c>
      <c r="K6" s="1" t="str">
        <f>IF($B6="","",IF(V6="","",IF(INDEX('Input Contact Information'!$A$2:$A$200,V6)="","",INDEX('Input Contact Information'!$A$2:$A$200,V6))))</f>
        <v>Alberto Michelotti</v>
      </c>
      <c r="L6" s="1" t="str">
        <f>IF($B6="","",IF(W6="","",IF(INDEX('Accounts Overview'!$I$2:$I$100,W6)="","",INDEX('Accounts Overview'!$I$2:$I$100,W6))))</f>
        <v>Eric Guraieb</v>
      </c>
      <c r="M6" s="1" t="str">
        <f>IF($B6="","",IF(V6="","",IF(INDEX('Input Contact Information'!$J$2:$J$200,V6)="","",INDEX('Input Contact Information'!$J$2:$J$200,V6))))</f>
        <v>Medium</v>
      </c>
      <c r="N6" s="1" t="str">
        <f>IF($B6="","",IF(V6="","",IF(INDEX('Input Contact Information'!$K$2:$K$200,V6)="","",INDEX('Input Contact Information'!$K$2:$K$200,V6))))</f>
        <v>Low</v>
      </c>
      <c r="O6" s="1" t="str">
        <f>IF($B6="","",IF(V6="","",IF(INDEX('Input Contact Information'!$L$2:$L$200,V6)="","",INDEX('Input Contact Information'!$L$2:$L$200,V6))))</f>
        <v>High</v>
      </c>
      <c r="P6" s="1" t="str">
        <f>IF($B6="","",IF((IF(V6="","",IF(INDEX('Input Contact Information'!$N$2:$N$200,V6)="","",INDEX('Input Contact Information'!$N$2:$N$200,V6))))&lt;&gt;"",IF(V6="","",IF(INDEX('Input Contact Information'!$N$2:$N$200,V6)="","",INDEX('Input Contact Information'!$N$2:$N$200,V6))),IF(V6="","",IF(INDEX('Input Contact Information'!$M$2:$M$200,V6)="","",INDEX('Input Contact Information'!$M$2:$M$200,V6)))))</f>
        <v>Tier 2</v>
      </c>
      <c r="Q6" s="1" t="str">
        <f t="shared" si="1"/>
        <v>Quarterly</v>
      </c>
      <c r="R6" s="1" t="str">
        <f ca="1">IF($B6="","",IF(X6="","",IF(INDEX('Engagements Overview'!$I$2:$I$200,X6)="","",INDEX('Engagements Overview'!$I$2:$I$200,X6))))</f>
        <v>For Review</v>
      </c>
      <c r="S6" s="14">
        <f ca="1">IF($B6="","",IF(X6="","",IF(INDEX('Engagements Overview'!$K$2:$K$200,X6)="","",INDEX('Engagements Overview'!$K$2:$K$200,X6))))</f>
        <v>112</v>
      </c>
      <c r="T6" s="1" t="str">
        <f>IF($B6="","",IF(V6="","",IF(INDEX('Input Contact Information'!$O$2:$O$200,V6)="","",INDEX('Input Contact Information'!$O$2:$O$200,V6))))</f>
        <v>Network planning — interested in route economics and hub connectivity; Regional growth — interested in expansion opportunities across the GCC and adjacent markets.</v>
      </c>
      <c r="U6" s="1" t="str">
        <f>IF($B6="","",IF(V6="","",IF(INDEX('Input Contact Information'!$P$2:$P$200,V6)="","",INDEX('Input Contact Information'!$P$2:$P$200,V6))))</f>
        <v>Tennis — follows major tournaments; Travel — enjoys destinations linked to sport or culture.</v>
      </c>
      <c r="V6" s="1">
        <f>IF(B6="","",IFERROR(MATCH(B6&amp;"|"&amp;C6,'Input Contact Information'!$W$2:$W$200,0),""))</f>
        <v>5</v>
      </c>
      <c r="W6" s="1">
        <f>IF(C6="","",IFERROR(MATCH(C6,'Accounts Overview'!$B$2:$B$100,0),""))</f>
        <v>2</v>
      </c>
      <c r="X6" s="1">
        <f>IF(A6="","",IFERROR(MATCH(A6,'Engagements Overview'!$B$2:$B$200,0),""))</f>
        <v>5</v>
      </c>
    </row>
    <row r="7" spans="1:24" ht="15" customHeight="1" x14ac:dyDescent="0.35">
      <c r="A7" s="13" t="str">
        <f t="shared" si="0"/>
        <v>CON0006</v>
      </c>
      <c r="B7" s="1" t="str">
        <f>IFERROR(INDEX('Input Contact Information'!$C$2:$C$200,MATCH(ROW()-1,'Input Contact Information'!$V$2:$V$200,0)),"")</f>
        <v>Hassan Al Kaabi</v>
      </c>
      <c r="C7" s="1" t="str">
        <f>IFERROR(INDEX('Input Contact Information'!$B$2:$B$200,MATCH(ROW()-1,'Input Contact Information'!$V$2:$V$200,0)),"")</f>
        <v>Qatar Airways Group</v>
      </c>
      <c r="D7" s="1" t="str">
        <f>IF($B7="","",IF(W7="","",INDEX('Accounts Overview'!$A$2:$A$100,W7)))</f>
        <v>ACC0002</v>
      </c>
      <c r="E7" s="1" t="str">
        <f>IF($B7="","",IF(V7="","",IF(INDEX('Input Contact Information'!$D$2:$D$200,V7)="","",INDEX('Input Contact Information'!$D$2:$D$200,V7))))</f>
        <v>Vice President, Strategy</v>
      </c>
      <c r="F7" s="1" t="str">
        <f>IF($B7="","",IF(V7="","",IF(INDEX('Input Contact Information'!$F$2:$F$200,V7)="","",INDEX('Input Contact Information'!$F$2:$F$200,V7))))</f>
        <v>hassan.alkaabi@sample-2.example</v>
      </c>
      <c r="G7" s="1" t="str">
        <f>IF($B7="","",IF(V7="","",IF(INDEX('Input Contact Information'!$E$2:$E$200,V7)="","",INDEX('Input Contact Information'!$E$2:$E$200,V7))))</f>
        <v/>
      </c>
      <c r="H7" s="1" t="str">
        <f>IF($B7="","",IF(V7="","",IF(INDEX('Input Contact Information'!$G$2:$G$200,V7)="","",INDEX('Input Contact Information'!$G$2:$G$200,V7))))</f>
        <v/>
      </c>
      <c r="I7" s="1" t="str">
        <f>IF($B7="","",IF(V7="","",IF(INDEX('Input Contact Information'!$H$2:$H$200,V7)="","",INDEX('Input Contact Information'!$H$2:$H$200,V7))))</f>
        <v/>
      </c>
      <c r="J7" s="1" t="str">
        <f>IF($B7="","",IF(V7="","",IF(INDEX('Input Contact Information'!$I$2:$I$200,V7)="","",INDEX('Input Contact Information'!$I$2:$I$200,V7))))</f>
        <v>Email</v>
      </c>
      <c r="K7" s="1" t="str">
        <f>IF($B7="","",IF(V7="","",IF(INDEX('Input Contact Information'!$A$2:$A$200,V7)="","",INDEX('Input Contact Information'!$A$2:$A$200,V7))))</f>
        <v>Alberto Michelotti</v>
      </c>
      <c r="L7" s="1" t="str">
        <f>IF($B7="","",IF(W7="","",IF(INDEX('Accounts Overview'!$I$2:$I$100,W7)="","",INDEX('Accounts Overview'!$I$2:$I$100,W7))))</f>
        <v>Eric Guraieb</v>
      </c>
      <c r="M7" s="1" t="str">
        <f>IF($B7="","",IF(V7="","",IF(INDEX('Input Contact Information'!$J$2:$J$200,V7)="","",INDEX('Input Contact Information'!$J$2:$J$200,V7))))</f>
        <v>High</v>
      </c>
      <c r="N7" s="1" t="str">
        <f>IF($B7="","",IF(V7="","",IF(INDEX('Input Contact Information'!$K$2:$K$200,V7)="","",INDEX('Input Contact Information'!$K$2:$K$200,V7))))</f>
        <v>Low</v>
      </c>
      <c r="O7" s="1" t="str">
        <f>IF($B7="","",IF(V7="","",IF(INDEX('Input Contact Information'!$L$2:$L$200,V7)="","",INDEX('Input Contact Information'!$L$2:$L$200,V7))))</f>
        <v>High</v>
      </c>
      <c r="P7" s="1" t="str">
        <f>IF($B7="","",IF((IF(V7="","",IF(INDEX('Input Contact Information'!$N$2:$N$200,V7)="","",INDEX('Input Contact Information'!$N$2:$N$200,V7))))&lt;&gt;"",IF(V7="","",IF(INDEX('Input Contact Information'!$N$2:$N$200,V7)="","",INDEX('Input Contact Information'!$N$2:$N$200,V7))),IF(V7="","",IF(INDEX('Input Contact Information'!$M$2:$M$200,V7)="","",INDEX('Input Contact Information'!$M$2:$M$200,V7)))))</f>
        <v>Tier 1</v>
      </c>
      <c r="Q7" s="1" t="str">
        <f t="shared" si="1"/>
        <v>Monthly</v>
      </c>
      <c r="R7" s="1" t="str">
        <f ca="1">IF($B7="","",IF(X7="","",IF(INDEX('Engagements Overview'!$I$2:$I$200,X7)="","",INDEX('Engagements Overview'!$I$2:$I$200,X7))))</f>
        <v>On Track</v>
      </c>
      <c r="S7" s="14">
        <f ca="1">IF($B7="","",IF(X7="","",IF(INDEX('Engagements Overview'!$K$2:$K$200,X7)="","",INDEX('Engagements Overview'!$K$2:$K$200,X7))))</f>
        <v>8</v>
      </c>
      <c r="T7" s="1" t="str">
        <f>IF($B7="","",IF(V7="","",IF(INDEX('Input Contact Information'!$O$2:$O$200,V7)="","",INDEX('Input Contact Information'!$O$2:$O$200,V7))))</f>
        <v>Customer experience — interested in improving the end-to-end passenger journey; Digital aviation — interested in practical uses of digital tools and data in aviation.</v>
      </c>
      <c r="U7" s="1" t="str">
        <f>IF($B7="","",IF(V7="","",IF(INDEX('Input Contact Information'!$P$2:$P$200,V7)="","",INDEX('Input Contact Information'!$P$2:$P$200,V7))))</f>
        <v>Running — enjoys recreational running; Technology — follows consumer technology, wearables and fitness devices.</v>
      </c>
      <c r="V7" s="1">
        <f>IF(B7="","",IFERROR(MATCH(B7&amp;"|"&amp;C7,'Input Contact Information'!$W$2:$W$200,0),""))</f>
        <v>6</v>
      </c>
      <c r="W7" s="1">
        <f>IF(C7="","",IFERROR(MATCH(C7,'Accounts Overview'!$B$2:$B$100,0),""))</f>
        <v>2</v>
      </c>
      <c r="X7" s="1">
        <f>IF(A7="","",IFERROR(MATCH(A7,'Engagements Overview'!$B$2:$B$200,0),""))</f>
        <v>6</v>
      </c>
    </row>
    <row r="8" spans="1:24" ht="15" customHeight="1" x14ac:dyDescent="0.35">
      <c r="A8" s="13" t="str">
        <f t="shared" si="0"/>
        <v>CON0007</v>
      </c>
      <c r="B8" s="1" t="str">
        <f>IFERROR(INDEX('Input Contact Information'!$C$2:$C$200,MATCH(ROW()-1,'Input Contact Information'!$V$2:$V$200,0)),"")</f>
        <v>Layla Al Nuaimi</v>
      </c>
      <c r="C8" s="1" t="str">
        <f>IFERROR(INDEX('Input Contact Information'!$B$2:$B$200,MATCH(ROW()-1,'Input Contact Information'!$V$2:$V$200,0)),"")</f>
        <v>Qatar National Bank</v>
      </c>
      <c r="D8" s="1" t="str">
        <f>IF($B8="","",IF(W8="","",INDEX('Accounts Overview'!$A$2:$A$100,W8)))</f>
        <v>ACC0003</v>
      </c>
      <c r="E8" s="1" t="str">
        <f>IF($B8="","",IF(V8="","",IF(INDEX('Input Contact Information'!$D$2:$D$200,V8)="","",INDEX('Input Contact Information'!$D$2:$D$200,V8))))</f>
        <v>Chief Executive Officer</v>
      </c>
      <c r="F8" s="1" t="str">
        <f>IF($B8="","",IF(V8="","",IF(INDEX('Input Contact Information'!$F$2:$F$200,V8)="","",INDEX('Input Contact Information'!$F$2:$F$200,V8))))</f>
        <v>layla.alnuaimi@sample-3.example</v>
      </c>
      <c r="G8" s="1" t="str">
        <f>IF($B8="","",IF(V8="","",IF(INDEX('Input Contact Information'!$E$2:$E$200,V8)="","",INDEX('Input Contact Information'!$E$2:$E$200,V8))))</f>
        <v/>
      </c>
      <c r="H8" s="1" t="str">
        <f>IF($B8="","",IF(V8="","",IF(INDEX('Input Contact Information'!$G$2:$G$200,V8)="","",INDEX('Input Contact Information'!$G$2:$G$200,V8))))</f>
        <v/>
      </c>
      <c r="I8" s="1" t="str">
        <f>IF($B8="","",IF(V8="","",IF(INDEX('Input Contact Information'!$H$2:$H$200,V8)="","",INDEX('Input Contact Information'!$H$2:$H$200,V8))))</f>
        <v/>
      </c>
      <c r="J8" s="1" t="str">
        <f>IF($B8="","",IF(V8="","",IF(INDEX('Input Contact Information'!$I$2:$I$200,V8)="","",INDEX('Input Contact Information'!$I$2:$I$200,V8))))</f>
        <v>Email</v>
      </c>
      <c r="K8" s="1" t="str">
        <f>IF($B8="","",IF(V8="","",IF(INDEX('Input Contact Information'!$A$2:$A$200,V8)="","",INDEX('Input Contact Information'!$A$2:$A$200,V8))))</f>
        <v>Eric Guraieb</v>
      </c>
      <c r="L8" s="1" t="str">
        <f>IF($B8="","",IF(W8="","",IF(INDEX('Accounts Overview'!$I$2:$I$100,W8)="","",INDEX('Accounts Overview'!$I$2:$I$100,W8))))</f>
        <v>Kyle Strong</v>
      </c>
      <c r="M8" s="1" t="str">
        <f>IF($B8="","",IF(V8="","",IF(INDEX('Input Contact Information'!$J$2:$J$200,V8)="","",INDEX('Input Contact Information'!$J$2:$J$200,V8))))</f>
        <v>High</v>
      </c>
      <c r="N8" s="1" t="str">
        <f>IF($B8="","",IF(V8="","",IF(INDEX('Input Contact Information'!$K$2:$K$200,V8)="","",INDEX('Input Contact Information'!$K$2:$K$200,V8))))</f>
        <v>High</v>
      </c>
      <c r="O8" s="1" t="str">
        <f>IF($B8="","",IF(V8="","",IF(INDEX('Input Contact Information'!$L$2:$L$200,V8)="","",INDEX('Input Contact Information'!$L$2:$L$200,V8))))</f>
        <v>High</v>
      </c>
      <c r="P8" s="1" t="str">
        <f>IF($B8="","",IF((IF(V8="","",IF(INDEX('Input Contact Information'!$N$2:$N$200,V8)="","",INDEX('Input Contact Information'!$N$2:$N$200,V8))))&lt;&gt;"",IF(V8="","",IF(INDEX('Input Contact Information'!$N$2:$N$200,V8)="","",INDEX('Input Contact Information'!$N$2:$N$200,V8))),IF(V8="","",IF(INDEX('Input Contact Information'!$M$2:$M$200,V8)="","",INDEX('Input Contact Information'!$M$2:$M$200,V8)))))</f>
        <v>Tier 1</v>
      </c>
      <c r="Q8" s="1" t="str">
        <f t="shared" si="1"/>
        <v>Monthly</v>
      </c>
      <c r="R8" s="1" t="str">
        <f ca="1">IF($B8="","",IF(X8="","",IF(INDEX('Engagements Overview'!$I$2:$I$200,X8)="","",INDEX('Engagements Overview'!$I$2:$I$200,X8))))</f>
        <v>Overdue</v>
      </c>
      <c r="S8" s="14">
        <f ca="1">IF($B8="","",IF(X8="","",IF(INDEX('Engagements Overview'!$K$2:$K$200,X8)="","",INDEX('Engagements Overview'!$K$2:$K$200,X8))))</f>
        <v>77</v>
      </c>
      <c r="T8" s="1" t="str">
        <f>IF($B8="","",IF(V8="","",IF(INDEX('Input Contact Information'!$O$2:$O$200,V8)="","",INDEX('Input Contact Information'!$O$2:$O$200,V8))))</f>
        <v>Capital markets — interested in financing trends and regional capital flows; Corporate banking — interested in how banks deepen relationships with large corporates.</v>
      </c>
      <c r="U8" s="1" t="str">
        <f>IF($B8="","",IF(V8="","",IF(INDEX('Input Contact Information'!$P$2:$P$200,V8)="","",INDEX('Input Contact Information'!$P$2:$P$200,V8))))</f>
        <v>Golf — follows the sport and major events; Economics — enjoys discussing macroeconomic trends, markets and implications for the GCC.</v>
      </c>
      <c r="V8" s="1">
        <f>IF(B8="","",IFERROR(MATCH(B8&amp;"|"&amp;C8,'Input Contact Information'!$W$2:$W$200,0),""))</f>
        <v>7</v>
      </c>
      <c r="W8" s="1">
        <f>IF(C8="","",IFERROR(MATCH(C8,'Accounts Overview'!$B$2:$B$100,0),""))</f>
        <v>3</v>
      </c>
      <c r="X8" s="1">
        <f>IF(A8="","",IFERROR(MATCH(A8,'Engagements Overview'!$B$2:$B$200,0),""))</f>
        <v>7</v>
      </c>
    </row>
    <row r="9" spans="1:24" ht="15" customHeight="1" x14ac:dyDescent="0.35">
      <c r="A9" s="13" t="str">
        <f t="shared" si="0"/>
        <v>CON0008</v>
      </c>
      <c r="B9" s="1" t="str">
        <f>IFERROR(INDEX('Input Contact Information'!$C$2:$C$200,MATCH(ROW()-1,'Input Contact Information'!$V$2:$V$200,0)),"")</f>
        <v>Omar Al Ansari</v>
      </c>
      <c r="C9" s="1" t="str">
        <f>IFERROR(INDEX('Input Contact Information'!$B$2:$B$200,MATCH(ROW()-1,'Input Contact Information'!$V$2:$V$200,0)),"")</f>
        <v>Qatar National Bank</v>
      </c>
      <c r="D9" s="1" t="str">
        <f>IF($B9="","",IF(W9="","",INDEX('Accounts Overview'!$A$2:$A$100,W9)))</f>
        <v>ACC0003</v>
      </c>
      <c r="E9" s="1" t="str">
        <f>IF($B9="","",IF(V9="","",IF(INDEX('Input Contact Information'!$D$2:$D$200,V9)="","",INDEX('Input Contact Information'!$D$2:$D$200,V9))))</f>
        <v>Chief Strategy Officer</v>
      </c>
      <c r="F9" s="1" t="str">
        <f>IF($B9="","",IF(V9="","",IF(INDEX('Input Contact Information'!$F$2:$F$200,V9)="","",INDEX('Input Contact Information'!$F$2:$F$200,V9))))</f>
        <v>omar.alansari@sample-3.example</v>
      </c>
      <c r="G9" s="1" t="str">
        <f>IF($B9="","",IF(V9="","",IF(INDEX('Input Contact Information'!$E$2:$E$200,V9)="","",INDEX('Input Contact Information'!$E$2:$E$200,V9))))</f>
        <v/>
      </c>
      <c r="H9" s="1" t="str">
        <f>IF($B9="","",IF(V9="","",IF(INDEX('Input Contact Information'!$G$2:$G$200,V9)="","",INDEX('Input Contact Information'!$G$2:$G$200,V9))))</f>
        <v/>
      </c>
      <c r="I9" s="1" t="str">
        <f>IF($B9="","",IF(V9="","",IF(INDEX('Input Contact Information'!$H$2:$H$200,V9)="","",INDEX('Input Contact Information'!$H$2:$H$200,V9))))</f>
        <v/>
      </c>
      <c r="J9" s="1" t="str">
        <f>IF($B9="","",IF(V9="","",IF(INDEX('Input Contact Information'!$I$2:$I$200,V9)="","",INDEX('Input Contact Information'!$I$2:$I$200,V9))))</f>
        <v>Email</v>
      </c>
      <c r="K9" s="1" t="str">
        <f>IF($B9="","",IF(V9="","",IF(INDEX('Input Contact Information'!$A$2:$A$200,V9)="","",INDEX('Input Contact Information'!$A$2:$A$200,V9))))</f>
        <v>Eric Guraieb</v>
      </c>
      <c r="L9" s="1" t="str">
        <f>IF($B9="","",IF(W9="","",IF(INDEX('Accounts Overview'!$I$2:$I$100,W9)="","",INDEX('Accounts Overview'!$I$2:$I$100,W9))))</f>
        <v>Kyle Strong</v>
      </c>
      <c r="M9" s="1" t="str">
        <f>IF($B9="","",IF(V9="","",IF(INDEX('Input Contact Information'!$J$2:$J$200,V9)="","",INDEX('Input Contact Information'!$J$2:$J$200,V9))))</f>
        <v>High</v>
      </c>
      <c r="N9" s="1" t="str">
        <f>IF($B9="","",IF(V9="","",IF(INDEX('Input Contact Information'!$K$2:$K$200,V9)="","",INDEX('Input Contact Information'!$K$2:$K$200,V9))))</f>
        <v>Medium</v>
      </c>
      <c r="O9" s="1" t="str">
        <f>IF($B9="","",IF(V9="","",IF(INDEX('Input Contact Information'!$L$2:$L$200,V9)="","",INDEX('Input Contact Information'!$L$2:$L$200,V9))))</f>
        <v>High</v>
      </c>
      <c r="P9" s="1" t="str">
        <f>IF($B9="","",IF((IF(V9="","",IF(INDEX('Input Contact Information'!$N$2:$N$200,V9)="","",INDEX('Input Contact Information'!$N$2:$N$200,V9))))&lt;&gt;"",IF(V9="","",IF(INDEX('Input Contact Information'!$N$2:$N$200,V9)="","",INDEX('Input Contact Information'!$N$2:$N$200,V9))),IF(V9="","",IF(INDEX('Input Contact Information'!$M$2:$M$200,V9)="","",INDEX('Input Contact Information'!$M$2:$M$200,V9)))))</f>
        <v>Tier 1</v>
      </c>
      <c r="Q9" s="1" t="str">
        <f t="shared" si="1"/>
        <v>Monthly</v>
      </c>
      <c r="R9" s="1" t="str">
        <f ca="1">IF($B9="","",IF(X9="","",IF(INDEX('Engagements Overview'!$I$2:$I$200,X9)="","",INDEX('Engagements Overview'!$I$2:$I$200,X9))))</f>
        <v>Overdue</v>
      </c>
      <c r="S9" s="14">
        <f ca="1">IF($B9="","",IF(X9="","",IF(INDEX('Engagements Overview'!$K$2:$K$200,X9)="","",INDEX('Engagements Overview'!$K$2:$K$200,X9))))</f>
        <v>112</v>
      </c>
      <c r="T9" s="1" t="str">
        <f>IF($B9="","",IF(V9="","",IF(INDEX('Input Contact Information'!$O$2:$O$200,V9)="","",INDEX('Input Contact Information'!$O$2:$O$200,V9))))</f>
        <v>Digital banking — interested in digital business models and fintech partnerships; M&amp;A — interested in the strategic rationale behind banking deals.</v>
      </c>
      <c r="U9" s="1" t="str">
        <f>IF($B9="","",IF(V9="","",IF(INDEX('Input Contact Information'!$P$2:$P$200,V9)="","",INDEX('Input Contact Information'!$P$2:$P$200,V9))))</f>
        <v>Padel — enjoys playing socially; Reading — enjoys business, leadership and current-affairs books.</v>
      </c>
      <c r="V9" s="1">
        <f>IF(B9="","",IFERROR(MATCH(B9&amp;"|"&amp;C9,'Input Contact Information'!$W$2:$W$200,0),""))</f>
        <v>8</v>
      </c>
      <c r="W9" s="1">
        <f>IF(C9="","",IFERROR(MATCH(C9,'Accounts Overview'!$B$2:$B$100,0),""))</f>
        <v>3</v>
      </c>
      <c r="X9" s="1">
        <f>IF(A9="","",IFERROR(MATCH(A9,'Engagements Overview'!$B$2:$B$200,0),""))</f>
        <v>8</v>
      </c>
    </row>
    <row r="10" spans="1:24" ht="15" customHeight="1" x14ac:dyDescent="0.35">
      <c r="A10" s="13" t="str">
        <f t="shared" si="0"/>
        <v>CON0009</v>
      </c>
      <c r="B10" s="1" t="str">
        <f>IFERROR(INDEX('Input Contact Information'!$C$2:$C$200,MATCH(ROW()-1,'Input Contact Information'!$V$2:$V$200,0)),"")</f>
        <v>Sara Al Farsi</v>
      </c>
      <c r="C10" s="1" t="str">
        <f>IFERROR(INDEX('Input Contact Information'!$B$2:$B$200,MATCH(ROW()-1,'Input Contact Information'!$V$2:$V$200,0)),"")</f>
        <v>Qatar National Bank</v>
      </c>
      <c r="D10" s="1" t="str">
        <f>IF($B10="","",IF(W10="","",INDEX('Accounts Overview'!$A$2:$A$100,W10)))</f>
        <v>ACC0003</v>
      </c>
      <c r="E10" s="1" t="str">
        <f>IF($B10="","",IF(V10="","",IF(INDEX('Input Contact Information'!$D$2:$D$200,V10)="","",INDEX('Input Contact Information'!$D$2:$D$200,V10))))</f>
        <v>Vice President, Strategy</v>
      </c>
      <c r="F10" s="1" t="str">
        <f>IF($B10="","",IF(V10="","",IF(INDEX('Input Contact Information'!$F$2:$F$200,V10)="","",INDEX('Input Contact Information'!$F$2:$F$200,V10))))</f>
        <v>sara.alfarsi@sample-3.example</v>
      </c>
      <c r="G10" s="1" t="str">
        <f>IF($B10="","",IF(V10="","",IF(INDEX('Input Contact Information'!$E$2:$E$200,V10)="","",INDEX('Input Contact Information'!$E$2:$E$200,V10))))</f>
        <v/>
      </c>
      <c r="H10" s="1" t="str">
        <f>IF($B10="","",IF(V10="","",IF(INDEX('Input Contact Information'!$G$2:$G$200,V10)="","",INDEX('Input Contact Information'!$G$2:$G$200,V10))))</f>
        <v/>
      </c>
      <c r="I10" s="1" t="str">
        <f>IF($B10="","",IF(V10="","",IF(INDEX('Input Contact Information'!$H$2:$H$200,V10)="","",INDEX('Input Contact Information'!$H$2:$H$200,V10))))</f>
        <v/>
      </c>
      <c r="J10" s="1" t="str">
        <f>IF($B10="","",IF(V10="","",IF(INDEX('Input Contact Information'!$I$2:$I$200,V10)="","",INDEX('Input Contact Information'!$I$2:$I$200,V10))))</f>
        <v>Email</v>
      </c>
      <c r="K10" s="1" t="str">
        <f>IF($B10="","",IF(V10="","",IF(INDEX('Input Contact Information'!$A$2:$A$200,V10)="","",INDEX('Input Contact Information'!$A$2:$A$200,V10))))</f>
        <v>Eric Guraieb</v>
      </c>
      <c r="L10" s="1" t="str">
        <f>IF($B10="","",IF(W10="","",IF(INDEX('Accounts Overview'!$I$2:$I$100,W10)="","",INDEX('Accounts Overview'!$I$2:$I$100,W10))))</f>
        <v>Kyle Strong</v>
      </c>
      <c r="M10" s="1" t="str">
        <f>IF($B10="","",IF(V10="","",IF(INDEX('Input Contact Information'!$J$2:$J$200,V10)="","",INDEX('Input Contact Information'!$J$2:$J$200,V10))))</f>
        <v>High</v>
      </c>
      <c r="N10" s="1" t="str">
        <f>IF($B10="","",IF(V10="","",IF(INDEX('Input Contact Information'!$K$2:$K$200,V10)="","",INDEX('Input Contact Information'!$K$2:$K$200,V10))))</f>
        <v>Medium</v>
      </c>
      <c r="O10" s="1" t="str">
        <f>IF($B10="","",IF(V10="","",IF(INDEX('Input Contact Information'!$L$2:$L$200,V10)="","",INDEX('Input Contact Information'!$L$2:$L$200,V10))))</f>
        <v>High</v>
      </c>
      <c r="P10" s="1" t="str">
        <f>IF($B10="","",IF((IF(V10="","",IF(INDEX('Input Contact Information'!$N$2:$N$200,V10)="","",INDEX('Input Contact Information'!$N$2:$N$200,V10))))&lt;&gt;"",IF(V10="","",IF(INDEX('Input Contact Information'!$N$2:$N$200,V10)="","",INDEX('Input Contact Information'!$N$2:$N$200,V10))),IF(V10="","",IF(INDEX('Input Contact Information'!$M$2:$M$200,V10)="","",INDEX('Input Contact Information'!$M$2:$M$200,V10)))))</f>
        <v>Tier 1</v>
      </c>
      <c r="Q10" s="1" t="str">
        <f t="shared" si="1"/>
        <v>Monthly</v>
      </c>
      <c r="R10" s="1" t="str">
        <f ca="1">IF($B10="","",IF(X10="","",IF(INDEX('Engagements Overview'!$I$2:$I$200,X10)="","",INDEX('Engagements Overview'!$I$2:$I$200,X10))))</f>
        <v>Overdue</v>
      </c>
      <c r="S10" s="14">
        <f ca="1">IF($B10="","",IF(X10="","",IF(INDEX('Engagements Overview'!$K$2:$K$200,X10)="","",INDEX('Engagements Overview'!$K$2:$K$200,X10))))</f>
        <v>142</v>
      </c>
      <c r="T10" s="1" t="str">
        <f>IF($B10="","",IF(V10="","",IF(INDEX('Input Contact Information'!$O$2:$O$200,V10)="","",INDEX('Input Contact Information'!$O$2:$O$200,V10))))</f>
        <v>Payments — interested in digital payments and simpler customer journeys; Wealth management — interested in affluent-customer propositions and trusted advisory relationships.</v>
      </c>
      <c r="U10" s="1" t="str">
        <f>IF($B10="","",IF(V10="","",IF(INDEX('Input Contact Information'!$P$2:$P$200,V10)="","",INDEX('Input Contact Information'!$P$2:$P$200,V10))))</f>
        <v>Art — enjoys exhibitions and galleries; Travel — enjoys culturally rich destinations, local design and architecture.</v>
      </c>
      <c r="V10" s="1">
        <f>IF(B10="","",IFERROR(MATCH(B10&amp;"|"&amp;C10,'Input Contact Information'!$W$2:$W$200,0),""))</f>
        <v>9</v>
      </c>
      <c r="W10" s="1">
        <f>IF(C10="","",IFERROR(MATCH(C10,'Accounts Overview'!$B$2:$B$100,0),""))</f>
        <v>3</v>
      </c>
      <c r="X10" s="1">
        <f>IF(A10="","",IFERROR(MATCH(A10,'Engagements Overview'!$B$2:$B$200,0),""))</f>
        <v>9</v>
      </c>
    </row>
    <row r="11" spans="1:24" ht="15" customHeight="1" x14ac:dyDescent="0.35">
      <c r="A11" s="13" t="str">
        <f t="shared" si="0"/>
        <v>CON0010</v>
      </c>
      <c r="B11" s="1" t="str">
        <f>IFERROR(INDEX('Input Contact Information'!$C$2:$C$200,MATCH(ROW()-1,'Input Contact Information'!$V$2:$V$200,0)),"")</f>
        <v>Yousef Al Mulla</v>
      </c>
      <c r="C11" s="1" t="str">
        <f>IFERROR(INDEX('Input Contact Information'!$B$2:$B$200,MATCH(ROW()-1,'Input Contact Information'!$V$2:$V$200,0)),"")</f>
        <v>Ooredoo Qatar</v>
      </c>
      <c r="D11" s="1" t="str">
        <f>IF($B11="","",IF(W11="","",INDEX('Accounts Overview'!$A$2:$A$100,W11)))</f>
        <v>ACC0004</v>
      </c>
      <c r="E11" s="1" t="str">
        <f>IF($B11="","",IF(V11="","",IF(INDEX('Input Contact Information'!$D$2:$D$200,V11)="","",INDEX('Input Contact Information'!$D$2:$D$200,V11))))</f>
        <v>Chief Executive Officer</v>
      </c>
      <c r="F11" s="1" t="str">
        <f>IF($B11="","",IF(V11="","",IF(INDEX('Input Contact Information'!$F$2:$F$200,V11)="","",INDEX('Input Contact Information'!$F$2:$F$200,V11))))</f>
        <v>yousef.almulla@sample-4.example</v>
      </c>
      <c r="G11" s="1" t="str">
        <f>IF($B11="","",IF(V11="","",IF(INDEX('Input Contact Information'!$E$2:$E$200,V11)="","",INDEX('Input Contact Information'!$E$2:$E$200,V11))))</f>
        <v/>
      </c>
      <c r="H11" s="1" t="str">
        <f>IF($B11="","",IF(V11="","",IF(INDEX('Input Contact Information'!$G$2:$G$200,V11)="","",INDEX('Input Contact Information'!$G$2:$G$200,V11))))</f>
        <v/>
      </c>
      <c r="I11" s="1" t="str">
        <f>IF($B11="","",IF(V11="","",IF(INDEX('Input Contact Information'!$H$2:$H$200,V11)="","",INDEX('Input Contact Information'!$H$2:$H$200,V11))))</f>
        <v/>
      </c>
      <c r="J11" s="1" t="str">
        <f>IF($B11="","",IF(V11="","",IF(INDEX('Input Contact Information'!$I$2:$I$200,V11)="","",INDEX('Input Contact Information'!$I$2:$I$200,V11))))</f>
        <v>Email</v>
      </c>
      <c r="K11" s="1" t="str">
        <f>IF($B11="","",IF(V11="","",IF(INDEX('Input Contact Information'!$A$2:$A$200,V11)="","",INDEX('Input Contact Information'!$A$2:$A$200,V11))))</f>
        <v>Kyle Strong</v>
      </c>
      <c r="L11" s="1" t="str">
        <f>IF($B11="","",IF(W11="","",IF(INDEX('Accounts Overview'!$I$2:$I$100,W11)="","",INDEX('Accounts Overview'!$I$2:$I$100,W11))))</f>
        <v>Sergey Glushkin</v>
      </c>
      <c r="M11" s="1" t="str">
        <f>IF($B11="","",IF(V11="","",IF(INDEX('Input Contact Information'!$J$2:$J$200,V11)="","",INDEX('Input Contact Information'!$J$2:$J$200,V11))))</f>
        <v>High</v>
      </c>
      <c r="N11" s="1" t="str">
        <f>IF($B11="","",IF(V11="","",IF(INDEX('Input Contact Information'!$K$2:$K$200,V11)="","",INDEX('Input Contact Information'!$K$2:$K$200,V11))))</f>
        <v>Medium</v>
      </c>
      <c r="O11" s="1" t="str">
        <f>IF($B11="","",IF(V11="","",IF(INDEX('Input Contact Information'!$L$2:$L$200,V11)="","",INDEX('Input Contact Information'!$L$2:$L$200,V11))))</f>
        <v>High</v>
      </c>
      <c r="P11" s="1" t="str">
        <f>IF($B11="","",IF((IF(V11="","",IF(INDEX('Input Contact Information'!$N$2:$N$200,V11)="","",INDEX('Input Contact Information'!$N$2:$N$200,V11))))&lt;&gt;"",IF(V11="","",IF(INDEX('Input Contact Information'!$N$2:$N$200,V11)="","",INDEX('Input Contact Information'!$N$2:$N$200,V11))),IF(V11="","",IF(INDEX('Input Contact Information'!$M$2:$M$200,V11)="","",INDEX('Input Contact Information'!$M$2:$M$200,V11)))))</f>
        <v>Tier 1</v>
      </c>
      <c r="Q11" s="1" t="str">
        <f t="shared" si="1"/>
        <v>Monthly</v>
      </c>
      <c r="R11" s="1" t="str">
        <f ca="1">IF($B11="","",IF(X11="","",IF(INDEX('Engagements Overview'!$I$2:$I$200,X11)="","",INDEX('Engagements Overview'!$I$2:$I$200,X11))))</f>
        <v>Overdue</v>
      </c>
      <c r="S11" s="14">
        <f ca="1">IF($B11="","",IF(X11="","",IF(INDEX('Engagements Overview'!$K$2:$K$200,X11)="","",INDEX('Engagements Overview'!$K$2:$K$200,X11))))</f>
        <v>77</v>
      </c>
      <c r="T11" s="1" t="str">
        <f>IF($B11="","",IF(V11="","",IF(INDEX('Input Contact Information'!$O$2:$O$200,V11)="","",INDEX('Input Contact Information'!$O$2:$O$200,V11))))</f>
        <v>5G — interested in monetising next-generation connectivity; Digital platforms — interested in building adjacent digital services beyond the traditional telecom core.</v>
      </c>
      <c r="U11" s="1" t="str">
        <f>IF($B11="","",IF(V11="","",IF(INDEX('Input Contact Information'!$P$2:$P$200,V11)="","",INDEX('Input Contact Information'!$P$2:$P$200,V11))))</f>
        <v>Football — follows major leagues and competitions; Technology — enjoys useful new devices and consumer technology.</v>
      </c>
      <c r="V11" s="1">
        <f>IF(B11="","",IFERROR(MATCH(B11&amp;"|"&amp;C11,'Input Contact Information'!$W$2:$W$200,0),""))</f>
        <v>10</v>
      </c>
      <c r="W11" s="1">
        <f>IF(C11="","",IFERROR(MATCH(C11,'Accounts Overview'!$B$2:$B$100,0),""))</f>
        <v>4</v>
      </c>
      <c r="X11" s="1">
        <f>IF(A11="","",IFERROR(MATCH(A11,'Engagements Overview'!$B$2:$B$200,0),""))</f>
        <v>10</v>
      </c>
    </row>
    <row r="12" spans="1:24" ht="15" customHeight="1" x14ac:dyDescent="0.35">
      <c r="A12" s="13" t="str">
        <f t="shared" si="0"/>
        <v>CON0011</v>
      </c>
      <c r="B12" s="1" t="str">
        <f>IFERROR(INDEX('Input Contact Information'!$C$2:$C$200,MATCH(ROW()-1,'Input Contact Information'!$V$2:$V$200,0)),"")</f>
        <v>Aisha Al Hamadi</v>
      </c>
      <c r="C12" s="1" t="str">
        <f>IFERROR(INDEX('Input Contact Information'!$B$2:$B$200,MATCH(ROW()-1,'Input Contact Information'!$V$2:$V$200,0)),"")</f>
        <v>Ooredoo Qatar</v>
      </c>
      <c r="D12" s="1" t="str">
        <f>IF($B12="","",IF(W12="","",INDEX('Accounts Overview'!$A$2:$A$100,W12)))</f>
        <v>ACC0004</v>
      </c>
      <c r="E12" s="1" t="str">
        <f>IF($B12="","",IF(V12="","",IF(INDEX('Input Contact Information'!$D$2:$D$200,V12)="","",INDEX('Input Contact Information'!$D$2:$D$200,V12))))</f>
        <v>Chief Strategy Officer</v>
      </c>
      <c r="F12" s="1" t="str">
        <f>IF($B12="","",IF(V12="","",IF(INDEX('Input Contact Information'!$F$2:$F$200,V12)="","",INDEX('Input Contact Information'!$F$2:$F$200,V12))))</f>
        <v>aisha.alhamadi@sample-4.example</v>
      </c>
      <c r="G12" s="1" t="str">
        <f>IF($B12="","",IF(V12="","",IF(INDEX('Input Contact Information'!$E$2:$E$200,V12)="","",INDEX('Input Contact Information'!$E$2:$E$200,V12))))</f>
        <v/>
      </c>
      <c r="H12" s="1" t="str">
        <f>IF($B12="","",IF(V12="","",IF(INDEX('Input Contact Information'!$G$2:$G$200,V12)="","",INDEX('Input Contact Information'!$G$2:$G$200,V12))))</f>
        <v/>
      </c>
      <c r="I12" s="1" t="str">
        <f>IF($B12="","",IF(V12="","",IF(INDEX('Input Contact Information'!$H$2:$H$200,V12)="","",INDEX('Input Contact Information'!$H$2:$H$200,V12))))</f>
        <v/>
      </c>
      <c r="J12" s="1" t="str">
        <f>IF($B12="","",IF(V12="","",IF(INDEX('Input Contact Information'!$I$2:$I$200,V12)="","",INDEX('Input Contact Information'!$I$2:$I$200,V12))))</f>
        <v>Email</v>
      </c>
      <c r="K12" s="1" t="str">
        <f>IF($B12="","",IF(V12="","",IF(INDEX('Input Contact Information'!$A$2:$A$200,V12)="","",INDEX('Input Contact Information'!$A$2:$A$200,V12))))</f>
        <v>Kyle Strong</v>
      </c>
      <c r="L12" s="1" t="str">
        <f>IF($B12="","",IF(W12="","",IF(INDEX('Accounts Overview'!$I$2:$I$100,W12)="","",INDEX('Accounts Overview'!$I$2:$I$100,W12))))</f>
        <v>Sergey Glushkin</v>
      </c>
      <c r="M12" s="1" t="str">
        <f>IF($B12="","",IF(V12="","",IF(INDEX('Input Contact Information'!$J$2:$J$200,V12)="","",INDEX('Input Contact Information'!$J$2:$J$200,V12))))</f>
        <v>High</v>
      </c>
      <c r="N12" s="1" t="str">
        <f>IF($B12="","",IF(V12="","",IF(INDEX('Input Contact Information'!$K$2:$K$200,V12)="","",INDEX('Input Contact Information'!$K$2:$K$200,V12))))</f>
        <v>Low</v>
      </c>
      <c r="O12" s="1" t="str">
        <f>IF($B12="","",IF(V12="","",IF(INDEX('Input Contact Information'!$L$2:$L$200,V12)="","",INDEX('Input Contact Information'!$L$2:$L$200,V12))))</f>
        <v>High</v>
      </c>
      <c r="P12" s="1" t="str">
        <f>IF($B12="","",IF((IF(V12="","",IF(INDEX('Input Contact Information'!$N$2:$N$200,V12)="","",INDEX('Input Contact Information'!$N$2:$N$200,V12))))&lt;&gt;"",IF(V12="","",IF(INDEX('Input Contact Information'!$N$2:$N$200,V12)="","",INDEX('Input Contact Information'!$N$2:$N$200,V12))),IF(V12="","",IF(INDEX('Input Contact Information'!$M$2:$M$200,V12)="","",INDEX('Input Contact Information'!$M$2:$M$200,V12)))))</f>
        <v>Tier 1</v>
      </c>
      <c r="Q12" s="1" t="str">
        <f t="shared" si="1"/>
        <v>Monthly</v>
      </c>
      <c r="R12" s="1" t="str">
        <f ca="1">IF($B12="","",IF(X12="","",IF(INDEX('Engagements Overview'!$I$2:$I$200,X12)="","",INDEX('Engagements Overview'!$I$2:$I$200,X12))))</f>
        <v>Overdue</v>
      </c>
      <c r="S12" s="14">
        <f ca="1">IF($B12="","",IF(X12="","",IF(INDEX('Engagements Overview'!$K$2:$K$200,X12)="","",INDEX('Engagements Overview'!$K$2:$K$200,X12))))</f>
        <v>112</v>
      </c>
      <c r="T12" s="1" t="str">
        <f>IF($B12="","",IF(V12="","",IF(INDEX('Input Contact Information'!$O$2:$O$200,V12)="","",INDEX('Input Contact Information'!$O$2:$O$200,V12))))</f>
        <v>AI and analytics — interested in practical AI applications and data-led decision-making; B2B growth — interested in scaling enterprise digital services.</v>
      </c>
      <c r="U12" s="1" t="str">
        <f>IF($B12="","",IF(V12="","",IF(INDEX('Input Contact Information'!$P$2:$P$200,V12)="","",INDEX('Input Contact Information'!$P$2:$P$200,V12))))</f>
        <v>Cycling — enjoys recreational cycling; Podcasts — listens to business, technology and leadership podcasts.</v>
      </c>
      <c r="V12" s="1">
        <f>IF(B12="","",IFERROR(MATCH(B12&amp;"|"&amp;C12,'Input Contact Information'!$W$2:$W$200,0),""))</f>
        <v>11</v>
      </c>
      <c r="W12" s="1">
        <f>IF(C12="","",IFERROR(MATCH(C12,'Accounts Overview'!$B$2:$B$100,0),""))</f>
        <v>4</v>
      </c>
      <c r="X12" s="1">
        <f>IF(A12="","",IFERROR(MATCH(A12,'Engagements Overview'!$B$2:$B$200,0),""))</f>
        <v>11</v>
      </c>
    </row>
    <row r="13" spans="1:24" ht="15" customHeight="1" x14ac:dyDescent="0.35">
      <c r="A13" s="13" t="str">
        <f t="shared" si="0"/>
        <v>CON0012</v>
      </c>
      <c r="B13" s="1" t="str">
        <f>IFERROR(INDEX('Input Contact Information'!$C$2:$C$200,MATCH(ROW()-1,'Input Contact Information'!$V$2:$V$200,0)),"")</f>
        <v>Rashid Al Jaber</v>
      </c>
      <c r="C13" s="1" t="str">
        <f>IFERROR(INDEX('Input Contact Information'!$B$2:$B$200,MATCH(ROW()-1,'Input Contact Information'!$V$2:$V$200,0)),"")</f>
        <v>Ooredoo Qatar</v>
      </c>
      <c r="D13" s="1" t="str">
        <f>IF($B13="","",IF(W13="","",INDEX('Accounts Overview'!$A$2:$A$100,W13)))</f>
        <v>ACC0004</v>
      </c>
      <c r="E13" s="1" t="str">
        <f>IF($B13="","",IF(V13="","",IF(INDEX('Input Contact Information'!$D$2:$D$200,V13)="","",INDEX('Input Contact Information'!$D$2:$D$200,V13))))</f>
        <v>Vice President, Strategy</v>
      </c>
      <c r="F13" s="1" t="str">
        <f>IF($B13="","",IF(V13="","",IF(INDEX('Input Contact Information'!$F$2:$F$200,V13)="","",INDEX('Input Contact Information'!$F$2:$F$200,V13))))</f>
        <v>rashid.aljaber@sample-4.example</v>
      </c>
      <c r="G13" s="1" t="str">
        <f>IF($B13="","",IF(V13="","",IF(INDEX('Input Contact Information'!$E$2:$E$200,V13)="","",INDEX('Input Contact Information'!$E$2:$E$200,V13))))</f>
        <v/>
      </c>
      <c r="H13" s="1" t="str">
        <f>IF($B13="","",IF(V13="","",IF(INDEX('Input Contact Information'!$G$2:$G$200,V13)="","",INDEX('Input Contact Information'!$G$2:$G$200,V13))))</f>
        <v/>
      </c>
      <c r="I13" s="1" t="str">
        <f>IF($B13="","",IF(V13="","",IF(INDEX('Input Contact Information'!$H$2:$H$200,V13)="","",INDEX('Input Contact Information'!$H$2:$H$200,V13))))</f>
        <v/>
      </c>
      <c r="J13" s="1" t="str">
        <f>IF($B13="","",IF(V13="","",IF(INDEX('Input Contact Information'!$I$2:$I$200,V13)="","",INDEX('Input Contact Information'!$I$2:$I$200,V13))))</f>
        <v>Email</v>
      </c>
      <c r="K13" s="1" t="str">
        <f>IF($B13="","",IF(V13="","",IF(INDEX('Input Contact Information'!$A$2:$A$200,V13)="","",INDEX('Input Contact Information'!$A$2:$A$200,V13))))</f>
        <v>Kyle Strong</v>
      </c>
      <c r="L13" s="1" t="str">
        <f>IF($B13="","",IF(W13="","",IF(INDEX('Accounts Overview'!$I$2:$I$100,W13)="","",INDEX('Accounts Overview'!$I$2:$I$100,W13))))</f>
        <v>Sergey Glushkin</v>
      </c>
      <c r="M13" s="1" t="str">
        <f>IF($B13="","",IF(V13="","",IF(INDEX('Input Contact Information'!$J$2:$J$200,V13)="","",INDEX('Input Contact Information'!$J$2:$J$200,V13))))</f>
        <v>High</v>
      </c>
      <c r="N13" s="1" t="str">
        <f>IF($B13="","",IF(V13="","",IF(INDEX('Input Contact Information'!$K$2:$K$200,V13)="","",INDEX('Input Contact Information'!$K$2:$K$200,V13))))</f>
        <v>Low</v>
      </c>
      <c r="O13" s="1" t="str">
        <f>IF($B13="","",IF(V13="","",IF(INDEX('Input Contact Information'!$L$2:$L$200,V13)="","",INDEX('Input Contact Information'!$L$2:$L$200,V13))))</f>
        <v>High</v>
      </c>
      <c r="P13" s="1" t="str">
        <f>IF($B13="","",IF((IF(V13="","",IF(INDEX('Input Contact Information'!$N$2:$N$200,V13)="","",INDEX('Input Contact Information'!$N$2:$N$200,V13))))&lt;&gt;"",IF(V13="","",IF(INDEX('Input Contact Information'!$N$2:$N$200,V13)="","",INDEX('Input Contact Information'!$N$2:$N$200,V13))),IF(V13="","",IF(INDEX('Input Contact Information'!$M$2:$M$200,V13)="","",INDEX('Input Contact Information'!$M$2:$M$200,V13)))))</f>
        <v>Tier 1</v>
      </c>
      <c r="Q13" s="1" t="str">
        <f t="shared" si="1"/>
        <v>Monthly</v>
      </c>
      <c r="R13" s="1" t="str">
        <f ca="1">IF($B13="","",IF(X13="","",IF(INDEX('Engagements Overview'!$I$2:$I$200,X13)="","",INDEX('Engagements Overview'!$I$2:$I$200,X13))))</f>
        <v>Overdue</v>
      </c>
      <c r="S13" s="14">
        <f ca="1">IF($B13="","",IF(X13="","",IF(INDEX('Engagements Overview'!$K$2:$K$200,X13)="","",INDEX('Engagements Overview'!$K$2:$K$200,X13))))</f>
        <v>142</v>
      </c>
      <c r="T13" s="1" t="str">
        <f>IF($B13="","",IF(V13="","",IF(INDEX('Input Contact Information'!$O$2:$O$200,V13)="","",INDEX('Input Contact Information'!$O$2:$O$200,V13))))</f>
        <v>Customer experience — interested in creating simple digital journeys; Cybersecurity — interested in trust, privacy and cyber resilience.</v>
      </c>
      <c r="U13" s="1" t="str">
        <f>IF($B13="","",IF(V13="","",IF(INDEX('Input Contact Information'!$P$2:$P$200,V13)="","",INDEX('Input Contact Information'!$P$2:$P$200,V13))))</f>
        <v>Running — enjoys recreational running; Photography — enjoys city, travel or event-based photography.</v>
      </c>
      <c r="V13" s="1">
        <f>IF(B13="","",IFERROR(MATCH(B13&amp;"|"&amp;C13,'Input Contact Information'!$W$2:$W$200,0),""))</f>
        <v>12</v>
      </c>
      <c r="W13" s="1">
        <f>IF(C13="","",IFERROR(MATCH(C13,'Accounts Overview'!$B$2:$B$100,0),""))</f>
        <v>4</v>
      </c>
      <c r="X13" s="1">
        <f>IF(A13="","",IFERROR(MATCH(A13,'Engagements Overview'!$B$2:$B$200,0),""))</f>
        <v>12</v>
      </c>
    </row>
    <row r="14" spans="1:24" ht="15" customHeight="1" x14ac:dyDescent="0.35">
      <c r="A14" s="13" t="str">
        <f t="shared" si="0"/>
        <v>CON0013</v>
      </c>
      <c r="B14" s="1" t="str">
        <f>IFERROR(INDEX('Input Contact Information'!$C$2:$C$200,MATCH(ROW()-1,'Input Contact Information'!$V$2:$V$200,0)),"")</f>
        <v>Dana Al Mazrouei</v>
      </c>
      <c r="C14" s="1" t="str">
        <f>IFERROR(INDEX('Input Contact Information'!$B$2:$B$200,MATCH(ROW()-1,'Input Contact Information'!$V$2:$V$200,0)),"")</f>
        <v>Industries Qatar</v>
      </c>
      <c r="D14" s="1" t="str">
        <f>IF($B14="","",IF(W14="","",INDEX('Accounts Overview'!$A$2:$A$100,W14)))</f>
        <v>ACC0005</v>
      </c>
      <c r="E14" s="1" t="str">
        <f>IF($B14="","",IF(V14="","",IF(INDEX('Input Contact Information'!$D$2:$D$200,V14)="","",INDEX('Input Contact Information'!$D$2:$D$200,V14))))</f>
        <v>Vice President, Strategy</v>
      </c>
      <c r="F14" s="1" t="str">
        <f>IF($B14="","",IF(V14="","",IF(INDEX('Input Contact Information'!$F$2:$F$200,V14)="","",INDEX('Input Contact Information'!$F$2:$F$200,V14))))</f>
        <v>dana.almazrouei@sample-5.example</v>
      </c>
      <c r="G14" s="1" t="str">
        <f>IF($B14="","",IF(V14="","",IF(INDEX('Input Contact Information'!$E$2:$E$200,V14)="","",INDEX('Input Contact Information'!$E$2:$E$200,V14))))</f>
        <v/>
      </c>
      <c r="H14" s="1" t="str">
        <f>IF($B14="","",IF(V14="","",IF(INDEX('Input Contact Information'!$G$2:$G$200,V14)="","",INDEX('Input Contact Information'!$G$2:$G$200,V14))))</f>
        <v/>
      </c>
      <c r="I14" s="1" t="str">
        <f>IF($B14="","",IF(V14="","",IF(INDEX('Input Contact Information'!$H$2:$H$200,V14)="","",INDEX('Input Contact Information'!$H$2:$H$200,V14))))</f>
        <v/>
      </c>
      <c r="J14" s="1" t="str">
        <f>IF($B14="","",IF(V14="","",IF(INDEX('Input Contact Information'!$I$2:$I$200,V14)="","",INDEX('Input Contact Information'!$I$2:$I$200,V14))))</f>
        <v>Email</v>
      </c>
      <c r="K14" s="1" t="str">
        <f>IF($B14="","",IF(V14="","",IF(INDEX('Input Contact Information'!$A$2:$A$200,V14)="","",INDEX('Input Contact Information'!$A$2:$A$200,V14))))</f>
        <v>Sergey Glushkin</v>
      </c>
      <c r="L14" s="1" t="str">
        <f>IF($B14="","",IF(W14="","",IF(INDEX('Accounts Overview'!$I$2:$I$100,W14)="","",INDEX('Accounts Overview'!$I$2:$I$100,W14))))</f>
        <v>Naveed Vakil</v>
      </c>
      <c r="M14" s="1" t="str">
        <f>IF($B14="","",IF(V14="","",IF(INDEX('Input Contact Information'!$J$2:$J$200,V14)="","",INDEX('Input Contact Information'!$J$2:$J$200,V14))))</f>
        <v>Medium</v>
      </c>
      <c r="N14" s="1" t="str">
        <f>IF($B14="","",IF(V14="","",IF(INDEX('Input Contact Information'!$K$2:$K$200,V14)="","",INDEX('Input Contact Information'!$K$2:$K$200,V14))))</f>
        <v>High</v>
      </c>
      <c r="O14" s="1" t="str">
        <f>IF($B14="","",IF(V14="","",IF(INDEX('Input Contact Information'!$L$2:$L$200,V14)="","",INDEX('Input Contact Information'!$L$2:$L$200,V14))))</f>
        <v>High</v>
      </c>
      <c r="P14" s="1" t="str">
        <f>IF($B14="","",IF((IF(V14="","",IF(INDEX('Input Contact Information'!$N$2:$N$200,V14)="","",INDEX('Input Contact Information'!$N$2:$N$200,V14))))&lt;&gt;"",IF(V14="","",IF(INDEX('Input Contact Information'!$N$2:$N$200,V14)="","",INDEX('Input Contact Information'!$N$2:$N$200,V14))),IF(V14="","",IF(INDEX('Input Contact Information'!$M$2:$M$200,V14)="","",INDEX('Input Contact Information'!$M$2:$M$200,V14)))))</f>
        <v>Tier 1</v>
      </c>
      <c r="Q14" s="1" t="str">
        <f t="shared" si="1"/>
        <v>Monthly</v>
      </c>
      <c r="R14" s="1" t="str">
        <f ca="1">IF($B14="","",IF(X14="","",IF(INDEX('Engagements Overview'!$I$2:$I$200,X14)="","",INDEX('Engagements Overview'!$I$2:$I$200,X14))))</f>
        <v>Overdue</v>
      </c>
      <c r="S14" s="14">
        <f ca="1">IF($B14="","",IF(X14="","",IF(INDEX('Engagements Overview'!$K$2:$K$200,X14)="","",INDEX('Engagements Overview'!$K$2:$K$200,X14))))</f>
        <v>77</v>
      </c>
      <c r="T14" s="1" t="str">
        <f>IF($B14="","",IF(V14="","",IF(INDEX('Input Contact Information'!$O$2:$O$200,V14)="","",INDEX('Input Contact Information'!$O$2:$O$200,V14))))</f>
        <v>Petrochemicals — interested in industry competitiveness and future economics; Industrial decarbonisation — interested in lower-carbon production in energy-intensive industries.</v>
      </c>
      <c r="U14" s="1" t="str">
        <f>IF($B14="","",IF(V14="","",IF(INDEX('Input Contact Information'!$P$2:$P$200,V14)="","",INDEX('Input Contact Information'!$P$2:$P$200,V14))))</f>
        <v>Sailing — enjoys maritime experiences and sailing events; Travel — enjoys coastal and waterfront destinations.</v>
      </c>
      <c r="V14" s="1">
        <f>IF(B14="","",IFERROR(MATCH(B14&amp;"|"&amp;C14,'Input Contact Information'!$W$2:$W$200,0),""))</f>
        <v>13</v>
      </c>
      <c r="W14" s="1">
        <f>IF(C14="","",IFERROR(MATCH(C14,'Accounts Overview'!$B$2:$B$100,0),""))</f>
        <v>5</v>
      </c>
      <c r="X14" s="1">
        <f>IF(A14="","",IFERROR(MATCH(A14,'Engagements Overview'!$B$2:$B$200,0),""))</f>
        <v>13</v>
      </c>
    </row>
    <row r="15" spans="1:24" ht="15" customHeight="1" x14ac:dyDescent="0.35">
      <c r="A15" s="13" t="str">
        <f t="shared" si="0"/>
        <v>CON0014</v>
      </c>
      <c r="B15" s="1" t="str">
        <f>IFERROR(INDEX('Input Contact Information'!$C$2:$C$200,MATCH(ROW()-1,'Input Contact Information'!$V$2:$V$200,0)),"")</f>
        <v>Tariq Al Sayed</v>
      </c>
      <c r="C15" s="1" t="str">
        <f>IFERROR(INDEX('Input Contact Information'!$B$2:$B$200,MATCH(ROW()-1,'Input Contact Information'!$V$2:$V$200,0)),"")</f>
        <v>Industries Qatar</v>
      </c>
      <c r="D15" s="1" t="str">
        <f>IF($B15="","",IF(W15="","",INDEX('Accounts Overview'!$A$2:$A$100,W15)))</f>
        <v>ACC0005</v>
      </c>
      <c r="E15" s="1" t="str">
        <f>IF($B15="","",IF(V15="","",IF(INDEX('Input Contact Information'!$D$2:$D$200,V15)="","",INDEX('Input Contact Information'!$D$2:$D$200,V15))))</f>
        <v>Director, Transformation</v>
      </c>
      <c r="F15" s="1" t="str">
        <f>IF($B15="","",IF(V15="","",IF(INDEX('Input Contact Information'!$F$2:$F$200,V15)="","",INDEX('Input Contact Information'!$F$2:$F$200,V15))))</f>
        <v>tariq.alsayed@sample-5.example</v>
      </c>
      <c r="G15" s="1" t="str">
        <f>IF($B15="","",IF(V15="","",IF(INDEX('Input Contact Information'!$E$2:$E$200,V15)="","",INDEX('Input Contact Information'!$E$2:$E$200,V15))))</f>
        <v/>
      </c>
      <c r="H15" s="1" t="str">
        <f>IF($B15="","",IF(V15="","",IF(INDEX('Input Contact Information'!$G$2:$G$200,V15)="","",INDEX('Input Contact Information'!$G$2:$G$200,V15))))</f>
        <v/>
      </c>
      <c r="I15" s="1" t="str">
        <f>IF($B15="","",IF(V15="","",IF(INDEX('Input Contact Information'!$H$2:$H$200,V15)="","",INDEX('Input Contact Information'!$H$2:$H$200,V15))))</f>
        <v/>
      </c>
      <c r="J15" s="1" t="str">
        <f>IF($B15="","",IF(V15="","",IF(INDEX('Input Contact Information'!$I$2:$I$200,V15)="","",INDEX('Input Contact Information'!$I$2:$I$200,V15))))</f>
        <v>Email</v>
      </c>
      <c r="K15" s="1" t="str">
        <f>IF($B15="","",IF(V15="","",IF(INDEX('Input Contact Information'!$A$2:$A$200,V15)="","",INDEX('Input Contact Information'!$A$2:$A$200,V15))))</f>
        <v>Sergey Glushkin</v>
      </c>
      <c r="L15" s="1" t="str">
        <f>IF($B15="","",IF(W15="","",IF(INDEX('Accounts Overview'!$I$2:$I$100,W15)="","",INDEX('Accounts Overview'!$I$2:$I$100,W15))))</f>
        <v>Naveed Vakil</v>
      </c>
      <c r="M15" s="1" t="str">
        <f>IF($B15="","",IF(V15="","",IF(INDEX('Input Contact Information'!$J$2:$J$200,V15)="","",INDEX('Input Contact Information'!$J$2:$J$200,V15))))</f>
        <v>High</v>
      </c>
      <c r="N15" s="1" t="str">
        <f>IF($B15="","",IF(V15="","",IF(INDEX('Input Contact Information'!$K$2:$K$200,V15)="","",INDEX('Input Contact Information'!$K$2:$K$200,V15))))</f>
        <v>Medium</v>
      </c>
      <c r="O15" s="1" t="str">
        <f>IF($B15="","",IF(V15="","",IF(INDEX('Input Contact Information'!$L$2:$L$200,V15)="","",INDEX('Input Contact Information'!$L$2:$L$200,V15))))</f>
        <v>High</v>
      </c>
      <c r="P15" s="1" t="str">
        <f>IF($B15="","",IF((IF(V15="","",IF(INDEX('Input Contact Information'!$N$2:$N$200,V15)="","",INDEX('Input Contact Information'!$N$2:$N$200,V15))))&lt;&gt;"",IF(V15="","",IF(INDEX('Input Contact Information'!$N$2:$N$200,V15)="","",INDEX('Input Contact Information'!$N$2:$N$200,V15))),IF(V15="","",IF(INDEX('Input Contact Information'!$M$2:$M$200,V15)="","",INDEX('Input Contact Information'!$M$2:$M$200,V15)))))</f>
        <v>Tier 1</v>
      </c>
      <c r="Q15" s="1" t="str">
        <f t="shared" si="1"/>
        <v>Monthly</v>
      </c>
      <c r="R15" s="1" t="str">
        <f ca="1">IF($B15="","",IF(X15="","",IF(INDEX('Engagements Overview'!$I$2:$I$200,X15)="","",INDEX('Engagements Overview'!$I$2:$I$200,X15))))</f>
        <v>Overdue</v>
      </c>
      <c r="S15" s="14">
        <f ca="1">IF($B15="","",IF(X15="","",IF(INDEX('Engagements Overview'!$K$2:$K$200,X15)="","",INDEX('Engagements Overview'!$K$2:$K$200,X15))))</f>
        <v>112</v>
      </c>
      <c r="T15" s="1" t="str">
        <f>IF($B15="","",IF(V15="","",IF(INDEX('Input Contact Information'!$O$2:$O$200,V15)="","",INDEX('Input Contact Information'!$O$2:$O$200,V15))))</f>
        <v>Digital manufacturing — interested in automation and technology-enabled operations; Operational excellence — interested in plant productivity and measurable performance improvement.</v>
      </c>
      <c r="U15" s="1" t="str">
        <f>IF($B15="","",IF(V15="","",IF(INDEX('Input Contact Information'!$P$2:$P$200,V15)="","",INDEX('Input Contact Information'!$P$2:$P$200,V15))))</f>
        <v>Golf — follows major tournaments; Formula 1 — follows races and is interested in performance, engineering and strategy.</v>
      </c>
      <c r="V15" s="1">
        <f>IF(B15="","",IFERROR(MATCH(B15&amp;"|"&amp;C15,'Input Contact Information'!$W$2:$W$200,0),""))</f>
        <v>14</v>
      </c>
      <c r="W15" s="1">
        <f>IF(C15="","",IFERROR(MATCH(C15,'Accounts Overview'!$B$2:$B$100,0),""))</f>
        <v>5</v>
      </c>
      <c r="X15" s="1">
        <f>IF(A15="","",IFERROR(MATCH(A15,'Engagements Overview'!$B$2:$B$200,0),""))</f>
        <v>14</v>
      </c>
    </row>
    <row r="16" spans="1:24" ht="15" customHeight="1" x14ac:dyDescent="0.35">
      <c r="A16" s="13" t="str">
        <f t="shared" si="0"/>
        <v>CON0015</v>
      </c>
      <c r="B16" s="1" t="str">
        <f>IFERROR(INDEX('Input Contact Information'!$C$2:$C$200,MATCH(ROW()-1,'Input Contact Information'!$V$2:$V$200,0)),"")</f>
        <v>Lina Al Mansoori</v>
      </c>
      <c r="C16" s="1" t="str">
        <f>IFERROR(INDEX('Input Contact Information'!$B$2:$B$200,MATCH(ROW()-1,'Input Contact Information'!$V$2:$V$200,0)),"")</f>
        <v>Industries Qatar</v>
      </c>
      <c r="D16" s="1" t="str">
        <f>IF($B16="","",IF(W16="","",INDEX('Accounts Overview'!$A$2:$A$100,W16)))</f>
        <v>ACC0005</v>
      </c>
      <c r="E16" s="1" t="str">
        <f>IF($B16="","",IF(V16="","",IF(INDEX('Input Contact Information'!$D$2:$D$200,V16)="","",INDEX('Input Contact Information'!$D$2:$D$200,V16))))</f>
        <v>Senior Manager, Strategy</v>
      </c>
      <c r="F16" s="1" t="str">
        <f>IF($B16="","",IF(V16="","",IF(INDEX('Input Contact Information'!$F$2:$F$200,V16)="","",INDEX('Input Contact Information'!$F$2:$F$200,V16))))</f>
        <v>lina.almansoori@sample-5.example</v>
      </c>
      <c r="G16" s="1" t="str">
        <f>IF($B16="","",IF(V16="","",IF(INDEX('Input Contact Information'!$E$2:$E$200,V16)="","",INDEX('Input Contact Information'!$E$2:$E$200,V16))))</f>
        <v/>
      </c>
      <c r="H16" s="1" t="str">
        <f>IF($B16="","",IF(V16="","",IF(INDEX('Input Contact Information'!$G$2:$G$200,V16)="","",INDEX('Input Contact Information'!$G$2:$G$200,V16))))</f>
        <v/>
      </c>
      <c r="I16" s="1" t="str">
        <f>IF($B16="","",IF(V16="","",IF(INDEX('Input Contact Information'!$H$2:$H$200,V16)="","",INDEX('Input Contact Information'!$H$2:$H$200,V16))))</f>
        <v/>
      </c>
      <c r="J16" s="1" t="str">
        <f>IF($B16="","",IF(V16="","",IF(INDEX('Input Contact Information'!$I$2:$I$200,V16)="","",INDEX('Input Contact Information'!$I$2:$I$200,V16))))</f>
        <v>Email</v>
      </c>
      <c r="K16" s="1" t="str">
        <f>IF($B16="","",IF(V16="","",IF(INDEX('Input Contact Information'!$A$2:$A$200,V16)="","",INDEX('Input Contact Information'!$A$2:$A$200,V16))))</f>
        <v>Sergey Glushkin</v>
      </c>
      <c r="L16" s="1" t="str">
        <f>IF($B16="","",IF(W16="","",IF(INDEX('Accounts Overview'!$I$2:$I$100,W16)="","",INDEX('Accounts Overview'!$I$2:$I$100,W16))))</f>
        <v>Naveed Vakil</v>
      </c>
      <c r="M16" s="1" t="str">
        <f>IF($B16="","",IF(V16="","",IF(INDEX('Input Contact Information'!$J$2:$J$200,V16)="","",INDEX('Input Contact Information'!$J$2:$J$200,V16))))</f>
        <v>Medium</v>
      </c>
      <c r="N16" s="1" t="str">
        <f>IF($B16="","",IF(V16="","",IF(INDEX('Input Contact Information'!$K$2:$K$200,V16)="","",INDEX('Input Contact Information'!$K$2:$K$200,V16))))</f>
        <v>Medium</v>
      </c>
      <c r="O16" s="1" t="str">
        <f>IF($B16="","",IF(V16="","",IF(INDEX('Input Contact Information'!$L$2:$L$200,V16)="","",INDEX('Input Contact Information'!$L$2:$L$200,V16))))</f>
        <v>High</v>
      </c>
      <c r="P16" s="1" t="str">
        <f>IF($B16="","",IF((IF(V16="","",IF(INDEX('Input Contact Information'!$N$2:$N$200,V16)="","",INDEX('Input Contact Information'!$N$2:$N$200,V16))))&lt;&gt;"",IF(V16="","",IF(INDEX('Input Contact Information'!$N$2:$N$200,V16)="","",INDEX('Input Contact Information'!$N$2:$N$200,V16))),IF(V16="","",IF(INDEX('Input Contact Information'!$M$2:$M$200,V16)="","",INDEX('Input Contact Information'!$M$2:$M$200,V16)))))</f>
        <v>Tier 2</v>
      </c>
      <c r="Q16" s="1" t="str">
        <f t="shared" si="1"/>
        <v>Quarterly</v>
      </c>
      <c r="R16" s="1" t="str">
        <f ca="1">IF($B16="","",IF(X16="","",IF(INDEX('Engagements Overview'!$I$2:$I$200,X16)="","",INDEX('Engagements Overview'!$I$2:$I$200,X16))))</f>
        <v>For Review</v>
      </c>
      <c r="S16" s="14">
        <f ca="1">IF($B16="","",IF(X16="","",IF(INDEX('Engagements Overview'!$K$2:$K$200,X16)="","",INDEX('Engagements Overview'!$K$2:$K$200,X16))))</f>
        <v>142</v>
      </c>
      <c r="T16" s="1" t="str">
        <f>IF($B16="","",IF(V16="","",IF(INDEX('Input Contact Information'!$O$2:$O$200,V16)="","",INDEX('Input Contact Information'!$O$2:$O$200,V16))))</f>
        <v>Supply-chain resilience — interested in supplier risk and reliability; Capital projects — interested in effective delivery of major industrial investments.</v>
      </c>
      <c r="U16" s="1" t="str">
        <f>IF($B16="","",IF(V16="","",IF(INDEX('Input Contact Information'!$P$2:$P$200,V16)="","",INDEX('Input Contact Information'!$P$2:$P$200,V16))))</f>
        <v>Hiking — enjoys accessible outdoor trails; Reading — enjoys books on business, history and current affairs.</v>
      </c>
      <c r="V16" s="1">
        <f>IF(B16="","",IFERROR(MATCH(B16&amp;"|"&amp;C16,'Input Contact Information'!$W$2:$W$200,0),""))</f>
        <v>15</v>
      </c>
      <c r="W16" s="1">
        <f>IF(C16="","",IFERROR(MATCH(C16,'Accounts Overview'!$B$2:$B$100,0),""))</f>
        <v>5</v>
      </c>
      <c r="X16" s="1">
        <f>IF(A16="","",IFERROR(MATCH(A16,'Engagements Overview'!$B$2:$B$200,0),""))</f>
        <v>15</v>
      </c>
    </row>
    <row r="17" spans="1:24" ht="15" customHeight="1" x14ac:dyDescent="0.35">
      <c r="A17" s="13" t="str">
        <f t="shared" si="0"/>
        <v>CON0016</v>
      </c>
      <c r="B17" s="1" t="str">
        <f>IFERROR(INDEX('Input Contact Information'!$C$2:$C$200,MATCH(ROW()-1,'Input Contact Information'!$V$2:$V$200,0)),"")</f>
        <v>Moza Al Kuwari</v>
      </c>
      <c r="C17" s="1" t="str">
        <f>IFERROR(INDEX('Input Contact Information'!$B$2:$B$200,MATCH(ROW()-1,'Input Contact Information'!$V$2:$V$200,0)),"")</f>
        <v>Commercial Bank of Qatar</v>
      </c>
      <c r="D17" s="1" t="str">
        <f>IF($B17="","",IF(W17="","",INDEX('Accounts Overview'!$A$2:$A$100,W17)))</f>
        <v>ACC0006</v>
      </c>
      <c r="E17" s="1" t="str">
        <f>IF($B17="","",IF(V17="","",IF(INDEX('Input Contact Information'!$D$2:$D$200,V17)="","",INDEX('Input Contact Information'!$D$2:$D$200,V17))))</f>
        <v>Vice President, Strategy</v>
      </c>
      <c r="F17" s="1" t="str">
        <f>IF($B17="","",IF(V17="","",IF(INDEX('Input Contact Information'!$F$2:$F$200,V17)="","",INDEX('Input Contact Information'!$F$2:$F$200,V17))))</f>
        <v>moza.alkuwari@sample-6.example</v>
      </c>
      <c r="G17" s="1" t="str">
        <f>IF($B17="","",IF(V17="","",IF(INDEX('Input Contact Information'!$E$2:$E$200,V17)="","",INDEX('Input Contact Information'!$E$2:$E$200,V17))))</f>
        <v/>
      </c>
      <c r="H17" s="1" t="str">
        <f>IF($B17="","",IF(V17="","",IF(INDEX('Input Contact Information'!$G$2:$G$200,V17)="","",INDEX('Input Contact Information'!$G$2:$G$200,V17))))</f>
        <v/>
      </c>
      <c r="I17" s="1" t="str">
        <f>IF($B17="","",IF(V17="","",IF(INDEX('Input Contact Information'!$H$2:$H$200,V17)="","",INDEX('Input Contact Information'!$H$2:$H$200,V17))))</f>
        <v/>
      </c>
      <c r="J17" s="1" t="str">
        <f>IF($B17="","",IF(V17="","",IF(INDEX('Input Contact Information'!$I$2:$I$200,V17)="","",INDEX('Input Contact Information'!$I$2:$I$200,V17))))</f>
        <v>Email</v>
      </c>
      <c r="K17" s="1" t="str">
        <f>IF($B17="","",IF(V17="","",IF(INDEX('Input Contact Information'!$A$2:$A$200,V17)="","",INDEX('Input Contact Information'!$A$2:$A$200,V17))))</f>
        <v>Alberto Michelotti</v>
      </c>
      <c r="L17" s="1" t="str">
        <f>IF($B17="","",IF(W17="","",IF(INDEX('Accounts Overview'!$I$2:$I$100,W17)="","",INDEX('Accounts Overview'!$I$2:$I$100,W17))))</f>
        <v>Reda Jennane</v>
      </c>
      <c r="M17" s="1" t="str">
        <f>IF($B17="","",IF(V17="","",IF(INDEX('Input Contact Information'!$J$2:$J$200,V17)="","",INDEX('Input Contact Information'!$J$2:$J$200,V17))))</f>
        <v>Medium</v>
      </c>
      <c r="N17" s="1" t="str">
        <f>IF($B17="","",IF(V17="","",IF(INDEX('Input Contact Information'!$K$2:$K$200,V17)="","",INDEX('Input Contact Information'!$K$2:$K$200,V17))))</f>
        <v>Medium</v>
      </c>
      <c r="O17" s="1" t="str">
        <f>IF($B17="","",IF(V17="","",IF(INDEX('Input Contact Information'!$L$2:$L$200,V17)="","",INDEX('Input Contact Information'!$L$2:$L$200,V17))))</f>
        <v>High</v>
      </c>
      <c r="P17" s="1" t="str">
        <f>IF($B17="","",IF((IF(V17="","",IF(INDEX('Input Contact Information'!$N$2:$N$200,V17)="","",INDEX('Input Contact Information'!$N$2:$N$200,V17))))&lt;&gt;"",IF(V17="","",IF(INDEX('Input Contact Information'!$N$2:$N$200,V17)="","",INDEX('Input Contact Information'!$N$2:$N$200,V17))),IF(V17="","",IF(INDEX('Input Contact Information'!$M$2:$M$200,V17)="","",INDEX('Input Contact Information'!$M$2:$M$200,V17)))))</f>
        <v>Tier 2</v>
      </c>
      <c r="Q17" s="1" t="str">
        <f t="shared" si="1"/>
        <v>Quarterly</v>
      </c>
      <c r="R17" s="1" t="str">
        <f ca="1">IF($B17="","",IF(X17="","",IF(INDEX('Engagements Overview'!$I$2:$I$200,X17)="","",INDEX('Engagements Overview'!$I$2:$I$200,X17))))</f>
        <v>For Review</v>
      </c>
      <c r="S17" s="14">
        <f ca="1">IF($B17="","",IF(X17="","",IF(INDEX('Engagements Overview'!$K$2:$K$200,X17)="","",INDEX('Engagements Overview'!$K$2:$K$200,X17))))</f>
        <v>97</v>
      </c>
      <c r="T17" s="1" t="str">
        <f>IF($B17="","",IF(V17="","",IF(INDEX('Input Contact Information'!$O$2:$O$200,V17)="","",INDEX('Input Contact Information'!$O$2:$O$200,V17))))</f>
        <v>SME banking — interested in improving propositions and financing for growing businesses; Digital banking — interested in digital onboarding and simpler customer journeys.</v>
      </c>
      <c r="U17" s="1" t="str">
        <f>IF($B17="","",IF(V17="","",IF(INDEX('Input Contact Information'!$P$2:$P$200,V17)="","",INDEX('Input Contact Information'!$P$2:$P$200,V17))))</f>
        <v>Padel — enjoys playing socially; Travel — enjoys short regional trips and city breaks.</v>
      </c>
      <c r="V17" s="1">
        <f>IF(B17="","",IFERROR(MATCH(B17&amp;"|"&amp;C17,'Input Contact Information'!$W$2:$W$200,0),""))</f>
        <v>16</v>
      </c>
      <c r="W17" s="1">
        <f>IF(C17="","",IFERROR(MATCH(C17,'Accounts Overview'!$B$2:$B$100,0),""))</f>
        <v>6</v>
      </c>
      <c r="X17" s="1">
        <f>IF(A17="","",IFERROR(MATCH(A17,'Engagements Overview'!$B$2:$B$200,0),""))</f>
        <v>16</v>
      </c>
    </row>
    <row r="18" spans="1:24" ht="15" customHeight="1" x14ac:dyDescent="0.35">
      <c r="A18" s="13" t="str">
        <f t="shared" si="0"/>
        <v>CON0017</v>
      </c>
      <c r="B18" s="1" t="str">
        <f>IFERROR(INDEX('Input Contact Information'!$C$2:$C$200,MATCH(ROW()-1,'Input Contact Information'!$V$2:$V$200,0)),"")</f>
        <v>Saeed Al Romaihi</v>
      </c>
      <c r="C18" s="1" t="str">
        <f>IFERROR(INDEX('Input Contact Information'!$B$2:$B$200,MATCH(ROW()-1,'Input Contact Information'!$V$2:$V$200,0)),"")</f>
        <v>Commercial Bank of Qatar</v>
      </c>
      <c r="D18" s="1" t="str">
        <f>IF($B18="","",IF(W18="","",INDEX('Accounts Overview'!$A$2:$A$100,W18)))</f>
        <v>ACC0006</v>
      </c>
      <c r="E18" s="1" t="str">
        <f>IF($B18="","",IF(V18="","",IF(INDEX('Input Contact Information'!$D$2:$D$200,V18)="","",INDEX('Input Contact Information'!$D$2:$D$200,V18))))</f>
        <v>Director, Transformation</v>
      </c>
      <c r="F18" s="1" t="str">
        <f>IF($B18="","",IF(V18="","",IF(INDEX('Input Contact Information'!$F$2:$F$200,V18)="","",INDEX('Input Contact Information'!$F$2:$F$200,V18))))</f>
        <v>saeed.alromaihi@sample-6.example</v>
      </c>
      <c r="G18" s="1" t="str">
        <f>IF($B18="","",IF(V18="","",IF(INDEX('Input Contact Information'!$E$2:$E$200,V18)="","",INDEX('Input Contact Information'!$E$2:$E$200,V18))))</f>
        <v/>
      </c>
      <c r="H18" s="1" t="str">
        <f>IF($B18="","",IF(V18="","",IF(INDEX('Input Contact Information'!$G$2:$G$200,V18)="","",INDEX('Input Contact Information'!$G$2:$G$200,V18))))</f>
        <v/>
      </c>
      <c r="I18" s="1" t="str">
        <f>IF($B18="","",IF(V18="","",IF(INDEX('Input Contact Information'!$H$2:$H$200,V18)="","",INDEX('Input Contact Information'!$H$2:$H$200,V18))))</f>
        <v/>
      </c>
      <c r="J18" s="1" t="str">
        <f>IF($B18="","",IF(V18="","",IF(INDEX('Input Contact Information'!$I$2:$I$200,V18)="","",INDEX('Input Contact Information'!$I$2:$I$200,V18))))</f>
        <v>Email</v>
      </c>
      <c r="K18" s="1" t="str">
        <f>IF($B18="","",IF(V18="","",IF(INDEX('Input Contact Information'!$A$2:$A$200,V18)="","",INDEX('Input Contact Information'!$A$2:$A$200,V18))))</f>
        <v>Alberto Michelotti</v>
      </c>
      <c r="L18" s="1" t="str">
        <f>IF($B18="","",IF(W18="","",IF(INDEX('Accounts Overview'!$I$2:$I$100,W18)="","",INDEX('Accounts Overview'!$I$2:$I$100,W18))))</f>
        <v>Reda Jennane</v>
      </c>
      <c r="M18" s="1" t="str">
        <f>IF($B18="","",IF(V18="","",IF(INDEX('Input Contact Information'!$J$2:$J$200,V18)="","",INDEX('Input Contact Information'!$J$2:$J$200,V18))))</f>
        <v>Medium</v>
      </c>
      <c r="N18" s="1" t="str">
        <f>IF($B18="","",IF(V18="","",IF(INDEX('Input Contact Information'!$K$2:$K$200,V18)="","",INDEX('Input Contact Information'!$K$2:$K$200,V18))))</f>
        <v>Low</v>
      </c>
      <c r="O18" s="1" t="str">
        <f>IF($B18="","",IF(V18="","",IF(INDEX('Input Contact Information'!$L$2:$L$200,V18)="","",INDEX('Input Contact Information'!$L$2:$L$200,V18))))</f>
        <v>High</v>
      </c>
      <c r="P18" s="1" t="str">
        <f>IF($B18="","",IF((IF(V18="","",IF(INDEX('Input Contact Information'!$N$2:$N$200,V18)="","",INDEX('Input Contact Information'!$N$2:$N$200,V18))))&lt;&gt;"",IF(V18="","",IF(INDEX('Input Contact Information'!$N$2:$N$200,V18)="","",INDEX('Input Contact Information'!$N$2:$N$200,V18))),IF(V18="","",IF(INDEX('Input Contact Information'!$M$2:$M$200,V18)="","",INDEX('Input Contact Information'!$M$2:$M$200,V18)))))</f>
        <v>Tier 2</v>
      </c>
      <c r="Q18" s="1" t="str">
        <f t="shared" si="1"/>
        <v>Quarterly</v>
      </c>
      <c r="R18" s="1" t="str">
        <f ca="1">IF($B18="","",IF(X18="","",IF(INDEX('Engagements Overview'!$I$2:$I$200,X18)="","",INDEX('Engagements Overview'!$I$2:$I$200,X18))))</f>
        <v>Overdue</v>
      </c>
      <c r="S18" s="14">
        <f ca="1">IF($B18="","",IF(X18="","",IF(INDEX('Engagements Overview'!$K$2:$K$200,X18)="","",INDEX('Engagements Overview'!$K$2:$K$200,X18))))</f>
        <v>187</v>
      </c>
      <c r="T18" s="1" t="str">
        <f>IF($B18="","",IF(V18="","",IF(INDEX('Input Contact Information'!$O$2:$O$200,V18)="","",INDEX('Input Contact Information'!$O$2:$O$200,V18))))</f>
        <v>Banking transformation — interested in simplifying operations and improving service; Process automation — interested in digitising workflows and improving efficiency.</v>
      </c>
      <c r="U18" s="1" t="str">
        <f>IF($B18="","",IF(V18="","",IF(INDEX('Input Contact Information'!$P$2:$P$200,V18)="","",INDEX('Input Contact Information'!$P$2:$P$200,V18))))</f>
        <v>Cycling — enjoys recreational cycling; Technology — follows technology related to mobility, fitness and productivity.</v>
      </c>
      <c r="V18" s="1">
        <f>IF(B18="","",IFERROR(MATCH(B18&amp;"|"&amp;C18,'Input Contact Information'!$W$2:$W$200,0),""))</f>
        <v>17</v>
      </c>
      <c r="W18" s="1">
        <f>IF(C18="","",IFERROR(MATCH(C18,'Accounts Overview'!$B$2:$B$100,0),""))</f>
        <v>6</v>
      </c>
      <c r="X18" s="1">
        <f>IF(A18="","",IFERROR(MATCH(A18,'Engagements Overview'!$B$2:$B$200,0),""))</f>
        <v>17</v>
      </c>
    </row>
    <row r="19" spans="1:24" ht="15" customHeight="1" x14ac:dyDescent="0.35">
      <c r="A19" s="13" t="str">
        <f t="shared" si="0"/>
        <v>CON0018</v>
      </c>
      <c r="B19" s="1" t="str">
        <f>IFERROR(INDEX('Input Contact Information'!$C$2:$C$200,MATCH(ROW()-1,'Input Contact Information'!$V$2:$V$200,0)),"")</f>
        <v>Hessa Al Hajri</v>
      </c>
      <c r="C19" s="1" t="str">
        <f>IFERROR(INDEX('Input Contact Information'!$B$2:$B$200,MATCH(ROW()-1,'Input Contact Information'!$V$2:$V$200,0)),"")</f>
        <v>Commercial Bank of Qatar</v>
      </c>
      <c r="D19" s="1" t="str">
        <f>IF($B19="","",IF(W19="","",INDEX('Accounts Overview'!$A$2:$A$100,W19)))</f>
        <v>ACC0006</v>
      </c>
      <c r="E19" s="1" t="str">
        <f>IF($B19="","",IF(V19="","",IF(INDEX('Input Contact Information'!$D$2:$D$200,V19)="","",INDEX('Input Contact Information'!$D$2:$D$200,V19))))</f>
        <v>Senior Manager, Strategy</v>
      </c>
      <c r="F19" s="1" t="str">
        <f>IF($B19="","",IF(V19="","",IF(INDEX('Input Contact Information'!$F$2:$F$200,V19)="","",INDEX('Input Contact Information'!$F$2:$F$200,V19))))</f>
        <v>hessa.alhajri@sample-6.example</v>
      </c>
      <c r="G19" s="1" t="str">
        <f>IF($B19="","",IF(V19="","",IF(INDEX('Input Contact Information'!$E$2:$E$200,V19)="","",INDEX('Input Contact Information'!$E$2:$E$200,V19))))</f>
        <v/>
      </c>
      <c r="H19" s="1" t="str">
        <f>IF($B19="","",IF(V19="","",IF(INDEX('Input Contact Information'!$G$2:$G$200,V19)="","",INDEX('Input Contact Information'!$G$2:$G$200,V19))))</f>
        <v/>
      </c>
      <c r="I19" s="1" t="str">
        <f>IF($B19="","",IF(V19="","",IF(INDEX('Input Contact Information'!$H$2:$H$200,V19)="","",INDEX('Input Contact Information'!$H$2:$H$200,V19))))</f>
        <v/>
      </c>
      <c r="J19" s="1" t="str">
        <f>IF($B19="","",IF(V19="","",IF(INDEX('Input Contact Information'!$I$2:$I$200,V19)="","",INDEX('Input Contact Information'!$I$2:$I$200,V19))))</f>
        <v>Email</v>
      </c>
      <c r="K19" s="1" t="str">
        <f>IF($B19="","",IF(V19="","",IF(INDEX('Input Contact Information'!$A$2:$A$200,V19)="","",INDEX('Input Contact Information'!$A$2:$A$200,V19))))</f>
        <v>Alberto Michelotti</v>
      </c>
      <c r="L19" s="1" t="str">
        <f>IF($B19="","",IF(W19="","",IF(INDEX('Accounts Overview'!$I$2:$I$100,W19)="","",INDEX('Accounts Overview'!$I$2:$I$100,W19))))</f>
        <v>Reda Jennane</v>
      </c>
      <c r="M19" s="1" t="str">
        <f>IF($B19="","",IF(V19="","",IF(INDEX('Input Contact Information'!$J$2:$J$200,V19)="","",INDEX('Input Contact Information'!$J$2:$J$200,V19))))</f>
        <v>Medium</v>
      </c>
      <c r="N19" s="1" t="str">
        <f>IF($B19="","",IF(V19="","",IF(INDEX('Input Contact Information'!$K$2:$K$200,V19)="","",INDEX('Input Contact Information'!$K$2:$K$200,V19))))</f>
        <v>Low</v>
      </c>
      <c r="O19" s="1" t="str">
        <f>IF($B19="","",IF(V19="","",IF(INDEX('Input Contact Information'!$L$2:$L$200,V19)="","",INDEX('Input Contact Information'!$L$2:$L$200,V19))))</f>
        <v>High</v>
      </c>
      <c r="P19" s="1" t="str">
        <f>IF($B19="","",IF((IF(V19="","",IF(INDEX('Input Contact Information'!$N$2:$N$200,V19)="","",INDEX('Input Contact Information'!$N$2:$N$200,V19))))&lt;&gt;"",IF(V19="","",IF(INDEX('Input Contact Information'!$N$2:$N$200,V19)="","",INDEX('Input Contact Information'!$N$2:$N$200,V19))),IF(V19="","",IF(INDEX('Input Contact Information'!$M$2:$M$200,V19)="","",INDEX('Input Contact Information'!$M$2:$M$200,V19)))))</f>
        <v>Tier 2</v>
      </c>
      <c r="Q19" s="1" t="str">
        <f t="shared" si="1"/>
        <v>Quarterly</v>
      </c>
      <c r="R19" s="1" t="str">
        <f ca="1">IF($B19="","",IF(X19="","",IF(INDEX('Engagements Overview'!$I$2:$I$200,X19)="","",INDEX('Engagements Overview'!$I$2:$I$200,X19))))</f>
        <v>Overdue</v>
      </c>
      <c r="S19" s="14">
        <f ca="1">IF($B19="","",IF(X19="","",IF(INDEX('Engagements Overview'!$K$2:$K$200,X19)="","",INDEX('Engagements Overview'!$K$2:$K$200,X19))))</f>
        <v>287</v>
      </c>
      <c r="T19" s="1" t="str">
        <f>IF($B19="","",IF(V19="","",IF(INDEX('Input Contact Information'!$O$2:$O$200,V19)="","",INDEX('Input Contact Information'!$O$2:$O$200,V19))))</f>
        <v>Payments — interested in frictionless payment journeys; Customer experience — interested in using customer insight to improve everyday banking interactions.</v>
      </c>
      <c r="U19" s="1" t="str">
        <f>IF($B19="","",IF(V19="","",IF(INDEX('Input Contact Information'!$P$2:$P$200,V19)="","",INDEX('Input Contact Information'!$P$2:$P$200,V19))))</f>
        <v>Cooking — enjoys trying new recipes and regional cuisines; Photography — enjoys food and travel photography.</v>
      </c>
      <c r="V19" s="1">
        <f>IF(B19="","",IFERROR(MATCH(B19&amp;"|"&amp;C19,'Input Contact Information'!$W$2:$W$200,0),""))</f>
        <v>18</v>
      </c>
      <c r="W19" s="1">
        <f>IF(C19="","",IFERROR(MATCH(C19,'Accounts Overview'!$B$2:$B$100,0),""))</f>
        <v>6</v>
      </c>
      <c r="X19" s="1">
        <f>IF(A19="","",IFERROR(MATCH(A19,'Engagements Overview'!$B$2:$B$200,0),""))</f>
        <v>18</v>
      </c>
    </row>
    <row r="20" spans="1:24" ht="15" customHeight="1" x14ac:dyDescent="0.35">
      <c r="A20" s="13" t="str">
        <f t="shared" si="0"/>
        <v>CON0019</v>
      </c>
      <c r="B20" s="1" t="str">
        <f>IFERROR(INDEX('Input Contact Information'!$C$2:$C$200,MATCH(ROW()-1,'Input Contact Information'!$V$2:$V$200,0)),"")</f>
        <v>Jassim Al Subaie</v>
      </c>
      <c r="C20" s="1" t="str">
        <f>IFERROR(INDEX('Input Contact Information'!$B$2:$B$200,MATCH(ROW()-1,'Input Contact Information'!$V$2:$V$200,0)),"")</f>
        <v>Doha Bank</v>
      </c>
      <c r="D20" s="1" t="str">
        <f>IF($B20="","",IF(W20="","",INDEX('Accounts Overview'!$A$2:$A$100,W20)))</f>
        <v>ACC0007</v>
      </c>
      <c r="E20" s="1" t="str">
        <f>IF($B20="","",IF(V20="","",IF(INDEX('Input Contact Information'!$D$2:$D$200,V20)="","",INDEX('Input Contact Information'!$D$2:$D$200,V20))))</f>
        <v>Chief Executive Officer</v>
      </c>
      <c r="F20" s="1" t="str">
        <f>IF($B20="","",IF(V20="","",IF(INDEX('Input Contact Information'!$F$2:$F$200,V20)="","",INDEX('Input Contact Information'!$F$2:$F$200,V20))))</f>
        <v>jassim.alsubaie@sample-7.example</v>
      </c>
      <c r="G20" s="1" t="str">
        <f>IF($B20="","",IF(V20="","",IF(INDEX('Input Contact Information'!$E$2:$E$200,V20)="","",INDEX('Input Contact Information'!$E$2:$E$200,V20))))</f>
        <v/>
      </c>
      <c r="H20" s="1" t="str">
        <f>IF($B20="","",IF(V20="","",IF(INDEX('Input Contact Information'!$G$2:$G$200,V20)="","",INDEX('Input Contact Information'!$G$2:$G$200,V20))))</f>
        <v/>
      </c>
      <c r="I20" s="1" t="str">
        <f>IF($B20="","",IF(V20="","",IF(INDEX('Input Contact Information'!$H$2:$H$200,V20)="","",INDEX('Input Contact Information'!$H$2:$H$200,V20))))</f>
        <v/>
      </c>
      <c r="J20" s="1" t="str">
        <f>IF($B20="","",IF(V20="","",IF(INDEX('Input Contact Information'!$I$2:$I$200,V20)="","",INDEX('Input Contact Information'!$I$2:$I$200,V20))))</f>
        <v>Email</v>
      </c>
      <c r="K20" s="1" t="str">
        <f>IF($B20="","",IF(V20="","",IF(INDEX('Input Contact Information'!$A$2:$A$200,V20)="","",INDEX('Input Contact Information'!$A$2:$A$200,V20))))</f>
        <v>Eric Guraieb</v>
      </c>
      <c r="L20" s="1" t="str">
        <f>IF($B20="","",IF(W20="","",IF(INDEX('Accounts Overview'!$I$2:$I$100,W20)="","",INDEX('Accounts Overview'!$I$2:$I$100,W20))))</f>
        <v>Riccardo Terruzzi</v>
      </c>
      <c r="M20" s="1" t="str">
        <f>IF($B20="","",IF(V20="","",IF(INDEX('Input Contact Information'!$J$2:$J$200,V20)="","",INDEX('Input Contact Information'!$J$2:$J$200,V20))))</f>
        <v>High</v>
      </c>
      <c r="N20" s="1" t="str">
        <f>IF($B20="","",IF(V20="","",IF(INDEX('Input Contact Information'!$K$2:$K$200,V20)="","",INDEX('Input Contact Information'!$K$2:$K$200,V20))))</f>
        <v>Medium</v>
      </c>
      <c r="O20" s="1" t="str">
        <f>IF($B20="","",IF(V20="","",IF(INDEX('Input Contact Information'!$L$2:$L$200,V20)="","",INDEX('Input Contact Information'!$L$2:$L$200,V20))))</f>
        <v>Medium</v>
      </c>
      <c r="P20" s="1" t="str">
        <f>IF($B20="","",IF((IF(V20="","",IF(INDEX('Input Contact Information'!$N$2:$N$200,V20)="","",INDEX('Input Contact Information'!$N$2:$N$200,V20))))&lt;&gt;"",IF(V20="","",IF(INDEX('Input Contact Information'!$N$2:$N$200,V20)="","",INDEX('Input Contact Information'!$N$2:$N$200,V20))),IF(V20="","",IF(INDEX('Input Contact Information'!$M$2:$M$200,V20)="","",INDEX('Input Contact Information'!$M$2:$M$200,V20)))))</f>
        <v>Tier 2</v>
      </c>
      <c r="Q20" s="1" t="str">
        <f t="shared" si="1"/>
        <v>Quarterly</v>
      </c>
      <c r="R20" s="1" t="str">
        <f ca="1">IF($B20="","",IF(X20="","",IF(INDEX('Engagements Overview'!$I$2:$I$200,X20)="","",INDEX('Engagements Overview'!$I$2:$I$200,X20))))</f>
        <v>For Review</v>
      </c>
      <c r="S20" s="14">
        <f ca="1">IF($B20="","",IF(X20="","",IF(INDEX('Engagements Overview'!$K$2:$K$200,X20)="","",INDEX('Engagements Overview'!$K$2:$K$200,X20))))</f>
        <v>97</v>
      </c>
      <c r="T20" s="1" t="str">
        <f>IF($B20="","",IF(V20="","",IF(INDEX('Input Contact Information'!$O$2:$O$200,V20)="","",INDEX('Input Contact Information'!$O$2:$O$200,V20))))</f>
        <v>Capital markets — interested in funding, liquidity and changing market conditions; Balance-sheet strategy — interested in asset allocation and navigating different rate environments.</v>
      </c>
      <c r="U20" s="1" t="str">
        <f>IF($B20="","",IF(V20="","",IF(INDEX('Input Contact Information'!$P$2:$P$200,V20)="","",INDEX('Input Contact Information'!$P$2:$P$200,V20))))</f>
        <v>Golf — follows major competitions; Football — follows major teams, players and events.</v>
      </c>
      <c r="V20" s="1">
        <f>IF(B20="","",IFERROR(MATCH(B20&amp;"|"&amp;C20,'Input Contact Information'!$W$2:$W$200,0),""))</f>
        <v>19</v>
      </c>
      <c r="W20" s="1">
        <f>IF(C20="","",IFERROR(MATCH(C20,'Accounts Overview'!$B$2:$B$100,0),""))</f>
        <v>7</v>
      </c>
      <c r="X20" s="1">
        <f>IF(A20="","",IFERROR(MATCH(A20,'Engagements Overview'!$B$2:$B$200,0),""))</f>
        <v>19</v>
      </c>
    </row>
    <row r="21" spans="1:24" ht="15" customHeight="1" x14ac:dyDescent="0.35">
      <c r="A21" s="13" t="str">
        <f t="shared" si="0"/>
        <v>CON0020</v>
      </c>
      <c r="B21" s="1" t="str">
        <f>IFERROR(INDEX('Input Contact Information'!$C$2:$C$200,MATCH(ROW()-1,'Input Contact Information'!$V$2:$V$200,0)),"")</f>
        <v>Reem Al Khulaifi</v>
      </c>
      <c r="C21" s="1" t="str">
        <f>IFERROR(INDEX('Input Contact Information'!$B$2:$B$200,MATCH(ROW()-1,'Input Contact Information'!$V$2:$V$200,0)),"")</f>
        <v>Doha Bank</v>
      </c>
      <c r="D21" s="1" t="str">
        <f>IF($B21="","",IF(W21="","",INDEX('Accounts Overview'!$A$2:$A$100,W21)))</f>
        <v>ACC0007</v>
      </c>
      <c r="E21" s="1" t="str">
        <f>IF($B21="","",IF(V21="","",IF(INDEX('Input Contact Information'!$D$2:$D$200,V21)="","",INDEX('Input Contact Information'!$D$2:$D$200,V21))))</f>
        <v>Chief Strategy Officer</v>
      </c>
      <c r="F21" s="1" t="str">
        <f>IF($B21="","",IF(V21="","",IF(INDEX('Input Contact Information'!$F$2:$F$200,V21)="","",INDEX('Input Contact Information'!$F$2:$F$200,V21))))</f>
        <v>reem.alkhulaifi@sample-7.example</v>
      </c>
      <c r="G21" s="1" t="str">
        <f>IF($B21="","",IF(V21="","",IF(INDEX('Input Contact Information'!$E$2:$E$200,V21)="","",INDEX('Input Contact Information'!$E$2:$E$200,V21))))</f>
        <v/>
      </c>
      <c r="H21" s="1" t="str">
        <f>IF($B21="","",IF(V21="","",IF(INDEX('Input Contact Information'!$G$2:$G$200,V21)="","",INDEX('Input Contact Information'!$G$2:$G$200,V21))))</f>
        <v/>
      </c>
      <c r="I21" s="1" t="str">
        <f>IF($B21="","",IF(V21="","",IF(INDEX('Input Contact Information'!$H$2:$H$200,V21)="","",INDEX('Input Contact Information'!$H$2:$H$200,V21))))</f>
        <v/>
      </c>
      <c r="J21" s="1" t="str">
        <f>IF($B21="","",IF(V21="","",IF(INDEX('Input Contact Information'!$I$2:$I$200,V21)="","",INDEX('Input Contact Information'!$I$2:$I$200,V21))))</f>
        <v>Email</v>
      </c>
      <c r="K21" s="1" t="str">
        <f>IF($B21="","",IF(V21="","",IF(INDEX('Input Contact Information'!$A$2:$A$200,V21)="","",INDEX('Input Contact Information'!$A$2:$A$200,V21))))</f>
        <v>Eric Guraieb</v>
      </c>
      <c r="L21" s="1" t="str">
        <f>IF($B21="","",IF(W21="","",IF(INDEX('Accounts Overview'!$I$2:$I$100,W21)="","",INDEX('Accounts Overview'!$I$2:$I$100,W21))))</f>
        <v>Riccardo Terruzzi</v>
      </c>
      <c r="M21" s="1" t="str">
        <f>IF($B21="","",IF(V21="","",IF(INDEX('Input Contact Information'!$J$2:$J$200,V21)="","",INDEX('Input Contact Information'!$J$2:$J$200,V21))))</f>
        <v>High</v>
      </c>
      <c r="N21" s="1" t="str">
        <f>IF($B21="","",IF(V21="","",IF(INDEX('Input Contact Information'!$K$2:$K$200,V21)="","",INDEX('Input Contact Information'!$K$2:$K$200,V21))))</f>
        <v>Low</v>
      </c>
      <c r="O21" s="1" t="str">
        <f>IF($B21="","",IF(V21="","",IF(INDEX('Input Contact Information'!$L$2:$L$200,V21)="","",INDEX('Input Contact Information'!$L$2:$L$200,V21))))</f>
        <v>Medium</v>
      </c>
      <c r="P21" s="1" t="str">
        <f>IF($B21="","",IF((IF(V21="","",IF(INDEX('Input Contact Information'!$N$2:$N$200,V21)="","",INDEX('Input Contact Information'!$N$2:$N$200,V21))))&lt;&gt;"",IF(V21="","",IF(INDEX('Input Contact Information'!$N$2:$N$200,V21)="","",INDEX('Input Contact Information'!$N$2:$N$200,V21))),IF(V21="","",IF(INDEX('Input Contact Information'!$M$2:$M$200,V21)="","",INDEX('Input Contact Information'!$M$2:$M$200,V21)))))</f>
        <v>Tier 2</v>
      </c>
      <c r="Q21" s="1" t="str">
        <f t="shared" si="1"/>
        <v>Quarterly</v>
      </c>
      <c r="R21" s="1" t="str">
        <f ca="1">IF($B21="","",IF(X21="","",IF(INDEX('Engagements Overview'!$I$2:$I$200,X21)="","",INDEX('Engagements Overview'!$I$2:$I$200,X21))))</f>
        <v>Overdue</v>
      </c>
      <c r="S21" s="14">
        <f ca="1">IF($B21="","",IF(X21="","",IF(INDEX('Engagements Overview'!$K$2:$K$200,X21)="","",INDEX('Engagements Overview'!$K$2:$K$200,X21))))</f>
        <v>187</v>
      </c>
      <c r="T21" s="1" t="str">
        <f>IF($B21="","",IF(V21="","",IF(INDEX('Input Contact Information'!$O$2:$O$200,V21)="","",INDEX('Input Contact Information'!$O$2:$O$200,V21))))</f>
        <v>Corporate banking — interested in sector-led client growth and transaction opportunities; M&amp;A — interested in the strategic logic behind regional deals.</v>
      </c>
      <c r="U21" s="1" t="str">
        <f>IF($B21="","",IF(V21="","",IF(INDEX('Input Contact Information'!$P$2:$P$200,V21)="","",INDEX('Input Contact Information'!$P$2:$P$200,V21))))</f>
        <v>Reading — enjoys business and current-affairs books; Travel — enjoys culturally interesting destinations and city breaks.</v>
      </c>
      <c r="V21" s="1">
        <f>IF(B21="","",IFERROR(MATCH(B21&amp;"|"&amp;C21,'Input Contact Information'!$W$2:$W$200,0),""))</f>
        <v>20</v>
      </c>
      <c r="W21" s="1">
        <f>IF(C21="","",IFERROR(MATCH(C21,'Accounts Overview'!$B$2:$B$100,0),""))</f>
        <v>7</v>
      </c>
      <c r="X21" s="1">
        <f>IF(A21="","",IFERROR(MATCH(A21,'Engagements Overview'!$B$2:$B$200,0),""))</f>
        <v>20</v>
      </c>
    </row>
    <row r="22" spans="1:24" ht="15" customHeight="1" x14ac:dyDescent="0.35">
      <c r="A22" s="13" t="str">
        <f t="shared" si="0"/>
        <v>CON0021</v>
      </c>
      <c r="B22" s="1" t="str">
        <f>IFERROR(INDEX('Input Contact Information'!$C$2:$C$200,MATCH(ROW()-1,'Input Contact Information'!$V$2:$V$200,0)),"")</f>
        <v>Abdulla Al Dosari</v>
      </c>
      <c r="C22" s="1" t="str">
        <f>IFERROR(INDEX('Input Contact Information'!$B$2:$B$200,MATCH(ROW()-1,'Input Contact Information'!$V$2:$V$200,0)),"")</f>
        <v>Doha Bank</v>
      </c>
      <c r="D22" s="1" t="str">
        <f>IF($B22="","",IF(W22="","",INDEX('Accounts Overview'!$A$2:$A$100,W22)))</f>
        <v>ACC0007</v>
      </c>
      <c r="E22" s="1" t="str">
        <f>IF($B22="","",IF(V22="","",IF(INDEX('Input Contact Information'!$D$2:$D$200,V22)="","",INDEX('Input Contact Information'!$D$2:$D$200,V22))))</f>
        <v>Vice President, Strategy</v>
      </c>
      <c r="F22" s="1" t="str">
        <f>IF($B22="","",IF(V22="","",IF(INDEX('Input Contact Information'!$F$2:$F$200,V22)="","",INDEX('Input Contact Information'!$F$2:$F$200,V22))))</f>
        <v>abdulla.aldosari@sample-7.example</v>
      </c>
      <c r="G22" s="1" t="str">
        <f>IF($B22="","",IF(V22="","",IF(INDEX('Input Contact Information'!$E$2:$E$200,V22)="","",INDEX('Input Contact Information'!$E$2:$E$200,V22))))</f>
        <v/>
      </c>
      <c r="H22" s="1" t="str">
        <f>IF($B22="","",IF(V22="","",IF(INDEX('Input Contact Information'!$G$2:$G$200,V22)="","",INDEX('Input Contact Information'!$G$2:$G$200,V22))))</f>
        <v/>
      </c>
      <c r="I22" s="1" t="str">
        <f>IF($B22="","",IF(V22="","",IF(INDEX('Input Contact Information'!$H$2:$H$200,V22)="","",INDEX('Input Contact Information'!$H$2:$H$200,V22))))</f>
        <v/>
      </c>
      <c r="J22" s="1" t="str">
        <f>IF($B22="","",IF(V22="","",IF(INDEX('Input Contact Information'!$I$2:$I$200,V22)="","",INDEX('Input Contact Information'!$I$2:$I$200,V22))))</f>
        <v>Email</v>
      </c>
      <c r="K22" s="1" t="str">
        <f>IF($B22="","",IF(V22="","",IF(INDEX('Input Contact Information'!$A$2:$A$200,V22)="","",INDEX('Input Contact Information'!$A$2:$A$200,V22))))</f>
        <v>Eric Guraieb</v>
      </c>
      <c r="L22" s="1" t="str">
        <f>IF($B22="","",IF(W22="","",IF(INDEX('Accounts Overview'!$I$2:$I$100,W22)="","",INDEX('Accounts Overview'!$I$2:$I$100,W22))))</f>
        <v>Riccardo Terruzzi</v>
      </c>
      <c r="M22" s="1" t="str">
        <f>IF($B22="","",IF(V22="","",IF(INDEX('Input Contact Information'!$J$2:$J$200,V22)="","",INDEX('Input Contact Information'!$J$2:$J$200,V22))))</f>
        <v>High</v>
      </c>
      <c r="N22" s="1" t="str">
        <f>IF($B22="","",IF(V22="","",IF(INDEX('Input Contact Information'!$K$2:$K$200,V22)="","",INDEX('Input Contact Information'!$K$2:$K$200,V22))))</f>
        <v>Low</v>
      </c>
      <c r="O22" s="1" t="str">
        <f>IF($B22="","",IF(V22="","",IF(INDEX('Input Contact Information'!$L$2:$L$200,V22)="","",INDEX('Input Contact Information'!$L$2:$L$200,V22))))</f>
        <v>Medium</v>
      </c>
      <c r="P22" s="1" t="str">
        <f>IF($B22="","",IF((IF(V22="","",IF(INDEX('Input Contact Information'!$N$2:$N$200,V22)="","",INDEX('Input Contact Information'!$N$2:$N$200,V22))))&lt;&gt;"",IF(V22="","",IF(INDEX('Input Contact Information'!$N$2:$N$200,V22)="","",INDEX('Input Contact Information'!$N$2:$N$200,V22))),IF(V22="","",IF(INDEX('Input Contact Information'!$M$2:$M$200,V22)="","",INDEX('Input Contact Information'!$M$2:$M$200,V22)))))</f>
        <v>Tier 2</v>
      </c>
      <c r="Q22" s="1" t="str">
        <f t="shared" si="1"/>
        <v>Quarterly</v>
      </c>
      <c r="R22" s="1" t="str">
        <f ca="1">IF($B22="","",IF(X22="","",IF(INDEX('Engagements Overview'!$I$2:$I$200,X22)="","",INDEX('Engagements Overview'!$I$2:$I$200,X22))))</f>
        <v>Overdue</v>
      </c>
      <c r="S22" s="14">
        <f ca="1">IF($B22="","",IF(X22="","",IF(INDEX('Engagements Overview'!$K$2:$K$200,X22)="","",INDEX('Engagements Overview'!$K$2:$K$200,X22))))</f>
        <v>287</v>
      </c>
      <c r="T22" s="1" t="str">
        <f>IF($B22="","",IF(V22="","",IF(INDEX('Input Contact Information'!$O$2:$O$200,V22)="","",INDEX('Input Contact Information'!$O$2:$O$200,V22))))</f>
        <v>Risk and regulation — interested in compliance, resilience and sound risk management; Digital banking — interested in balancing digital innovation with appropriate controls.</v>
      </c>
      <c r="U22" s="1" t="str">
        <f>IF($B22="","",IF(V22="","",IF(INDEX('Input Contact Information'!$P$2:$P$200,V22)="","",INDEX('Input Contact Information'!$P$2:$P$200,V22))))</f>
        <v>Running — enjoys recreational running; Padel — enjoys playing socially and follows local events.</v>
      </c>
      <c r="V22" s="1">
        <f>IF(B22="","",IFERROR(MATCH(B22&amp;"|"&amp;C22,'Input Contact Information'!$W$2:$W$200,0),""))</f>
        <v>21</v>
      </c>
      <c r="W22" s="1">
        <f>IF(C22="","",IFERROR(MATCH(C22,'Accounts Overview'!$B$2:$B$100,0),""))</f>
        <v>7</v>
      </c>
      <c r="X22" s="1">
        <f>IF(A22="","",IFERROR(MATCH(A22,'Engagements Overview'!$B$2:$B$200,0),""))</f>
        <v>21</v>
      </c>
    </row>
    <row r="23" spans="1:24" ht="15" customHeight="1" x14ac:dyDescent="0.35">
      <c r="A23" s="13" t="str">
        <f t="shared" si="0"/>
        <v>CON0022</v>
      </c>
      <c r="B23" s="1" t="str">
        <f>IFERROR(INDEX('Input Contact Information'!$C$2:$C$200,MATCH(ROW()-1,'Input Contact Information'!$V$2:$V$200,0)),"")</f>
        <v>Fatima Al Mohannadi</v>
      </c>
      <c r="C23" s="1" t="str">
        <f>IFERROR(INDEX('Input Contact Information'!$B$2:$B$200,MATCH(ROW()-1,'Input Contact Information'!$V$2:$V$200,0)),"")</f>
        <v>Qatar Insurance Company</v>
      </c>
      <c r="D23" s="1" t="str">
        <f>IF($B23="","",IF(W23="","",INDEX('Accounts Overview'!$A$2:$A$100,W23)))</f>
        <v>ACC0008</v>
      </c>
      <c r="E23" s="1" t="str">
        <f>IF($B23="","",IF(V23="","",IF(INDEX('Input Contact Information'!$D$2:$D$200,V23)="","",INDEX('Input Contact Information'!$D$2:$D$200,V23))))</f>
        <v>Vice President, Strategy</v>
      </c>
      <c r="F23" s="1" t="str">
        <f>IF($B23="","",IF(V23="","",IF(INDEX('Input Contact Information'!$F$2:$F$200,V23)="","",INDEX('Input Contact Information'!$F$2:$F$200,V23))))</f>
        <v>fatima.almohannadi@sample-8.example</v>
      </c>
      <c r="G23" s="1" t="str">
        <f>IF($B23="","",IF(V23="","",IF(INDEX('Input Contact Information'!$E$2:$E$200,V23)="","",INDEX('Input Contact Information'!$E$2:$E$200,V23))))</f>
        <v/>
      </c>
      <c r="H23" s="1" t="str">
        <f>IF($B23="","",IF(V23="","",IF(INDEX('Input Contact Information'!$G$2:$G$200,V23)="","",INDEX('Input Contact Information'!$G$2:$G$200,V23))))</f>
        <v/>
      </c>
      <c r="I23" s="1" t="str">
        <f>IF($B23="","",IF(V23="","",IF(INDEX('Input Contact Information'!$H$2:$H$200,V23)="","",INDEX('Input Contact Information'!$H$2:$H$200,V23))))</f>
        <v/>
      </c>
      <c r="J23" s="1" t="str">
        <f>IF($B23="","",IF(V23="","",IF(INDEX('Input Contact Information'!$I$2:$I$200,V23)="","",INDEX('Input Contact Information'!$I$2:$I$200,V23))))</f>
        <v>Email</v>
      </c>
      <c r="K23" s="1" t="str">
        <f>IF($B23="","",IF(V23="","",IF(INDEX('Input Contact Information'!$A$2:$A$200,V23)="","",INDEX('Input Contact Information'!$A$2:$A$200,V23))))</f>
        <v>Kyle Strong</v>
      </c>
      <c r="L23" s="1" t="str">
        <f>IF($B23="","",IF(W23="","",IF(INDEX('Accounts Overview'!$I$2:$I$100,W23)="","",INDEX('Accounts Overview'!$I$2:$I$100,W23))))</f>
        <v>Stanislav Gaiduk</v>
      </c>
      <c r="M23" s="1" t="str">
        <f>IF($B23="","",IF(V23="","",IF(INDEX('Input Contact Information'!$J$2:$J$200,V23)="","",INDEX('Input Contact Information'!$J$2:$J$200,V23))))</f>
        <v>Medium</v>
      </c>
      <c r="N23" s="1" t="str">
        <f>IF($B23="","",IF(V23="","",IF(INDEX('Input Contact Information'!$K$2:$K$200,V23)="","",INDEX('Input Contact Information'!$K$2:$K$200,V23))))</f>
        <v>High</v>
      </c>
      <c r="O23" s="1" t="str">
        <f>IF($B23="","",IF(V23="","",IF(INDEX('Input Contact Information'!$L$2:$L$200,V23)="","",INDEX('Input Contact Information'!$L$2:$L$200,V23))))</f>
        <v>Medium</v>
      </c>
      <c r="P23" s="1" t="str">
        <f>IF($B23="","",IF((IF(V23="","",IF(INDEX('Input Contact Information'!$N$2:$N$200,V23)="","",INDEX('Input Contact Information'!$N$2:$N$200,V23))))&lt;&gt;"",IF(V23="","",IF(INDEX('Input Contact Information'!$N$2:$N$200,V23)="","",INDEX('Input Contact Information'!$N$2:$N$200,V23))),IF(V23="","",IF(INDEX('Input Contact Information'!$M$2:$M$200,V23)="","",INDEX('Input Contact Information'!$M$2:$M$200,V23)))))</f>
        <v>Tier 2</v>
      </c>
      <c r="Q23" s="1" t="str">
        <f t="shared" si="1"/>
        <v>Quarterly</v>
      </c>
      <c r="R23" s="1" t="str">
        <f ca="1">IF($B23="","",IF(X23="","",IF(INDEX('Engagements Overview'!$I$2:$I$200,X23)="","",INDEX('Engagements Overview'!$I$2:$I$200,X23))))</f>
        <v>For Review</v>
      </c>
      <c r="S23" s="14">
        <f ca="1">IF($B23="","",IF(X23="","",IF(INDEX('Engagements Overview'!$K$2:$K$200,X23)="","",INDEX('Engagements Overview'!$K$2:$K$200,X23))))</f>
        <v>97</v>
      </c>
      <c r="T23" s="1" t="str">
        <f>IF($B23="","",IF(V23="","",IF(INDEX('Input Contact Information'!$O$2:$O$200,V23)="","",INDEX('Input Contact Information'!$O$2:$O$200,V23))))</f>
        <v>InsurTech — interested in digital insurance models; Climate risk — interested in climate-related exposure and new approaches to pricing and managing risk.</v>
      </c>
      <c r="U23" s="1" t="str">
        <f>IF($B23="","",IF(V23="","",IF(INDEX('Input Contact Information'!$P$2:$P$200,V23)="","",INDEX('Input Contact Information'!$P$2:$P$200,V23))))</f>
        <v>Tennis — follows major tournaments; Art — enjoys exhibitions, galleries and contemporary art.</v>
      </c>
      <c r="V23" s="1">
        <f>IF(B23="","",IFERROR(MATCH(B23&amp;"|"&amp;C23,'Input Contact Information'!$W$2:$W$200,0),""))</f>
        <v>22</v>
      </c>
      <c r="W23" s="1">
        <f>IF(C23="","",IFERROR(MATCH(C23,'Accounts Overview'!$B$2:$B$100,0),""))</f>
        <v>8</v>
      </c>
      <c r="X23" s="1">
        <f>IF(A23="","",IFERROR(MATCH(A23,'Engagements Overview'!$B$2:$B$200,0),""))</f>
        <v>22</v>
      </c>
    </row>
    <row r="24" spans="1:24" ht="15" customHeight="1" x14ac:dyDescent="0.35">
      <c r="A24" s="13" t="str">
        <f t="shared" si="0"/>
        <v>CON0023</v>
      </c>
      <c r="B24" s="1" t="str">
        <f>IFERROR(INDEX('Input Contact Information'!$C$2:$C$200,MATCH(ROW()-1,'Input Contact Information'!$V$2:$V$200,0)),"")</f>
        <v>Hamad Al Nasr</v>
      </c>
      <c r="C24" s="1" t="str">
        <f>IFERROR(INDEX('Input Contact Information'!$B$2:$B$200,MATCH(ROW()-1,'Input Contact Information'!$V$2:$V$200,0)),"")</f>
        <v>Qatar Insurance Company</v>
      </c>
      <c r="D24" s="1" t="str">
        <f>IF($B24="","",IF(W24="","",INDEX('Accounts Overview'!$A$2:$A$100,W24)))</f>
        <v>ACC0008</v>
      </c>
      <c r="E24" s="1" t="str">
        <f>IF($B24="","",IF(V24="","",IF(INDEX('Input Contact Information'!$D$2:$D$200,V24)="","",INDEX('Input Contact Information'!$D$2:$D$200,V24))))</f>
        <v>Director, Transformation</v>
      </c>
      <c r="F24" s="1" t="str">
        <f>IF($B24="","",IF(V24="","",IF(INDEX('Input Contact Information'!$F$2:$F$200,V24)="","",INDEX('Input Contact Information'!$F$2:$F$200,V24))))</f>
        <v>hamad.alnasr@sample-8.example</v>
      </c>
      <c r="G24" s="1" t="str">
        <f>IF($B24="","",IF(V24="","",IF(INDEX('Input Contact Information'!$E$2:$E$200,V24)="","",INDEX('Input Contact Information'!$E$2:$E$200,V24))))</f>
        <v/>
      </c>
      <c r="H24" s="1" t="str">
        <f>IF($B24="","",IF(V24="","",IF(INDEX('Input Contact Information'!$G$2:$G$200,V24)="","",INDEX('Input Contact Information'!$G$2:$G$200,V24))))</f>
        <v/>
      </c>
      <c r="I24" s="1" t="str">
        <f>IF($B24="","",IF(V24="","",IF(INDEX('Input Contact Information'!$H$2:$H$200,V24)="","",INDEX('Input Contact Information'!$H$2:$H$200,V24))))</f>
        <v/>
      </c>
      <c r="J24" s="1" t="str">
        <f>IF($B24="","",IF(V24="","",IF(INDEX('Input Contact Information'!$I$2:$I$200,V24)="","",INDEX('Input Contact Information'!$I$2:$I$200,V24))))</f>
        <v>Email</v>
      </c>
      <c r="K24" s="1" t="str">
        <f>IF($B24="","",IF(V24="","",IF(INDEX('Input Contact Information'!$A$2:$A$200,V24)="","",INDEX('Input Contact Information'!$A$2:$A$200,V24))))</f>
        <v>Kyle Strong</v>
      </c>
      <c r="L24" s="1" t="str">
        <f>IF($B24="","",IF(W24="","",IF(INDEX('Accounts Overview'!$I$2:$I$100,W24)="","",INDEX('Accounts Overview'!$I$2:$I$100,W24))))</f>
        <v>Stanislav Gaiduk</v>
      </c>
      <c r="M24" s="1" t="str">
        <f>IF($B24="","",IF(V24="","",IF(INDEX('Input Contact Information'!$J$2:$J$200,V24)="","",INDEX('Input Contact Information'!$J$2:$J$200,V24))))</f>
        <v>Medium</v>
      </c>
      <c r="N24" s="1" t="str">
        <f>IF($B24="","",IF(V24="","",IF(INDEX('Input Contact Information'!$K$2:$K$200,V24)="","",INDEX('Input Contact Information'!$K$2:$K$200,V24))))</f>
        <v>Medium</v>
      </c>
      <c r="O24" s="1" t="str">
        <f>IF($B24="","",IF(V24="","",IF(INDEX('Input Contact Information'!$L$2:$L$200,V24)="","",INDEX('Input Contact Information'!$L$2:$L$200,V24))))</f>
        <v>Medium</v>
      </c>
      <c r="P24" s="1" t="str">
        <f>IF($B24="","",IF((IF(V24="","",IF(INDEX('Input Contact Information'!$N$2:$N$200,V24)="","",INDEX('Input Contact Information'!$N$2:$N$200,V24))))&lt;&gt;"",IF(V24="","",IF(INDEX('Input Contact Information'!$N$2:$N$200,V24)="","",INDEX('Input Contact Information'!$N$2:$N$200,V24))),IF(V24="","",IF(INDEX('Input Contact Information'!$M$2:$M$200,V24)="","",INDEX('Input Contact Information'!$M$2:$M$200,V24)))))</f>
        <v>Tier 3</v>
      </c>
      <c r="Q24" s="1" t="str">
        <f t="shared" si="1"/>
        <v>Semi-annually</v>
      </c>
      <c r="R24" s="1" t="str">
        <f ca="1">IF($B24="","",IF(X24="","",IF(INDEX('Engagements Overview'!$I$2:$I$200,X24)="","",INDEX('Engagements Overview'!$I$2:$I$200,X24))))</f>
        <v>For Review</v>
      </c>
      <c r="S24" s="14">
        <f ca="1">IF($B24="","",IF(X24="","",IF(INDEX('Engagements Overview'!$K$2:$K$200,X24)="","",INDEX('Engagements Overview'!$K$2:$K$200,X24))))</f>
        <v>187</v>
      </c>
      <c r="T24" s="1" t="str">
        <f>IF($B24="","",IF(V24="","",IF(INDEX('Input Contact Information'!$O$2:$O$200,V24)="","",INDEX('Input Contact Information'!$O$2:$O$200,V24))))</f>
        <v>Underwriting transformation — interested in modernising underwriting processes; Risk analytics — interested in data-led risk selection and pricing.</v>
      </c>
      <c r="U24" s="1" t="str">
        <f>IF($B24="","",IF(V24="","",IF(INDEX('Input Contact Information'!$P$2:$P$200,V24)="","",INDEX('Input Contact Information'!$P$2:$P$200,V24))))</f>
        <v>Cycling — enjoys cycling and scenic routes; Travel — enjoys outdoor and destination-based trips.</v>
      </c>
      <c r="V24" s="1">
        <f>IF(B24="","",IFERROR(MATCH(B24&amp;"|"&amp;C24,'Input Contact Information'!$W$2:$W$200,0),""))</f>
        <v>23</v>
      </c>
      <c r="W24" s="1">
        <f>IF(C24="","",IFERROR(MATCH(C24,'Accounts Overview'!$B$2:$B$100,0),""))</f>
        <v>8</v>
      </c>
      <c r="X24" s="1">
        <f>IF(A24="","",IFERROR(MATCH(A24,'Engagements Overview'!$B$2:$B$200,0),""))</f>
        <v>23</v>
      </c>
    </row>
    <row r="25" spans="1:24" ht="15" customHeight="1" x14ac:dyDescent="0.35">
      <c r="A25" s="13" t="str">
        <f t="shared" si="0"/>
        <v>CON0024</v>
      </c>
      <c r="B25" s="1" t="str">
        <f>IFERROR(INDEX('Input Contact Information'!$C$2:$C$200,MATCH(ROW()-1,'Input Contact Information'!$V$2:$V$200,0)),"")</f>
        <v>Shaikha Al Muftah</v>
      </c>
      <c r="C25" s="1" t="str">
        <f>IFERROR(INDEX('Input Contact Information'!$B$2:$B$200,MATCH(ROW()-1,'Input Contact Information'!$V$2:$V$200,0)),"")</f>
        <v>Qatar Insurance Company</v>
      </c>
      <c r="D25" s="1" t="str">
        <f>IF($B25="","",IF(W25="","",INDEX('Accounts Overview'!$A$2:$A$100,W25)))</f>
        <v>ACC0008</v>
      </c>
      <c r="E25" s="1" t="str">
        <f>IF($B25="","",IF(V25="","",IF(INDEX('Input Contact Information'!$D$2:$D$200,V25)="","",INDEX('Input Contact Information'!$D$2:$D$200,V25))))</f>
        <v>Senior Manager, Strategy</v>
      </c>
      <c r="F25" s="1" t="str">
        <f>IF($B25="","",IF(V25="","",IF(INDEX('Input Contact Information'!$F$2:$F$200,V25)="","",INDEX('Input Contact Information'!$F$2:$F$200,V25))))</f>
        <v>shaikha.almuftah@sample-8.example</v>
      </c>
      <c r="G25" s="1" t="str">
        <f>IF($B25="","",IF(V25="","",IF(INDEX('Input Contact Information'!$E$2:$E$200,V25)="","",INDEX('Input Contact Information'!$E$2:$E$200,V25))))</f>
        <v/>
      </c>
      <c r="H25" s="1" t="str">
        <f>IF($B25="","",IF(V25="","",IF(INDEX('Input Contact Information'!$G$2:$G$200,V25)="","",INDEX('Input Contact Information'!$G$2:$G$200,V25))))</f>
        <v/>
      </c>
      <c r="I25" s="1" t="str">
        <f>IF($B25="","",IF(V25="","",IF(INDEX('Input Contact Information'!$H$2:$H$200,V25)="","",INDEX('Input Contact Information'!$H$2:$H$200,V25))))</f>
        <v/>
      </c>
      <c r="J25" s="1" t="str">
        <f>IF($B25="","",IF(V25="","",IF(INDEX('Input Contact Information'!$I$2:$I$200,V25)="","",INDEX('Input Contact Information'!$I$2:$I$200,V25))))</f>
        <v>Email</v>
      </c>
      <c r="K25" s="1" t="str">
        <f>IF($B25="","",IF(V25="","",IF(INDEX('Input Contact Information'!$A$2:$A$200,V25)="","",INDEX('Input Contact Information'!$A$2:$A$200,V25))))</f>
        <v>Kyle Strong</v>
      </c>
      <c r="L25" s="1" t="str">
        <f>IF($B25="","",IF(W25="","",IF(INDEX('Accounts Overview'!$I$2:$I$100,W25)="","",INDEX('Accounts Overview'!$I$2:$I$100,W25))))</f>
        <v>Stanislav Gaiduk</v>
      </c>
      <c r="M25" s="1" t="str">
        <f>IF($B25="","",IF(V25="","",IF(INDEX('Input Contact Information'!$J$2:$J$200,V25)="","",INDEX('Input Contact Information'!$J$2:$J$200,V25))))</f>
        <v>Medium</v>
      </c>
      <c r="N25" s="1" t="str">
        <f>IF($B25="","",IF(V25="","",IF(INDEX('Input Contact Information'!$K$2:$K$200,V25)="","",INDEX('Input Contact Information'!$K$2:$K$200,V25))))</f>
        <v>Medium</v>
      </c>
      <c r="O25" s="1" t="str">
        <f>IF($B25="","",IF(V25="","",IF(INDEX('Input Contact Information'!$L$2:$L$200,V25)="","",INDEX('Input Contact Information'!$L$2:$L$200,V25))))</f>
        <v>Medium</v>
      </c>
      <c r="P25" s="1" t="str">
        <f>IF($B25="","",IF((IF(V25="","",IF(INDEX('Input Contact Information'!$N$2:$N$200,V25)="","",INDEX('Input Contact Information'!$N$2:$N$200,V25))))&lt;&gt;"",IF(V25="","",IF(INDEX('Input Contact Information'!$N$2:$N$200,V25)="","",INDEX('Input Contact Information'!$N$2:$N$200,V25))),IF(V25="","",IF(INDEX('Input Contact Information'!$M$2:$M$200,V25)="","",INDEX('Input Contact Information'!$M$2:$M$200,V25)))))</f>
        <v>Tier 3</v>
      </c>
      <c r="Q25" s="1" t="str">
        <f t="shared" si="1"/>
        <v>Semi-annually</v>
      </c>
      <c r="R25" s="1" t="str">
        <f ca="1">IF($B25="","",IF(X25="","",IF(INDEX('Engagements Overview'!$I$2:$I$200,X25)="","",INDEX('Engagements Overview'!$I$2:$I$200,X25))))</f>
        <v>For Review</v>
      </c>
      <c r="S25" s="14">
        <f ca="1">IF($B25="","",IF(X25="","",IF(INDEX('Engagements Overview'!$K$2:$K$200,X25)="","",INDEX('Engagements Overview'!$K$2:$K$200,X25))))</f>
        <v>287</v>
      </c>
      <c r="T25" s="1" t="str">
        <f>IF($B25="","",IF(V25="","",IF(INDEX('Input Contact Information'!$O$2:$O$200,V25)="","",INDEX('Input Contact Information'!$O$2:$O$200,V25))))</f>
        <v>Distribution strategy — interested in digital and partner channels; Customer experience — interested in retention and simpler insurance journeys.</v>
      </c>
      <c r="U25" s="1" t="str">
        <f>IF($B25="","",IF(V25="","",IF(INDEX('Input Contact Information'!$P$2:$P$200,V25)="","",INDEX('Input Contact Information'!$P$2:$P$200,V25))))</f>
        <v>Cooking — enjoys exploring recipes; Reading — reads across business, culture and current affairs.</v>
      </c>
      <c r="V25" s="1">
        <f>IF(B25="","",IFERROR(MATCH(B25&amp;"|"&amp;C25,'Input Contact Information'!$W$2:$W$200,0),""))</f>
        <v>24</v>
      </c>
      <c r="W25" s="1">
        <f>IF(C25="","",IFERROR(MATCH(C25,'Accounts Overview'!$B$2:$B$100,0),""))</f>
        <v>8</v>
      </c>
      <c r="X25" s="1">
        <f>IF(A25="","",IFERROR(MATCH(A25,'Engagements Overview'!$B$2:$B$200,0),""))</f>
        <v>24</v>
      </c>
    </row>
    <row r="26" spans="1:24" ht="15" customHeight="1" x14ac:dyDescent="0.35">
      <c r="A26" s="13" t="str">
        <f t="shared" si="0"/>
        <v>CON0025</v>
      </c>
      <c r="B26" s="1" t="str">
        <f>IFERROR(INDEX('Input Contact Information'!$C$2:$C$200,MATCH(ROW()-1,'Input Contact Information'!$V$2:$V$200,0)),"")</f>
        <v>Bader Al Emadi</v>
      </c>
      <c r="C26" s="1" t="str">
        <f>IFERROR(INDEX('Input Contact Information'!$B$2:$B$200,MATCH(ROW()-1,'Input Contact Information'!$V$2:$V$200,0)),"")</f>
        <v>Nakilat</v>
      </c>
      <c r="D26" s="1" t="str">
        <f>IF($B26="","",IF(W26="","",INDEX('Accounts Overview'!$A$2:$A$100,W26)))</f>
        <v>ACC0009</v>
      </c>
      <c r="E26" s="1" t="str">
        <f>IF($B26="","",IF(V26="","",IF(INDEX('Input Contact Information'!$D$2:$D$200,V26)="","",INDEX('Input Contact Information'!$D$2:$D$200,V26))))</f>
        <v>Vice President, Strategy</v>
      </c>
      <c r="F26" s="1" t="str">
        <f>IF($B26="","",IF(V26="","",IF(INDEX('Input Contact Information'!$F$2:$F$200,V26)="","",INDEX('Input Contact Information'!$F$2:$F$200,V26))))</f>
        <v>bader.alemadi@sample-9.example</v>
      </c>
      <c r="G26" s="1" t="str">
        <f>IF($B26="","",IF(V26="","",IF(INDEX('Input Contact Information'!$E$2:$E$200,V26)="","",INDEX('Input Contact Information'!$E$2:$E$200,V26))))</f>
        <v/>
      </c>
      <c r="H26" s="1" t="str">
        <f>IF($B26="","",IF(V26="","",IF(INDEX('Input Contact Information'!$G$2:$G$200,V26)="","",INDEX('Input Contact Information'!$G$2:$G$200,V26))))</f>
        <v/>
      </c>
      <c r="I26" s="1" t="str">
        <f>IF($B26="","",IF(V26="","",IF(INDEX('Input Contact Information'!$H$2:$H$200,V26)="","",INDEX('Input Contact Information'!$H$2:$H$200,V26))))</f>
        <v/>
      </c>
      <c r="J26" s="1" t="str">
        <f>IF($B26="","",IF(V26="","",IF(INDEX('Input Contact Information'!$I$2:$I$200,V26)="","",INDEX('Input Contact Information'!$I$2:$I$200,V26))))</f>
        <v>Email</v>
      </c>
      <c r="K26" s="1" t="str">
        <f>IF($B26="","",IF(V26="","",IF(INDEX('Input Contact Information'!$A$2:$A$200,V26)="","",INDEX('Input Contact Information'!$A$2:$A$200,V26))))</f>
        <v>Sergey Glushkin</v>
      </c>
      <c r="L26" s="1" t="str">
        <f>IF($B26="","",IF(W26="","",IF(INDEX('Accounts Overview'!$I$2:$I$100,W26)="","",INDEX('Accounts Overview'!$I$2:$I$100,W26))))</f>
        <v>Badaoui Saroufim</v>
      </c>
      <c r="M26" s="1" t="str">
        <f>IF($B26="","",IF(V26="","",IF(INDEX('Input Contact Information'!$J$2:$J$200,V26)="","",INDEX('Input Contact Information'!$J$2:$J$200,V26))))</f>
        <v>Medium</v>
      </c>
      <c r="N26" s="1" t="str">
        <f>IF($B26="","",IF(V26="","",IF(INDEX('Input Contact Information'!$K$2:$K$200,V26)="","",INDEX('Input Contact Information'!$K$2:$K$200,V26))))</f>
        <v>Medium</v>
      </c>
      <c r="O26" s="1" t="str">
        <f>IF($B26="","",IF(V26="","",IF(INDEX('Input Contact Information'!$L$2:$L$200,V26)="","",INDEX('Input Contact Information'!$L$2:$L$200,V26))))</f>
        <v>High</v>
      </c>
      <c r="P26" s="1" t="str">
        <f>IF($B26="","",IF((IF(V26="","",IF(INDEX('Input Contact Information'!$N$2:$N$200,V26)="","",INDEX('Input Contact Information'!$N$2:$N$200,V26))))&lt;&gt;"",IF(V26="","",IF(INDEX('Input Contact Information'!$N$2:$N$200,V26)="","",INDEX('Input Contact Information'!$N$2:$N$200,V26))),IF(V26="","",IF(INDEX('Input Contact Information'!$M$2:$M$200,V26)="","",INDEX('Input Contact Information'!$M$2:$M$200,V26)))))</f>
        <v>Tier 2</v>
      </c>
      <c r="Q26" s="1" t="str">
        <f t="shared" si="1"/>
        <v>Quarterly</v>
      </c>
      <c r="R26" s="1" t="str">
        <f ca="1">IF($B26="","",IF(X26="","",IF(INDEX('Engagements Overview'!$I$2:$I$200,X26)="","",INDEX('Engagements Overview'!$I$2:$I$200,X26))))</f>
        <v>For Review</v>
      </c>
      <c r="S26" s="14">
        <f ca="1">IF($B26="","",IF(X26="","",IF(INDEX('Engagements Overview'!$K$2:$K$200,X26)="","",INDEX('Engagements Overview'!$K$2:$K$200,X26))))</f>
        <v>97</v>
      </c>
      <c r="T26" s="1" t="str">
        <f>IF($B26="","",IF(V26="","",IF(INDEX('Input Contact Information'!$O$2:$O$200,V26)="","",INDEX('Input Contact Information'!$O$2:$O$200,V26))))</f>
        <v>Sustainability — interested in lower-emission maritime operations; Green shipping — interested in alternative fuels and the commercial path to greener fleets.</v>
      </c>
      <c r="U26" s="1" t="str">
        <f>IF($B26="","",IF(V26="","",IF(INDEX('Input Contact Information'!$P$2:$P$200,V26)="","",INDEX('Input Contact Information'!$P$2:$P$200,V26))))</f>
        <v>Sailing — enjoys maritime activities; Environmental volunteering — interested in conservation and coastal community initiatives.</v>
      </c>
      <c r="V26" s="1">
        <f>IF(B26="","",IFERROR(MATCH(B26&amp;"|"&amp;C26,'Input Contact Information'!$W$2:$W$200,0),""))</f>
        <v>25</v>
      </c>
      <c r="W26" s="1">
        <f>IF(C26="","",IFERROR(MATCH(C26,'Accounts Overview'!$B$2:$B$100,0),""))</f>
        <v>9</v>
      </c>
      <c r="X26" s="1">
        <f>IF(A26="","",IFERROR(MATCH(A26,'Engagements Overview'!$B$2:$B$200,0),""))</f>
        <v>25</v>
      </c>
    </row>
    <row r="27" spans="1:24" ht="15" customHeight="1" x14ac:dyDescent="0.35">
      <c r="A27" s="13" t="str">
        <f t="shared" si="0"/>
        <v>CON0026</v>
      </c>
      <c r="B27" s="1" t="str">
        <f>IFERROR(INDEX('Input Contact Information'!$C$2:$C$200,MATCH(ROW()-1,'Input Contact Information'!$V$2:$V$200,0)),"")</f>
        <v>Maryam Al Rayes</v>
      </c>
      <c r="C27" s="1" t="str">
        <f>IFERROR(INDEX('Input Contact Information'!$B$2:$B$200,MATCH(ROW()-1,'Input Contact Information'!$V$2:$V$200,0)),"")</f>
        <v>Nakilat</v>
      </c>
      <c r="D27" s="1" t="str">
        <f>IF($B27="","",IF(W27="","",INDEX('Accounts Overview'!$A$2:$A$100,W27)))</f>
        <v>ACC0009</v>
      </c>
      <c r="E27" s="1" t="str">
        <f>IF($B27="","",IF(V27="","",IF(INDEX('Input Contact Information'!$D$2:$D$200,V27)="","",INDEX('Input Contact Information'!$D$2:$D$200,V27))))</f>
        <v>Director, Transformation</v>
      </c>
      <c r="F27" s="1" t="str">
        <f>IF($B27="","",IF(V27="","",IF(INDEX('Input Contact Information'!$F$2:$F$200,V27)="","",INDEX('Input Contact Information'!$F$2:$F$200,V27))))</f>
        <v>maryam.alrayes@sample-9.example</v>
      </c>
      <c r="G27" s="1" t="str">
        <f>IF($B27="","",IF(V27="","",IF(INDEX('Input Contact Information'!$E$2:$E$200,V27)="","",INDEX('Input Contact Information'!$E$2:$E$200,V27))))</f>
        <v/>
      </c>
      <c r="H27" s="1" t="str">
        <f>IF($B27="","",IF(V27="","",IF(INDEX('Input Contact Information'!$G$2:$G$200,V27)="","",INDEX('Input Contact Information'!$G$2:$G$200,V27))))</f>
        <v/>
      </c>
      <c r="I27" s="1" t="str">
        <f>IF($B27="","",IF(V27="","",IF(INDEX('Input Contact Information'!$H$2:$H$200,V27)="","",INDEX('Input Contact Information'!$H$2:$H$200,V27))))</f>
        <v/>
      </c>
      <c r="J27" s="1" t="str">
        <f>IF($B27="","",IF(V27="","",IF(INDEX('Input Contact Information'!$I$2:$I$200,V27)="","",INDEX('Input Contact Information'!$I$2:$I$200,V27))))</f>
        <v>Email</v>
      </c>
      <c r="K27" s="1" t="str">
        <f>IF($B27="","",IF(V27="","",IF(INDEX('Input Contact Information'!$A$2:$A$200,V27)="","",INDEX('Input Contact Information'!$A$2:$A$200,V27))))</f>
        <v>Sergey Glushkin</v>
      </c>
      <c r="L27" s="1" t="str">
        <f>IF($B27="","",IF(W27="","",IF(INDEX('Accounts Overview'!$I$2:$I$100,W27)="","",INDEX('Accounts Overview'!$I$2:$I$100,W27))))</f>
        <v>Badaoui Saroufim</v>
      </c>
      <c r="M27" s="1" t="str">
        <f>IF($B27="","",IF(V27="","",IF(INDEX('Input Contact Information'!$J$2:$J$200,V27)="","",INDEX('Input Contact Information'!$J$2:$J$200,V27))))</f>
        <v>Medium</v>
      </c>
      <c r="N27" s="1" t="str">
        <f>IF($B27="","",IF(V27="","",IF(INDEX('Input Contact Information'!$K$2:$K$200,V27)="","",INDEX('Input Contact Information'!$K$2:$K$200,V27))))</f>
        <v>Low</v>
      </c>
      <c r="O27" s="1" t="str">
        <f>IF($B27="","",IF(V27="","",IF(INDEX('Input Contact Information'!$L$2:$L$200,V27)="","",INDEX('Input Contact Information'!$L$2:$L$200,V27))))</f>
        <v>High</v>
      </c>
      <c r="P27" s="1" t="str">
        <f>IF($B27="","",IF((IF(V27="","",IF(INDEX('Input Contact Information'!$N$2:$N$200,V27)="","",INDEX('Input Contact Information'!$N$2:$N$200,V27))))&lt;&gt;"",IF(V27="","",IF(INDEX('Input Contact Information'!$N$2:$N$200,V27)="","",INDEX('Input Contact Information'!$N$2:$N$200,V27))),IF(V27="","",IF(INDEX('Input Contact Information'!$M$2:$M$200,V27)="","",INDEX('Input Contact Information'!$M$2:$M$200,V27)))))</f>
        <v>Tier 2</v>
      </c>
      <c r="Q27" s="1" t="str">
        <f t="shared" si="1"/>
        <v>Quarterly</v>
      </c>
      <c r="R27" s="1" t="str">
        <f ca="1">IF($B27="","",IF(X27="","",IF(INDEX('Engagements Overview'!$I$2:$I$200,X27)="","",INDEX('Engagements Overview'!$I$2:$I$200,X27))))</f>
        <v>Overdue</v>
      </c>
      <c r="S27" s="14">
        <f ca="1">IF($B27="","",IF(X27="","",IF(INDEX('Engagements Overview'!$K$2:$K$200,X27)="","",INDEX('Engagements Overview'!$K$2:$K$200,X27))))</f>
        <v>187</v>
      </c>
      <c r="T27" s="1" t="str">
        <f>IF($B27="","",IF(V27="","",IF(INDEX('Input Contact Information'!$O$2:$O$200,V27)="","",INDEX('Input Contact Information'!$O$2:$O$200,V27))))</f>
        <v>Fleet renewal — interested in vessel investment and modernisation choices; Maritime decarbonisation — interested in fuel transition and lower-emission shipping.</v>
      </c>
      <c r="U27" s="1" t="str">
        <f>IF($B27="","",IF(V27="","",IF(INDEX('Input Contact Information'!$P$2:$P$200,V27)="","",INDEX('Input Contact Information'!$P$2:$P$200,V27))))</f>
        <v>Photography — enjoys coastal and landscape photography; Travel — enjoys destinations with a strong maritime character.</v>
      </c>
      <c r="V27" s="1">
        <f>IF(B27="","",IFERROR(MATCH(B27&amp;"|"&amp;C27,'Input Contact Information'!$W$2:$W$200,0),""))</f>
        <v>26</v>
      </c>
      <c r="W27" s="1">
        <f>IF(C27="","",IFERROR(MATCH(C27,'Accounts Overview'!$B$2:$B$100,0),""))</f>
        <v>9</v>
      </c>
      <c r="X27" s="1">
        <f>IF(A27="","",IFERROR(MATCH(A27,'Engagements Overview'!$B$2:$B$200,0),""))</f>
        <v>26</v>
      </c>
    </row>
    <row r="28" spans="1:24" ht="15" customHeight="1" x14ac:dyDescent="0.35">
      <c r="A28" s="13" t="str">
        <f t="shared" si="0"/>
        <v>CON0027</v>
      </c>
      <c r="B28" s="1" t="str">
        <f>IFERROR(INDEX('Input Contact Information'!$C$2:$C$200,MATCH(ROW()-1,'Input Contact Information'!$V$2:$V$200,0)),"")</f>
        <v>Noura Al Derham</v>
      </c>
      <c r="C28" s="1" t="str">
        <f>IFERROR(INDEX('Input Contact Information'!$B$2:$B$200,MATCH(ROW()-1,'Input Contact Information'!$V$2:$V$200,0)),"")</f>
        <v>United Development Company</v>
      </c>
      <c r="D28" s="1" t="str">
        <f>IF($B28="","",IF(W28="","",INDEX('Accounts Overview'!$A$2:$A$100,W28)))</f>
        <v>ACC0010</v>
      </c>
      <c r="E28" s="1" t="str">
        <f>IF($B28="","",IF(V28="","",IF(INDEX('Input Contact Information'!$D$2:$D$200,V28)="","",INDEX('Input Contact Information'!$D$2:$D$200,V28))))</f>
        <v>Chief Executive Officer</v>
      </c>
      <c r="F28" s="1" t="str">
        <f>IF($B28="","",IF(V28="","",IF(INDEX('Input Contact Information'!$F$2:$F$200,V28)="","",INDEX('Input Contact Information'!$F$2:$F$200,V28))))</f>
        <v>noura.alderham@sample-10.example</v>
      </c>
      <c r="G28" s="1" t="str">
        <f>IF($B28="","",IF(V28="","",IF(INDEX('Input Contact Information'!$E$2:$E$200,V28)="","",INDEX('Input Contact Information'!$E$2:$E$200,V28))))</f>
        <v/>
      </c>
      <c r="H28" s="1" t="str">
        <f>IF($B28="","",IF(V28="","",IF(INDEX('Input Contact Information'!$G$2:$G$200,V28)="","",INDEX('Input Contact Information'!$G$2:$G$200,V28))))</f>
        <v/>
      </c>
      <c r="I28" s="1" t="str">
        <f>IF($B28="","",IF(V28="","",IF(INDEX('Input Contact Information'!$H$2:$H$200,V28)="","",INDEX('Input Contact Information'!$H$2:$H$200,V28))))</f>
        <v/>
      </c>
      <c r="J28" s="1" t="str">
        <f>IF($B28="","",IF(V28="","",IF(INDEX('Input Contact Information'!$I$2:$I$200,V28)="","",INDEX('Input Contact Information'!$I$2:$I$200,V28))))</f>
        <v>Email</v>
      </c>
      <c r="K28" s="1" t="str">
        <f>IF($B28="","",IF(V28="","",IF(INDEX('Input Contact Information'!$A$2:$A$200,V28)="","",INDEX('Input Contact Information'!$A$2:$A$200,V28))))</f>
        <v>Naveed Vakil</v>
      </c>
      <c r="L28" s="1" t="str">
        <f>IF($B28="","",IF(W28="","",IF(INDEX('Accounts Overview'!$I$2:$I$100,W28)="","",INDEX('Accounts Overview'!$I$2:$I$100,W28))))</f>
        <v>Meher Ben Marzouk</v>
      </c>
      <c r="M28" s="1" t="str">
        <f>IF($B28="","",IF(V28="","",IF(INDEX('Input Contact Information'!$J$2:$J$200,V28)="","",INDEX('Input Contact Information'!$J$2:$J$200,V28))))</f>
        <v>High</v>
      </c>
      <c r="N28" s="1" t="str">
        <f>IF($B28="","",IF(V28="","",IF(INDEX('Input Contact Information'!$K$2:$K$200,V28)="","",INDEX('Input Contact Information'!$K$2:$K$200,V28))))</f>
        <v>Medium</v>
      </c>
      <c r="O28" s="1" t="str">
        <f>IF($B28="","",IF(V28="","",IF(INDEX('Input Contact Information'!$L$2:$L$200,V28)="","",INDEX('Input Contact Information'!$L$2:$L$200,V28))))</f>
        <v>Medium</v>
      </c>
      <c r="P28" s="1" t="str">
        <f>IF($B28="","",IF((IF(V28="","",IF(INDEX('Input Contact Information'!$N$2:$N$200,V28)="","",INDEX('Input Contact Information'!$N$2:$N$200,V28))))&lt;&gt;"",IF(V28="","",IF(INDEX('Input Contact Information'!$N$2:$N$200,V28)="","",INDEX('Input Contact Information'!$N$2:$N$200,V28))),IF(V28="","",IF(INDEX('Input Contact Information'!$M$2:$M$200,V28)="","",INDEX('Input Contact Information'!$M$2:$M$200,V28)))))</f>
        <v>Tier 2</v>
      </c>
      <c r="Q28" s="1" t="str">
        <f t="shared" si="1"/>
        <v>Quarterly</v>
      </c>
      <c r="R28" s="1" t="str">
        <f ca="1">IF($B28="","",IF(X28="","",IF(INDEX('Engagements Overview'!$I$2:$I$200,X28)="","",INDEX('Engagements Overview'!$I$2:$I$200,X28))))</f>
        <v>For Review</v>
      </c>
      <c r="S28" s="14">
        <f ca="1">IF($B28="","",IF(X28="","",IF(INDEX('Engagements Overview'!$K$2:$K$200,X28)="","",INDEX('Engagements Overview'!$K$2:$K$200,X28))))</f>
        <v>97</v>
      </c>
      <c r="T28" s="1" t="str">
        <f>IF($B28="","",IF(V28="","",IF(INDEX('Input Contact Information'!$O$2:$O$200,V28)="","",INDEX('Input Contact Information'!$O$2:$O$200,V28))))</f>
        <v>Real-estate growth — interested in destination development and portfolio performance; Operational excellence — interested in delivering high-quality resident and visitor experiences.</v>
      </c>
      <c r="U28" s="1" t="str">
        <f>IF($B28="","",IF(V28="","",IF(INDEX('Input Contact Information'!$P$2:$P$200,V28)="","",INDEX('Input Contact Information'!$P$2:$P$200,V28))))</f>
        <v>Running — enjoys active outdoor running; Sailing — follows or participates in sailing and local maritime events.</v>
      </c>
      <c r="V28" s="1">
        <f>IF(B28="","",IFERROR(MATCH(B28&amp;"|"&amp;C28,'Input Contact Information'!$W$2:$W$200,0),""))</f>
        <v>27</v>
      </c>
      <c r="W28" s="1">
        <f>IF(C28="","",IFERROR(MATCH(C28,'Accounts Overview'!$B$2:$B$100,0),""))</f>
        <v>10</v>
      </c>
      <c r="X28" s="1">
        <f>IF(A28="","",IFERROR(MATCH(A28,'Engagements Overview'!$B$2:$B$200,0),""))</f>
        <v>27</v>
      </c>
    </row>
    <row r="29" spans="1:24" ht="15" customHeight="1" x14ac:dyDescent="0.35">
      <c r="A29" s="13" t="str">
        <f t="shared" si="0"/>
        <v>CON0028</v>
      </c>
      <c r="B29" s="1" t="str">
        <f>IFERROR(INDEX('Input Contact Information'!$C$2:$C$200,MATCH(ROW()-1,'Input Contact Information'!$V$2:$V$200,0)),"")</f>
        <v>Waleed Al Khater</v>
      </c>
      <c r="C29" s="1" t="str">
        <f>IFERROR(INDEX('Input Contact Information'!$B$2:$B$200,MATCH(ROW()-1,'Input Contact Information'!$V$2:$V$200,0)),"")</f>
        <v>United Development Company</v>
      </c>
      <c r="D29" s="1" t="str">
        <f>IF($B29="","",IF(W29="","",INDEX('Accounts Overview'!$A$2:$A$100,W29)))</f>
        <v>ACC0010</v>
      </c>
      <c r="E29" s="1" t="str">
        <f>IF($B29="","",IF(V29="","",IF(INDEX('Input Contact Information'!$D$2:$D$200,V29)="","",INDEX('Input Contact Information'!$D$2:$D$200,V29))))</f>
        <v>Chief Strategy Officer</v>
      </c>
      <c r="F29" s="1" t="str">
        <f>IF($B29="","",IF(V29="","",IF(INDEX('Input Contact Information'!$F$2:$F$200,V29)="","",INDEX('Input Contact Information'!$F$2:$F$200,V29))))</f>
        <v>waleed.alkhater@sample-10.example</v>
      </c>
      <c r="G29" s="1" t="str">
        <f>IF($B29="","",IF(V29="","",IF(INDEX('Input Contact Information'!$E$2:$E$200,V29)="","",INDEX('Input Contact Information'!$E$2:$E$200,V29))))</f>
        <v/>
      </c>
      <c r="H29" s="1" t="str">
        <f>IF($B29="","",IF(V29="","",IF(INDEX('Input Contact Information'!$G$2:$G$200,V29)="","",INDEX('Input Contact Information'!$G$2:$G$200,V29))))</f>
        <v/>
      </c>
      <c r="I29" s="1" t="str">
        <f>IF($B29="","",IF(V29="","",IF(INDEX('Input Contact Information'!$H$2:$H$200,V29)="","",INDEX('Input Contact Information'!$H$2:$H$200,V29))))</f>
        <v/>
      </c>
      <c r="J29" s="1" t="str">
        <f>IF($B29="","",IF(V29="","",IF(INDEX('Input Contact Information'!$I$2:$I$200,V29)="","",INDEX('Input Contact Information'!$I$2:$I$200,V29))))</f>
        <v>Email</v>
      </c>
      <c r="K29" s="1" t="str">
        <f>IF($B29="","",IF(V29="","",IF(INDEX('Input Contact Information'!$A$2:$A$200,V29)="","",INDEX('Input Contact Information'!$A$2:$A$200,V29))))</f>
        <v>Naveed Vakil</v>
      </c>
      <c r="L29" s="1" t="str">
        <f>IF($B29="","",IF(W29="","",IF(INDEX('Accounts Overview'!$I$2:$I$100,W29)="","",INDEX('Accounts Overview'!$I$2:$I$100,W29))))</f>
        <v>Meher Ben Marzouk</v>
      </c>
      <c r="M29" s="1" t="str">
        <f>IF($B29="","",IF(V29="","",IF(INDEX('Input Contact Information'!$J$2:$J$200,V29)="","",INDEX('Input Contact Information'!$J$2:$J$200,V29))))</f>
        <v>High</v>
      </c>
      <c r="N29" s="1" t="str">
        <f>IF($B29="","",IF(V29="","",IF(INDEX('Input Contact Information'!$K$2:$K$200,V29)="","",INDEX('Input Contact Information'!$K$2:$K$200,V29))))</f>
        <v>Low</v>
      </c>
      <c r="O29" s="1" t="str">
        <f>IF($B29="","",IF(V29="","",IF(INDEX('Input Contact Information'!$L$2:$L$200,V29)="","",INDEX('Input Contact Information'!$L$2:$L$200,V29))))</f>
        <v>Medium</v>
      </c>
      <c r="P29" s="1" t="str">
        <f>IF($B29="","",IF((IF(V29="","",IF(INDEX('Input Contact Information'!$N$2:$N$200,V29)="","",INDEX('Input Contact Information'!$N$2:$N$200,V29))))&lt;&gt;"",IF(V29="","",IF(INDEX('Input Contact Information'!$N$2:$N$200,V29)="","",INDEX('Input Contact Information'!$N$2:$N$200,V29))),IF(V29="","",IF(INDEX('Input Contact Information'!$M$2:$M$200,V29)="","",INDEX('Input Contact Information'!$M$2:$M$200,V29)))))</f>
        <v>Tier 2</v>
      </c>
      <c r="Q29" s="1" t="str">
        <f t="shared" si="1"/>
        <v>Quarterly</v>
      </c>
      <c r="R29" s="1" t="str">
        <f ca="1">IF($B29="","",IF(X29="","",IF(INDEX('Engagements Overview'!$I$2:$I$200,X29)="","",INDEX('Engagements Overview'!$I$2:$I$200,X29))))</f>
        <v>Overdue</v>
      </c>
      <c r="S29" s="14">
        <f ca="1">IF($B29="","",IF(X29="","",IF(INDEX('Engagements Overview'!$K$2:$K$200,X29)="","",INDEX('Engagements Overview'!$K$2:$K$200,X29))))</f>
        <v>187</v>
      </c>
      <c r="T29" s="1" t="str">
        <f>IF($B29="","",IF(V29="","",IF(INDEX('Input Contact Information'!$O$2:$O$200,V29)="","",INDEX('Input Contact Information'!$O$2:$O$200,V29))))</f>
        <v>Urban development — interested in placemaking and the evolution of mixed-use destinations; Real-estate investment — interested in portfolio returns and investment opportunities.</v>
      </c>
      <c r="U29" s="1" t="str">
        <f>IF($B29="","",IF(V29="","",IF(INDEX('Input Contact Information'!$P$2:$P$200,V29)="","",INDEX('Input Contact Information'!$P$2:$P$200,V29))))</f>
        <v>Architecture — enjoys contemporary architecture and design-led developments; Art — enjoys exhibitions connected to urban culture.</v>
      </c>
      <c r="V29" s="1">
        <f>IF(B29="","",IFERROR(MATCH(B29&amp;"|"&amp;C29,'Input Contact Information'!$W$2:$W$200,0),""))</f>
        <v>28</v>
      </c>
      <c r="W29" s="1">
        <f>IF(C29="","",IFERROR(MATCH(C29,'Accounts Overview'!$B$2:$B$100,0),""))</f>
        <v>10</v>
      </c>
      <c r="X29" s="1">
        <f>IF(A29="","",IFERROR(MATCH(A29,'Engagements Overview'!$B$2:$B$200,0),""))</f>
        <v>28</v>
      </c>
    </row>
    <row r="30" spans="1:24" ht="15" customHeight="1" x14ac:dyDescent="0.35">
      <c r="A30" s="13" t="str">
        <f t="shared" si="0"/>
        <v>CON0029</v>
      </c>
      <c r="B30" s="1" t="str">
        <f>IFERROR(INDEX('Input Contact Information'!$C$2:$C$200,MATCH(ROW()-1,'Input Contact Information'!$V$2:$V$200,0)),"")</f>
        <v>Hind Al Qasimi</v>
      </c>
      <c r="C30" s="1" t="str">
        <f>IFERROR(INDEX('Input Contact Information'!$B$2:$B$200,MATCH(ROW()-1,'Input Contact Information'!$V$2:$V$200,0)),"")</f>
        <v>United Development Company</v>
      </c>
      <c r="D30" s="1" t="str">
        <f>IF($B30="","",IF(W30="","",INDEX('Accounts Overview'!$A$2:$A$100,W30)))</f>
        <v>ACC0010</v>
      </c>
      <c r="E30" s="1" t="str">
        <f>IF($B30="","",IF(V30="","",IF(INDEX('Input Contact Information'!$D$2:$D$200,V30)="","",INDEX('Input Contact Information'!$D$2:$D$200,V30))))</f>
        <v>Vice President, Strategy</v>
      </c>
      <c r="F30" s="1" t="str">
        <f>IF($B30="","",IF(V30="","",IF(INDEX('Input Contact Information'!$F$2:$F$200,V30)="","",INDEX('Input Contact Information'!$F$2:$F$200,V30))))</f>
        <v>hind.alqasimi@sample-10.example</v>
      </c>
      <c r="G30" s="1" t="str">
        <f>IF($B30="","",IF(V30="","",IF(INDEX('Input Contact Information'!$E$2:$E$200,V30)="","",INDEX('Input Contact Information'!$E$2:$E$200,V30))))</f>
        <v/>
      </c>
      <c r="H30" s="1" t="str">
        <f>IF($B30="","",IF(V30="","",IF(INDEX('Input Contact Information'!$G$2:$G$200,V30)="","",INDEX('Input Contact Information'!$G$2:$G$200,V30))))</f>
        <v/>
      </c>
      <c r="I30" s="1" t="str">
        <f>IF($B30="","",IF(V30="","",IF(INDEX('Input Contact Information'!$H$2:$H$200,V30)="","",INDEX('Input Contact Information'!$H$2:$H$200,V30))))</f>
        <v/>
      </c>
      <c r="J30" s="1" t="str">
        <f>IF($B30="","",IF(V30="","",IF(INDEX('Input Contact Information'!$I$2:$I$200,V30)="","",INDEX('Input Contact Information'!$I$2:$I$200,V30))))</f>
        <v>Email</v>
      </c>
      <c r="K30" s="1" t="str">
        <f>IF($B30="","",IF(V30="","",IF(INDEX('Input Contact Information'!$A$2:$A$200,V30)="","",INDEX('Input Contact Information'!$A$2:$A$200,V30))))</f>
        <v>Naveed Vakil</v>
      </c>
      <c r="L30" s="1" t="str">
        <f>IF($B30="","",IF(W30="","",IF(INDEX('Accounts Overview'!$I$2:$I$100,W30)="","",INDEX('Accounts Overview'!$I$2:$I$100,W30))))</f>
        <v>Meher Ben Marzouk</v>
      </c>
      <c r="M30" s="1" t="str">
        <f>IF($B30="","",IF(V30="","",IF(INDEX('Input Contact Information'!$J$2:$J$200,V30)="","",INDEX('Input Contact Information'!$J$2:$J$200,V30))))</f>
        <v>High</v>
      </c>
      <c r="N30" s="1" t="str">
        <f>IF($B30="","",IF(V30="","",IF(INDEX('Input Contact Information'!$K$2:$K$200,V30)="","",INDEX('Input Contact Information'!$K$2:$K$200,V30))))</f>
        <v>Low</v>
      </c>
      <c r="O30" s="1" t="str">
        <f>IF($B30="","",IF(V30="","",IF(INDEX('Input Contact Information'!$L$2:$L$200,V30)="","",INDEX('Input Contact Information'!$L$2:$L$200,V30))))</f>
        <v>Medium</v>
      </c>
      <c r="P30" s="1" t="str">
        <f>IF($B30="","",IF((IF(V30="","",IF(INDEX('Input Contact Information'!$N$2:$N$200,V30)="","",INDEX('Input Contact Information'!$N$2:$N$200,V30))))&lt;&gt;"",IF(V30="","",IF(INDEX('Input Contact Information'!$N$2:$N$200,V30)="","",INDEX('Input Contact Information'!$N$2:$N$200,V30))),IF(V30="","",IF(INDEX('Input Contact Information'!$M$2:$M$200,V30)="","",INDEX('Input Contact Information'!$M$2:$M$200,V30)))))</f>
        <v>Tier 2</v>
      </c>
      <c r="Q30" s="1" t="str">
        <f t="shared" si="1"/>
        <v>Quarterly</v>
      </c>
      <c r="R30" s="1" t="str">
        <f ca="1">IF($B30="","",IF(X30="","",IF(INDEX('Engagements Overview'!$I$2:$I$200,X30)="","",INDEX('Engagements Overview'!$I$2:$I$200,X30))))</f>
        <v>Overdue</v>
      </c>
      <c r="S30" s="14">
        <f ca="1">IF($B30="","",IF(X30="","",IF(INDEX('Engagements Overview'!$K$2:$K$200,X30)="","",INDEX('Engagements Overview'!$K$2:$K$200,X30))))</f>
        <v>287</v>
      </c>
      <c r="T30" s="1" t="str">
        <f>IF($B30="","",IF(V30="","",IF(INDEX('Input Contact Information'!$O$2:$O$200,V30)="","",INDEX('Input Contact Information'!$O$2:$O$200,V30))))</f>
        <v>Smart cities — interested in connected communities and digital infrastructure; Mixed-use development — interested in integrated residential, retail and hospitality destinations.</v>
      </c>
      <c r="U30" s="1" t="str">
        <f>IF($B30="","",IF(V30="","",IF(INDEX('Input Contact Information'!$P$2:$P$200,V30)="","",INDEX('Input Contact Information'!$P$2:$P$200,V30))))</f>
        <v>Golf — follows the sport; Travel — enjoys well-designed resorts, cities and leisure destinations.</v>
      </c>
      <c r="V30" s="1">
        <f>IF(B30="","",IFERROR(MATCH(B30&amp;"|"&amp;C30,'Input Contact Information'!$W$2:$W$200,0),""))</f>
        <v>29</v>
      </c>
      <c r="W30" s="1">
        <f>IF(C30="","",IFERROR(MATCH(C30,'Accounts Overview'!$B$2:$B$100,0),""))</f>
        <v>10</v>
      </c>
      <c r="X30" s="1">
        <f>IF(A30="","",IFERROR(MATCH(A30,'Engagements Overview'!$B$2:$B$200,0),""))</f>
        <v>29</v>
      </c>
    </row>
    <row r="31" spans="1:24" ht="15" customHeight="1" x14ac:dyDescent="0.35">
      <c r="A31" s="13" t="str">
        <f t="shared" si="0"/>
        <v>CON0030</v>
      </c>
      <c r="B31" s="1" t="str">
        <f>IFERROR(INDEX('Input Contact Information'!$C$2:$C$200,MATCH(ROW()-1,'Input Contact Information'!$V$2:$V$200,0)),"")</f>
        <v>Majed Al Shafi</v>
      </c>
      <c r="C31" s="1" t="str">
        <f>IFERROR(INDEX('Input Contact Information'!$B$2:$B$200,MATCH(ROW()-1,'Input Contact Information'!$V$2:$V$200,0)),"")</f>
        <v>Milaha</v>
      </c>
      <c r="D31" s="1" t="str">
        <f>IF($B31="","",IF(W31="","",INDEX('Accounts Overview'!$A$2:$A$100,W31)))</f>
        <v>ACC0011</v>
      </c>
      <c r="E31" s="1" t="str">
        <f>IF($B31="","",IF(V31="","",IF(INDEX('Input Contact Information'!$D$2:$D$200,V31)="","",INDEX('Input Contact Information'!$D$2:$D$200,V31))))</f>
        <v>Vice President, Strategy</v>
      </c>
      <c r="F31" s="1" t="str">
        <f>IF($B31="","",IF(V31="","",IF(INDEX('Input Contact Information'!$F$2:$F$200,V31)="","",INDEX('Input Contact Information'!$F$2:$F$200,V31))))</f>
        <v>majed.alshafi@sample-11.example</v>
      </c>
      <c r="G31" s="1" t="str">
        <f>IF($B31="","",IF(V31="","",IF(INDEX('Input Contact Information'!$E$2:$E$200,V31)="","",INDEX('Input Contact Information'!$E$2:$E$200,V31))))</f>
        <v/>
      </c>
      <c r="H31" s="1" t="str">
        <f>IF($B31="","",IF(V31="","",IF(INDEX('Input Contact Information'!$G$2:$G$200,V31)="","",INDEX('Input Contact Information'!$G$2:$G$200,V31))))</f>
        <v/>
      </c>
      <c r="I31" s="1" t="str">
        <f>IF($B31="","",IF(V31="","",IF(INDEX('Input Contact Information'!$H$2:$H$200,V31)="","",INDEX('Input Contact Information'!$H$2:$H$200,V31))))</f>
        <v/>
      </c>
      <c r="J31" s="1" t="str">
        <f>IF($B31="","",IF(V31="","",IF(INDEX('Input Contact Information'!$I$2:$I$200,V31)="","",INDEX('Input Contact Information'!$I$2:$I$200,V31))))</f>
        <v>Email</v>
      </c>
      <c r="K31" s="1" t="str">
        <f>IF($B31="","",IF(V31="","",IF(INDEX('Input Contact Information'!$A$2:$A$200,V31)="","",INDEX('Input Contact Information'!$A$2:$A$200,V31))))</f>
        <v>Reda Jennane</v>
      </c>
      <c r="L31" s="1" t="str">
        <f>IF($B31="","",IF(W31="","",IF(INDEX('Accounts Overview'!$I$2:$I$100,W31)="","",INDEX('Accounts Overview'!$I$2:$I$100,W31))))</f>
        <v>Sidhant Shetty</v>
      </c>
      <c r="M31" s="1" t="str">
        <f>IF($B31="","",IF(V31="","",IF(INDEX('Input Contact Information'!$J$2:$J$200,V31)="","",INDEX('Input Contact Information'!$J$2:$J$200,V31))))</f>
        <v>Medium</v>
      </c>
      <c r="N31" s="1" t="str">
        <f>IF($B31="","",IF(V31="","",IF(INDEX('Input Contact Information'!$K$2:$K$200,V31)="","",INDEX('Input Contact Information'!$K$2:$K$200,V31))))</f>
        <v>Medium</v>
      </c>
      <c r="O31" s="1" t="str">
        <f>IF($B31="","",IF(V31="","",IF(INDEX('Input Contact Information'!$L$2:$L$200,V31)="","",INDEX('Input Contact Information'!$L$2:$L$200,V31))))</f>
        <v>Medium</v>
      </c>
      <c r="P31" s="1" t="str">
        <f>IF($B31="","",IF((IF(V31="","",IF(INDEX('Input Contact Information'!$N$2:$N$200,V31)="","",INDEX('Input Contact Information'!$N$2:$N$200,V31))))&lt;&gt;"",IF(V31="","",IF(INDEX('Input Contact Information'!$N$2:$N$200,V31)="","",INDEX('Input Contact Information'!$N$2:$N$200,V31))),IF(V31="","",IF(INDEX('Input Contact Information'!$M$2:$M$200,V31)="","",INDEX('Input Contact Information'!$M$2:$M$200,V31)))))</f>
        <v>Tier 3</v>
      </c>
      <c r="Q31" s="1" t="str">
        <f t="shared" si="1"/>
        <v>Semi-annually</v>
      </c>
      <c r="R31" s="1" t="str">
        <f ca="1">IF($B31="","",IF(X31="","",IF(INDEX('Engagements Overview'!$I$2:$I$200,X31)="","",INDEX('Engagements Overview'!$I$2:$I$200,X31))))</f>
        <v>On Track</v>
      </c>
      <c r="S31" s="14">
        <f ca="1">IF($B31="","",IF(X31="","",IF(INDEX('Engagements Overview'!$K$2:$K$200,X31)="","",INDEX('Engagements Overview'!$K$2:$K$200,X31))))</f>
        <v>157</v>
      </c>
      <c r="T31" s="1" t="str">
        <f>IF($B31="","",IF(V31="","",IF(INDEX('Input Contact Information'!$O$2:$O$200,V31)="","",INDEX('Input Contact Information'!$O$2:$O$200,V31))))</f>
        <v>Sustainable logistics — interested in lower-carbon operations; Customer experience — interested in making shipping and logistics services easier for customers.</v>
      </c>
      <c r="U31" s="1" t="str">
        <f>IF($B31="","",IF(V31="","",IF(INDEX('Input Contact Information'!$P$2:$P$200,V31)="","",INDEX('Input Contact Information'!$P$2:$P$200,V31))))</f>
        <v>Photography — enjoys visual storytelling and architecture; Design — interested in product and service design.</v>
      </c>
      <c r="V31" s="1">
        <f>IF(B31="","",IFERROR(MATCH(B31&amp;"|"&amp;C31,'Input Contact Information'!$W$2:$W$200,0),""))</f>
        <v>30</v>
      </c>
      <c r="W31" s="1">
        <f>IF(C31="","",IFERROR(MATCH(C31,'Accounts Overview'!$B$2:$B$100,0),""))</f>
        <v>11</v>
      </c>
      <c r="X31" s="1">
        <f>IF(A31="","",IFERROR(MATCH(A31,'Engagements Overview'!$B$2:$B$200,0),""))</f>
        <v>30</v>
      </c>
    </row>
    <row r="32" spans="1:24" ht="15" customHeight="1" x14ac:dyDescent="0.35">
      <c r="A32" s="13" t="str">
        <f t="shared" si="0"/>
        <v>CON0031</v>
      </c>
      <c r="B32" s="1" t="str">
        <f>IFERROR(INDEX('Input Contact Information'!$C$2:$C$200,MATCH(ROW()-1,'Input Contact Information'!$V$2:$V$200,0)),"")</f>
        <v>Jawaher Al Murikhi</v>
      </c>
      <c r="C32" s="1" t="str">
        <f>IFERROR(INDEX('Input Contact Information'!$B$2:$B$200,MATCH(ROW()-1,'Input Contact Information'!$V$2:$V$200,0)),"")</f>
        <v>Milaha</v>
      </c>
      <c r="D32" s="1" t="str">
        <f>IF($B32="","",IF(W32="","",INDEX('Accounts Overview'!$A$2:$A$100,W32)))</f>
        <v>ACC0011</v>
      </c>
      <c r="E32" s="1" t="str">
        <f>IF($B32="","",IF(V32="","",IF(INDEX('Input Contact Information'!$D$2:$D$200,V32)="","",INDEX('Input Contact Information'!$D$2:$D$200,V32))))</f>
        <v>Director, Transformation</v>
      </c>
      <c r="F32" s="1" t="str">
        <f>IF($B32="","",IF(V32="","",IF(INDEX('Input Contact Information'!$F$2:$F$200,V32)="","",INDEX('Input Contact Information'!$F$2:$F$200,V32))))</f>
        <v>jawaher.almurikhi@sample-11.example</v>
      </c>
      <c r="G32" s="1" t="str">
        <f>IF($B32="","",IF(V32="","",IF(INDEX('Input Contact Information'!$E$2:$E$200,V32)="","",INDEX('Input Contact Information'!$E$2:$E$200,V32))))</f>
        <v/>
      </c>
      <c r="H32" s="1" t="str">
        <f>IF($B32="","",IF(V32="","",IF(INDEX('Input Contact Information'!$G$2:$G$200,V32)="","",INDEX('Input Contact Information'!$G$2:$G$200,V32))))</f>
        <v/>
      </c>
      <c r="I32" s="1" t="str">
        <f>IF($B32="","",IF(V32="","",IF(INDEX('Input Contact Information'!$H$2:$H$200,V32)="","",INDEX('Input Contact Information'!$H$2:$H$200,V32))))</f>
        <v/>
      </c>
      <c r="J32" s="1" t="str">
        <f>IF($B32="","",IF(V32="","",IF(INDEX('Input Contact Information'!$I$2:$I$200,V32)="","",INDEX('Input Contact Information'!$I$2:$I$200,V32))))</f>
        <v>Email</v>
      </c>
      <c r="K32" s="1" t="str">
        <f>IF($B32="","",IF(V32="","",IF(INDEX('Input Contact Information'!$A$2:$A$200,V32)="","",INDEX('Input Contact Information'!$A$2:$A$200,V32))))</f>
        <v>Reda Jennane</v>
      </c>
      <c r="L32" s="1" t="str">
        <f>IF($B32="","",IF(W32="","",IF(INDEX('Accounts Overview'!$I$2:$I$100,W32)="","",INDEX('Accounts Overview'!$I$2:$I$100,W32))))</f>
        <v>Sidhant Shetty</v>
      </c>
      <c r="M32" s="1" t="str">
        <f>IF($B32="","",IF(V32="","",IF(INDEX('Input Contact Information'!$J$2:$J$200,V32)="","",INDEX('Input Contact Information'!$J$2:$J$200,V32))))</f>
        <v>Medium</v>
      </c>
      <c r="N32" s="1" t="str">
        <f>IF($B32="","",IF(V32="","",IF(INDEX('Input Contact Information'!$K$2:$K$200,V32)="","",INDEX('Input Contact Information'!$K$2:$K$200,V32))))</f>
        <v>Low</v>
      </c>
      <c r="O32" s="1" t="str">
        <f>IF($B32="","",IF(V32="","",IF(INDEX('Input Contact Information'!$L$2:$L$200,V32)="","",INDEX('Input Contact Information'!$L$2:$L$200,V32))))</f>
        <v>Medium</v>
      </c>
      <c r="P32" s="1" t="str">
        <f>IF($B32="","",IF((IF(V32="","",IF(INDEX('Input Contact Information'!$N$2:$N$200,V32)="","",INDEX('Input Contact Information'!$N$2:$N$200,V32))))&lt;&gt;"",IF(V32="","",IF(INDEX('Input Contact Information'!$N$2:$N$200,V32)="","",INDEX('Input Contact Information'!$N$2:$N$200,V32))),IF(V32="","",IF(INDEX('Input Contact Information'!$M$2:$M$200,V32)="","",INDEX('Input Contact Information'!$M$2:$M$200,V32)))))</f>
        <v>Tier 3</v>
      </c>
      <c r="Q32" s="1" t="str">
        <f t="shared" si="1"/>
        <v>Semi-annually</v>
      </c>
      <c r="R32" s="1" t="str">
        <f ca="1">IF($B32="","",IF(X32="","",IF(INDEX('Engagements Overview'!$I$2:$I$200,X32)="","",INDEX('Engagements Overview'!$I$2:$I$200,X32))))</f>
        <v>For Review</v>
      </c>
      <c r="S32" s="14">
        <f ca="1">IF($B32="","",IF(X32="","",IF(INDEX('Engagements Overview'!$K$2:$K$200,X32)="","",INDEX('Engagements Overview'!$K$2:$K$200,X32))))</f>
        <v>317</v>
      </c>
      <c r="T32" s="1" t="str">
        <f>IF($B32="","",IF(V32="","",IF(INDEX('Input Contact Information'!$O$2:$O$200,V32)="","",INDEX('Input Contact Information'!$O$2:$O$200,V32))))</f>
        <v>M&amp;A — interested in the rationale behind shipping and logistics deals; Fleet financing — interested in asset-backed financing and investment choices.</v>
      </c>
      <c r="U32" s="1" t="str">
        <f>IF($B32="","",IF(V32="","",IF(INDEX('Input Contact Information'!$P$2:$P$200,V32)="","",INDEX('Input Contact Information'!$P$2:$P$200,V32))))</f>
        <v>Golf — follows the sport; Sailing — enjoys maritime and coastal events and destinations.</v>
      </c>
      <c r="V32" s="1">
        <f>IF(B32="","",IFERROR(MATCH(B32&amp;"|"&amp;C32,'Input Contact Information'!$W$2:$W$200,0),""))</f>
        <v>31</v>
      </c>
      <c r="W32" s="1">
        <f>IF(C32="","",IFERROR(MATCH(C32,'Accounts Overview'!$B$2:$B$100,0),""))</f>
        <v>11</v>
      </c>
      <c r="X32" s="1">
        <f>IF(A32="","",IFERROR(MATCH(A32,'Engagements Overview'!$B$2:$B$200,0),""))</f>
        <v>31</v>
      </c>
    </row>
    <row r="33" spans="1:24" ht="15" customHeight="1" x14ac:dyDescent="0.35">
      <c r="A33" s="13" t="str">
        <f t="shared" si="0"/>
        <v>CON0032</v>
      </c>
      <c r="B33" s="1" t="str">
        <f>IFERROR(INDEX('Input Contact Information'!$C$2:$C$200,MATCH(ROW()-1,'Input Contact Information'!$V$2:$V$200,0)),"")</f>
        <v>Thamer Al Misnad</v>
      </c>
      <c r="C33" s="1" t="str">
        <f>IFERROR(INDEX('Input Contact Information'!$B$2:$B$200,MATCH(ROW()-1,'Input Contact Information'!$V$2:$V$200,0)),"")</f>
        <v>Milaha</v>
      </c>
      <c r="D33" s="1" t="str">
        <f>IF($B33="","",IF(W33="","",INDEX('Accounts Overview'!$A$2:$A$100,W33)))</f>
        <v>ACC0011</v>
      </c>
      <c r="E33" s="1" t="str">
        <f>IF($B33="","",IF(V33="","",IF(INDEX('Input Contact Information'!$D$2:$D$200,V33)="","",INDEX('Input Contact Information'!$D$2:$D$200,V33))))</f>
        <v>Senior Manager, Strategy</v>
      </c>
      <c r="F33" s="1" t="str">
        <f>IF($B33="","",IF(V33="","",IF(INDEX('Input Contact Information'!$F$2:$F$200,V33)="","",INDEX('Input Contact Information'!$F$2:$F$200,V33))))</f>
        <v>thamer.almisnad@sample-11.example</v>
      </c>
      <c r="G33" s="1" t="str">
        <f>IF($B33="","",IF(V33="","",IF(INDEX('Input Contact Information'!$E$2:$E$200,V33)="","",INDEX('Input Contact Information'!$E$2:$E$200,V33))))</f>
        <v/>
      </c>
      <c r="H33" s="1" t="str">
        <f>IF($B33="","",IF(V33="","",IF(INDEX('Input Contact Information'!$G$2:$G$200,V33)="","",INDEX('Input Contact Information'!$G$2:$G$200,V33))))</f>
        <v/>
      </c>
      <c r="I33" s="1" t="str">
        <f>IF($B33="","",IF(V33="","",IF(INDEX('Input Contact Information'!$H$2:$H$200,V33)="","",INDEX('Input Contact Information'!$H$2:$H$200,V33))))</f>
        <v/>
      </c>
      <c r="J33" s="1" t="str">
        <f>IF($B33="","",IF(V33="","",IF(INDEX('Input Contact Information'!$I$2:$I$200,V33)="","",INDEX('Input Contact Information'!$I$2:$I$200,V33))))</f>
        <v>Email</v>
      </c>
      <c r="K33" s="1" t="str">
        <f>IF($B33="","",IF(V33="","",IF(INDEX('Input Contact Information'!$A$2:$A$200,V33)="","",INDEX('Input Contact Information'!$A$2:$A$200,V33))))</f>
        <v>Reda Jennane</v>
      </c>
      <c r="L33" s="1" t="str">
        <f>IF($B33="","",IF(W33="","",IF(INDEX('Accounts Overview'!$I$2:$I$100,W33)="","",INDEX('Accounts Overview'!$I$2:$I$100,W33))))</f>
        <v>Sidhant Shetty</v>
      </c>
      <c r="M33" s="1" t="str">
        <f>IF($B33="","",IF(V33="","",IF(INDEX('Input Contact Information'!$J$2:$J$200,V33)="","",INDEX('Input Contact Information'!$J$2:$J$200,V33))))</f>
        <v>Medium</v>
      </c>
      <c r="N33" s="1" t="str">
        <f>IF($B33="","",IF(V33="","",IF(INDEX('Input Contact Information'!$K$2:$K$200,V33)="","",INDEX('Input Contact Information'!$K$2:$K$200,V33))))</f>
        <v>Low</v>
      </c>
      <c r="O33" s="1" t="str">
        <f>IF($B33="","",IF(V33="","",IF(INDEX('Input Contact Information'!$L$2:$L$200,V33)="","",INDEX('Input Contact Information'!$L$2:$L$200,V33))))</f>
        <v>Medium</v>
      </c>
      <c r="P33" s="1" t="str">
        <f>IF($B33="","",IF((IF(V33="","",IF(INDEX('Input Contact Information'!$N$2:$N$200,V33)="","",INDEX('Input Contact Information'!$N$2:$N$200,V33))))&lt;&gt;"",IF(V33="","",IF(INDEX('Input Contact Information'!$N$2:$N$200,V33)="","",INDEX('Input Contact Information'!$N$2:$N$200,V33))),IF(V33="","",IF(INDEX('Input Contact Information'!$M$2:$M$200,V33)="","",INDEX('Input Contact Information'!$M$2:$M$200,V33)))))</f>
        <v>Tier 3</v>
      </c>
      <c r="Q33" s="1" t="str">
        <f t="shared" si="1"/>
        <v>Semi-annually</v>
      </c>
      <c r="R33" s="1" t="str">
        <f ca="1">IF($B33="","",IF(X33="","",IF(INDEX('Engagements Overview'!$I$2:$I$200,X33)="","",INDEX('Engagements Overview'!$I$2:$I$200,X33))))</f>
        <v>Overdue</v>
      </c>
      <c r="S33" s="14">
        <f ca="1">IF($B33="","",IF(X33="","",IF(INDEX('Engagements Overview'!$K$2:$K$200,X33)="","",INDEX('Engagements Overview'!$K$2:$K$200,X33))))</f>
        <v>487</v>
      </c>
      <c r="T33" s="1" t="str">
        <f>IF($B33="","",IF(V33="","",IF(INDEX('Input Contact Information'!$O$2:$O$200,V33)="","",INDEX('Input Contact Information'!$O$2:$O$200,V33))))</f>
        <v>Digital transformation — interested in using technology and data to improve operations; Port operations — interested in automation and efficiency across maritime and logistics networks.</v>
      </c>
      <c r="U33" s="1" t="str">
        <f>IF($B33="","",IF(V33="","",IF(INDEX('Input Contact Information'!$P$2:$P$200,V33)="","",INDEX('Input Contact Information'!$P$2:$P$200,V33))))</f>
        <v>Padel — enjoys playing socially; Technology — follows useful digital tools, devices and emerging technology.</v>
      </c>
      <c r="V33" s="1">
        <f>IF(B33="","",IFERROR(MATCH(B33&amp;"|"&amp;C33,'Input Contact Information'!$W$2:$W$200,0),""))</f>
        <v>32</v>
      </c>
      <c r="W33" s="1">
        <f>IF(C33="","",IFERROR(MATCH(C33,'Accounts Overview'!$B$2:$B$100,0),""))</f>
        <v>11</v>
      </c>
      <c r="X33" s="1">
        <f>IF(A33="","",IFERROR(MATCH(A33,'Engagements Overview'!$B$2:$B$200,0),""))</f>
        <v>32</v>
      </c>
    </row>
    <row r="34" spans="1:24" ht="15" customHeight="1" x14ac:dyDescent="0.35">
      <c r="A34" s="13" t="str">
        <f t="shared" ref="A34:A65" si="2">IF(B34="","","CON"&amp;TEXT(ROW()-1,"0000"))</f>
        <v>CON0033</v>
      </c>
      <c r="B34" s="1" t="str">
        <f>IFERROR(INDEX('Input Contact Information'!$C$2:$C$200,MATCH(ROW()-1,'Input Contact Information'!$V$2:$V$200,0)),"")</f>
        <v>Latifa Al Shamlan</v>
      </c>
      <c r="C34" s="1" t="str">
        <f>IFERROR(INDEX('Input Contact Information'!$B$2:$B$200,MATCH(ROW()-1,'Input Contact Information'!$V$2:$V$200,0)),"")</f>
        <v>Baladna</v>
      </c>
      <c r="D34" s="1" t="str">
        <f>IF($B34="","",IF(W34="","",INDEX('Accounts Overview'!$A$2:$A$100,W34)))</f>
        <v>ACC0012</v>
      </c>
      <c r="E34" s="1" t="str">
        <f>IF($B34="","",IF(V34="","",IF(INDEX('Input Contact Information'!$D$2:$D$200,V34)="","",INDEX('Input Contact Information'!$D$2:$D$200,V34))))</f>
        <v>Vice President, Strategy</v>
      </c>
      <c r="F34" s="1" t="str">
        <f>IF($B34="","",IF(V34="","",IF(INDEX('Input Contact Information'!$F$2:$F$200,V34)="","",INDEX('Input Contact Information'!$F$2:$F$200,V34))))</f>
        <v>latifa.alshamlan@sample-12.example</v>
      </c>
      <c r="G34" s="1" t="str">
        <f>IF($B34="","",IF(V34="","",IF(INDEX('Input Contact Information'!$E$2:$E$200,V34)="","",INDEX('Input Contact Information'!$E$2:$E$200,V34))))</f>
        <v/>
      </c>
      <c r="H34" s="1" t="str">
        <f>IF($B34="","",IF(V34="","",IF(INDEX('Input Contact Information'!$G$2:$G$200,V34)="","",INDEX('Input Contact Information'!$G$2:$G$200,V34))))</f>
        <v/>
      </c>
      <c r="I34" s="1" t="str">
        <f>IF($B34="","",IF(V34="","",IF(INDEX('Input Contact Information'!$H$2:$H$200,V34)="","",INDEX('Input Contact Information'!$H$2:$H$200,V34))))</f>
        <v/>
      </c>
      <c r="J34" s="1" t="str">
        <f>IF($B34="","",IF(V34="","",IF(INDEX('Input Contact Information'!$I$2:$I$200,V34)="","",INDEX('Input Contact Information'!$I$2:$I$200,V34))))</f>
        <v>Email</v>
      </c>
      <c r="K34" s="1" t="str">
        <f>IF($B34="","",IF(V34="","",IF(INDEX('Input Contact Information'!$A$2:$A$200,V34)="","",INDEX('Input Contact Information'!$A$2:$A$200,V34))))</f>
        <v>Riccardo Terruzzi</v>
      </c>
      <c r="L34" s="1" t="str">
        <f>IF($B34="","",IF(W34="","",IF(INDEX('Accounts Overview'!$I$2:$I$100,W34)="","",INDEX('Accounts Overview'!$I$2:$I$100,W34))))</f>
        <v>Shantanu Mittal</v>
      </c>
      <c r="M34" s="1" t="str">
        <f>IF($B34="","",IF(V34="","",IF(INDEX('Input Contact Information'!$J$2:$J$200,V34)="","",INDEX('Input Contact Information'!$J$2:$J$200,V34))))</f>
        <v>Medium</v>
      </c>
      <c r="N34" s="1" t="str">
        <f>IF($B34="","",IF(V34="","",IF(INDEX('Input Contact Information'!$K$2:$K$200,V34)="","",INDEX('Input Contact Information'!$K$2:$K$200,V34))))</f>
        <v>Low</v>
      </c>
      <c r="O34" s="1" t="str">
        <f>IF($B34="","",IF(V34="","",IF(INDEX('Input Contact Information'!$L$2:$L$200,V34)="","",INDEX('Input Contact Information'!$L$2:$L$200,V34))))</f>
        <v>Low</v>
      </c>
      <c r="P34" s="1" t="str">
        <f>IF($B34="","",IF((IF(V34="","",IF(INDEX('Input Contact Information'!$N$2:$N$200,V34)="","",INDEX('Input Contact Information'!$N$2:$N$200,V34))))&lt;&gt;"",IF(V34="","",IF(INDEX('Input Contact Information'!$N$2:$N$200,V34)="","",INDEX('Input Contact Information'!$N$2:$N$200,V34))),IF(V34="","",IF(INDEX('Input Contact Information'!$M$2:$M$200,V34)="","",INDEX('Input Contact Information'!$M$2:$M$200,V34)))))</f>
        <v>Tier 3</v>
      </c>
      <c r="Q34" s="1" t="str">
        <f t="shared" ref="Q34:Q65" si="3">IF($B34="","",IF(P34="","",IF(P34="Tier 1","Monthly",IF(P34="Tier 2","Quarterly","Semi-annually"))))</f>
        <v>Semi-annually</v>
      </c>
      <c r="R34" s="1" t="str">
        <f ca="1">IF($B34="","",IF(X34="","",IF(INDEX('Engagements Overview'!$I$2:$I$200,X34)="","",INDEX('Engagements Overview'!$I$2:$I$200,X34))))</f>
        <v>On Track</v>
      </c>
      <c r="S34" s="14">
        <f ca="1">IF($B34="","",IF(X34="","",IF(INDEX('Engagements Overview'!$K$2:$K$200,X34)="","",INDEX('Engagements Overview'!$K$2:$K$200,X34))))</f>
        <v>157</v>
      </c>
      <c r="T34" s="1" t="str">
        <f>IF($B34="","",IF(V34="","",IF(INDEX('Input Contact Information'!$O$2:$O$200,V34)="","",INDEX('Input Contact Information'!$O$2:$O$200,V34))))</f>
        <v>Regional growth — interested in market expansion across the GCC; Food-sector strategy — interested in food security and scaling consumer brands.</v>
      </c>
      <c r="U34" s="1" t="str">
        <f>IF($B34="","",IF(V34="","",IF(INDEX('Input Contact Information'!$P$2:$P$200,V34)="","",INDEX('Input Contact Information'!$P$2:$P$200,V34))))</f>
        <v>Football — follows major competitions; Travel — enjoys trips linked to events, culture and new destinations.</v>
      </c>
      <c r="V34" s="1">
        <f>IF(B34="","",IFERROR(MATCH(B34&amp;"|"&amp;C34,'Input Contact Information'!$W$2:$W$200,0),""))</f>
        <v>33</v>
      </c>
      <c r="W34" s="1">
        <f>IF(C34="","",IFERROR(MATCH(C34,'Accounts Overview'!$B$2:$B$100,0),""))</f>
        <v>12</v>
      </c>
      <c r="X34" s="1">
        <f>IF(A34="","",IFERROR(MATCH(A34,'Engagements Overview'!$B$2:$B$200,0),""))</f>
        <v>33</v>
      </c>
    </row>
    <row r="35" spans="1:24" ht="15" customHeight="1" x14ac:dyDescent="0.35">
      <c r="A35" s="13" t="str">
        <f t="shared" si="2"/>
        <v>CON0034</v>
      </c>
      <c r="B35" s="1" t="str">
        <f>IFERROR(INDEX('Input Contact Information'!$C$2:$C$200,MATCH(ROW()-1,'Input Contact Information'!$V$2:$V$200,0)),"")</f>
        <v>Mansour Al Dehaimi</v>
      </c>
      <c r="C35" s="1" t="str">
        <f>IFERROR(INDEX('Input Contact Information'!$B$2:$B$200,MATCH(ROW()-1,'Input Contact Information'!$V$2:$V$200,0)),"")</f>
        <v>Baladna</v>
      </c>
      <c r="D35" s="1" t="str">
        <f>IF($B35="","",IF(W35="","",INDEX('Accounts Overview'!$A$2:$A$100,W35)))</f>
        <v>ACC0012</v>
      </c>
      <c r="E35" s="1" t="str">
        <f>IF($B35="","",IF(V35="","",IF(INDEX('Input Contact Information'!$D$2:$D$200,V35)="","",INDEX('Input Contact Information'!$D$2:$D$200,V35))))</f>
        <v>Director, Transformation</v>
      </c>
      <c r="F35" s="1" t="str">
        <f>IF($B35="","",IF(V35="","",IF(INDEX('Input Contact Information'!$F$2:$F$200,V35)="","",INDEX('Input Contact Information'!$F$2:$F$200,V35))))</f>
        <v>mansour.aldehaimi@sample-12.example</v>
      </c>
      <c r="G35" s="1" t="str">
        <f>IF($B35="","",IF(V35="","",IF(INDEX('Input Contact Information'!$E$2:$E$200,V35)="","",INDEX('Input Contact Information'!$E$2:$E$200,V35))))</f>
        <v/>
      </c>
      <c r="H35" s="1" t="str">
        <f>IF($B35="","",IF(V35="","",IF(INDEX('Input Contact Information'!$G$2:$G$200,V35)="","",INDEX('Input Contact Information'!$G$2:$G$200,V35))))</f>
        <v/>
      </c>
      <c r="I35" s="1" t="str">
        <f>IF($B35="","",IF(V35="","",IF(INDEX('Input Contact Information'!$H$2:$H$200,V35)="","",INDEX('Input Contact Information'!$H$2:$H$200,V35))))</f>
        <v/>
      </c>
      <c r="J35" s="1" t="str">
        <f>IF($B35="","",IF(V35="","",IF(INDEX('Input Contact Information'!$I$2:$I$200,V35)="","",INDEX('Input Contact Information'!$I$2:$I$200,V35))))</f>
        <v>Email</v>
      </c>
      <c r="K35" s="1" t="str">
        <f>IF($B35="","",IF(V35="","",IF(INDEX('Input Contact Information'!$A$2:$A$200,V35)="","",INDEX('Input Contact Information'!$A$2:$A$200,V35))))</f>
        <v>Riccardo Terruzzi</v>
      </c>
      <c r="L35" s="1" t="str">
        <f>IF($B35="","",IF(W35="","",IF(INDEX('Accounts Overview'!$I$2:$I$100,W35)="","",INDEX('Accounts Overview'!$I$2:$I$100,W35))))</f>
        <v>Shantanu Mittal</v>
      </c>
      <c r="M35" s="1" t="str">
        <f>IF($B35="","",IF(V35="","",IF(INDEX('Input Contact Information'!$J$2:$J$200,V35)="","",INDEX('Input Contact Information'!$J$2:$J$200,V35))))</f>
        <v>Medium</v>
      </c>
      <c r="N35" s="1" t="str">
        <f>IF($B35="","",IF(V35="","",IF(INDEX('Input Contact Information'!$K$2:$K$200,V35)="","",INDEX('Input Contact Information'!$K$2:$K$200,V35))))</f>
        <v>Low</v>
      </c>
      <c r="O35" s="1" t="str">
        <f>IF($B35="","",IF(V35="","",IF(INDEX('Input Contact Information'!$L$2:$L$200,V35)="","",INDEX('Input Contact Information'!$L$2:$L$200,V35))))</f>
        <v>Low</v>
      </c>
      <c r="P35" s="1" t="str">
        <f>IF($B35="","",IF((IF(V35="","",IF(INDEX('Input Contact Information'!$N$2:$N$200,V35)="","",INDEX('Input Contact Information'!$N$2:$N$200,V35))))&lt;&gt;"",IF(V35="","",IF(INDEX('Input Contact Information'!$N$2:$N$200,V35)="","",INDEX('Input Contact Information'!$N$2:$N$200,V35))),IF(V35="","",IF(INDEX('Input Contact Information'!$M$2:$M$200,V35)="","",INDEX('Input Contact Information'!$M$2:$M$200,V35)))))</f>
        <v>Tier 3</v>
      </c>
      <c r="Q35" s="1" t="str">
        <f t="shared" si="3"/>
        <v>Semi-annually</v>
      </c>
      <c r="R35" s="1" t="str">
        <f ca="1">IF($B35="","",IF(X35="","",IF(INDEX('Engagements Overview'!$I$2:$I$200,X35)="","",INDEX('Engagements Overview'!$I$2:$I$200,X35))))</f>
        <v>For Review</v>
      </c>
      <c r="S35" s="14">
        <f ca="1">IF($B35="","",IF(X35="","",IF(INDEX('Engagements Overview'!$K$2:$K$200,X35)="","",INDEX('Engagements Overview'!$K$2:$K$200,X35))))</f>
        <v>317</v>
      </c>
      <c r="T35" s="1" t="str">
        <f>IF($B35="","",IF(V35="","",IF(INDEX('Input Contact Information'!$O$2:$O$200,V35)="","",INDEX('Input Contact Information'!$O$2:$O$200,V35))))</f>
        <v>Food security — interested in resilient local supply; Consumer growth — interested in brand building and expanding dairy and food propositions.</v>
      </c>
      <c r="U35" s="1" t="str">
        <f>IF($B35="","",IF(V35="","",IF(INDEX('Input Contact Information'!$P$2:$P$200,V35)="","",INDEX('Input Contact Information'!$P$2:$P$200,V35))))</f>
        <v>Cooking — enjoys food and healthy recipes; Wellness — interested in practical fitness and wellbeing.</v>
      </c>
      <c r="V35" s="1">
        <f>IF(B35="","",IFERROR(MATCH(B35&amp;"|"&amp;C35,'Input Contact Information'!$W$2:$W$200,0),""))</f>
        <v>34</v>
      </c>
      <c r="W35" s="1">
        <f>IF(C35="","",IFERROR(MATCH(C35,'Accounts Overview'!$B$2:$B$100,0),""))</f>
        <v>12</v>
      </c>
      <c r="X35" s="1">
        <f>IF(A35="","",IFERROR(MATCH(A35,'Engagements Overview'!$B$2:$B$200,0),""))</f>
        <v>34</v>
      </c>
    </row>
    <row r="36" spans="1:24" ht="15" customHeight="1" x14ac:dyDescent="0.35">
      <c r="A36" s="13" t="str">
        <f t="shared" si="2"/>
        <v>CON0035</v>
      </c>
      <c r="B36" s="1" t="str">
        <f>IFERROR(INDEX('Input Contact Information'!$C$2:$C$200,MATCH(ROW()-1,'Input Contact Information'!$V$2:$V$200,0)),"")</f>
        <v>Meirah Al Obaidly</v>
      </c>
      <c r="C36" s="1" t="str">
        <f>IFERROR(INDEX('Input Contact Information'!$B$2:$B$200,MATCH(ROW()-1,'Input Contact Information'!$V$2:$V$200,0)),"")</f>
        <v>Baladna</v>
      </c>
      <c r="D36" s="1" t="str">
        <f>IF($B36="","",IF(W36="","",INDEX('Accounts Overview'!$A$2:$A$100,W36)))</f>
        <v>ACC0012</v>
      </c>
      <c r="E36" s="1" t="str">
        <f>IF($B36="","",IF(V36="","",IF(INDEX('Input Contact Information'!$D$2:$D$200,V36)="","",INDEX('Input Contact Information'!$D$2:$D$200,V36))))</f>
        <v>Senior Manager, Strategy</v>
      </c>
      <c r="F36" s="1" t="str">
        <f>IF($B36="","",IF(V36="","",IF(INDEX('Input Contact Information'!$F$2:$F$200,V36)="","",INDEX('Input Contact Information'!$F$2:$F$200,V36))))</f>
        <v>meirah.alobaidly@sample-12.example</v>
      </c>
      <c r="G36" s="1" t="str">
        <f>IF($B36="","",IF(V36="","",IF(INDEX('Input Contact Information'!$E$2:$E$200,V36)="","",INDEX('Input Contact Information'!$E$2:$E$200,V36))))</f>
        <v/>
      </c>
      <c r="H36" s="1" t="str">
        <f>IF($B36="","",IF(V36="","",IF(INDEX('Input Contact Information'!$G$2:$G$200,V36)="","",INDEX('Input Contact Information'!$G$2:$G$200,V36))))</f>
        <v/>
      </c>
      <c r="I36" s="1" t="str">
        <f>IF($B36="","",IF(V36="","",IF(INDEX('Input Contact Information'!$H$2:$H$200,V36)="","",INDEX('Input Contact Information'!$H$2:$H$200,V36))))</f>
        <v/>
      </c>
      <c r="J36" s="1" t="str">
        <f>IF($B36="","",IF(V36="","",IF(INDEX('Input Contact Information'!$I$2:$I$200,V36)="","",INDEX('Input Contact Information'!$I$2:$I$200,V36))))</f>
        <v>Email</v>
      </c>
      <c r="K36" s="1" t="str">
        <f>IF($B36="","",IF(V36="","",IF(INDEX('Input Contact Information'!$A$2:$A$200,V36)="","",INDEX('Input Contact Information'!$A$2:$A$200,V36))))</f>
        <v>Riccardo Terruzzi</v>
      </c>
      <c r="L36" s="1" t="str">
        <f>IF($B36="","",IF(W36="","",IF(INDEX('Accounts Overview'!$I$2:$I$100,W36)="","",INDEX('Accounts Overview'!$I$2:$I$100,W36))))</f>
        <v>Shantanu Mittal</v>
      </c>
      <c r="M36" s="1" t="str">
        <f>IF($B36="","",IF(V36="","",IF(INDEX('Input Contact Information'!$J$2:$J$200,V36)="","",INDEX('Input Contact Information'!$J$2:$J$200,V36))))</f>
        <v>Medium</v>
      </c>
      <c r="N36" s="1" t="str">
        <f>IF($B36="","",IF(V36="","",IF(INDEX('Input Contact Information'!$K$2:$K$200,V36)="","",INDEX('Input Contact Information'!$K$2:$K$200,V36))))</f>
        <v>Low</v>
      </c>
      <c r="O36" s="1" t="str">
        <f>IF($B36="","",IF(V36="","",IF(INDEX('Input Contact Information'!$L$2:$L$200,V36)="","",INDEX('Input Contact Information'!$L$2:$L$200,V36))))</f>
        <v>Low</v>
      </c>
      <c r="P36" s="1" t="str">
        <f>IF($B36="","",IF((IF(V36="","",IF(INDEX('Input Contact Information'!$N$2:$N$200,V36)="","",INDEX('Input Contact Information'!$N$2:$N$200,V36))))&lt;&gt;"",IF(V36="","",IF(INDEX('Input Contact Information'!$N$2:$N$200,V36)="","",INDEX('Input Contact Information'!$N$2:$N$200,V36))),IF(V36="","",IF(INDEX('Input Contact Information'!$M$2:$M$200,V36)="","",INDEX('Input Contact Information'!$M$2:$M$200,V36)))))</f>
        <v>Tier 3</v>
      </c>
      <c r="Q36" s="1" t="str">
        <f t="shared" si="3"/>
        <v>Semi-annually</v>
      </c>
      <c r="R36" s="1" t="str">
        <f ca="1">IF($B36="","",IF(X36="","",IF(INDEX('Engagements Overview'!$I$2:$I$200,X36)="","",INDEX('Engagements Overview'!$I$2:$I$200,X36))))</f>
        <v>Overdue</v>
      </c>
      <c r="S36" s="14">
        <f ca="1">IF($B36="","",IF(X36="","",IF(INDEX('Engagements Overview'!$K$2:$K$200,X36)="","",INDEX('Engagements Overview'!$K$2:$K$200,X36))))</f>
        <v>487</v>
      </c>
      <c r="T36" s="1" t="str">
        <f>IF($B36="","",IF(V36="","",IF(INDEX('Input Contact Information'!$O$2:$O$200,V36)="","",INDEX('Input Contact Information'!$O$2:$O$200,V36))))</f>
        <v>Supply-chain transformation — interested in availability, forecasting and supply performance; Digital commerce — interested in direct-to-consumer growth in food and retail.</v>
      </c>
      <c r="U36" s="1" t="str">
        <f>IF($B36="","",IF(V36="","",IF(INDEX('Input Contact Information'!$P$2:$P$200,V36)="","",INDEX('Input Contact Information'!$P$2:$P$200,V36))))</f>
        <v>Running — enjoys recreational running; Photography — enjoys landscapes, city life and travel photography.</v>
      </c>
      <c r="V36" s="1">
        <f>IF(B36="","",IFERROR(MATCH(B36&amp;"|"&amp;C36,'Input Contact Information'!$W$2:$W$200,0),""))</f>
        <v>35</v>
      </c>
      <c r="W36" s="1">
        <f>IF(C36="","",IFERROR(MATCH(C36,'Accounts Overview'!$B$2:$B$100,0),""))</f>
        <v>12</v>
      </c>
      <c r="X36" s="1">
        <f>IF(A36="","",IFERROR(MATCH(A36,'Engagements Overview'!$B$2:$B$200,0),""))</f>
        <v>35</v>
      </c>
    </row>
    <row r="37" spans="1:24" ht="15" customHeight="1" x14ac:dyDescent="0.35">
      <c r="A37" s="13" t="str">
        <f t="shared" si="2"/>
        <v>CON0036</v>
      </c>
      <c r="B37" s="1" t="str">
        <f>IFERROR(INDEX('Input Contact Information'!$C$2:$C$200,MATCH(ROW()-1,'Input Contact Information'!$V$2:$V$200,0)),"")</f>
        <v>Khalifa Al Yafei</v>
      </c>
      <c r="C37" s="1" t="str">
        <f>IFERROR(INDEX('Input Contact Information'!$B$2:$B$200,MATCH(ROW()-1,'Input Contact Information'!$V$2:$V$200,0)),"")</f>
        <v>Emirates Group</v>
      </c>
      <c r="D37" s="1" t="str">
        <f>IF($B37="","",IF(W37="","",INDEX('Accounts Overview'!$A$2:$A$100,W37)))</f>
        <v>ACC0013</v>
      </c>
      <c r="E37" s="1" t="str">
        <f>IF($B37="","",IF(V37="","",IF(INDEX('Input Contact Information'!$D$2:$D$200,V37)="","",INDEX('Input Contact Information'!$D$2:$D$200,V37))))</f>
        <v>Senior Manager, Strategy</v>
      </c>
      <c r="F37" s="1" t="str">
        <f>IF($B37="","",IF(V37="","",IF(INDEX('Input Contact Information'!$F$2:$F$200,V37)="","",INDEX('Input Contact Information'!$F$2:$F$200,V37))))</f>
        <v>khalifa.alyafei@sample-13.example</v>
      </c>
      <c r="G37" s="1" t="str">
        <f>IF($B37="","",IF(V37="","",IF(INDEX('Input Contact Information'!$E$2:$E$200,V37)="","",INDEX('Input Contact Information'!$E$2:$E$200,V37))))</f>
        <v/>
      </c>
      <c r="H37" s="1" t="str">
        <f>IF($B37="","",IF(V37="","",IF(INDEX('Input Contact Information'!$G$2:$G$200,V37)="","",INDEX('Input Contact Information'!$G$2:$G$200,V37))))</f>
        <v/>
      </c>
      <c r="I37" s="1" t="str">
        <f>IF($B37="","",IF(V37="","",IF(INDEX('Input Contact Information'!$H$2:$H$200,V37)="","",INDEX('Input Contact Information'!$H$2:$H$200,V37))))</f>
        <v/>
      </c>
      <c r="J37" s="1" t="str">
        <f>IF($B37="","",IF(V37="","",IF(INDEX('Input Contact Information'!$I$2:$I$200,V37)="","",INDEX('Input Contact Information'!$I$2:$I$200,V37))))</f>
        <v>Email</v>
      </c>
      <c r="K37" s="1" t="str">
        <f>IF($B37="","",IF(V37="","",IF(INDEX('Input Contact Information'!$A$2:$A$200,V37)="","",INDEX('Input Contact Information'!$A$2:$A$200,V37))))</f>
        <v>Stanislav Gaiduk</v>
      </c>
      <c r="L37" s="1" t="str">
        <f>IF($B37="","",IF(W37="","",IF(INDEX('Accounts Overview'!$I$2:$I$100,W37)="","",INDEX('Accounts Overview'!$I$2:$I$100,W37))))</f>
        <v>Freddy Cabrera</v>
      </c>
      <c r="M37" s="1" t="str">
        <f>IF($B37="","",IF(V37="","",IF(INDEX('Input Contact Information'!$J$2:$J$200,V37)="","",INDEX('Input Contact Information'!$J$2:$J$200,V37))))</f>
        <v>Low</v>
      </c>
      <c r="N37" s="1" t="str">
        <f>IF($B37="","",IF(V37="","",IF(INDEX('Input Contact Information'!$K$2:$K$200,V37)="","",INDEX('Input Contact Information'!$K$2:$K$200,V37))))</f>
        <v>Medium</v>
      </c>
      <c r="O37" s="1" t="str">
        <f>IF($B37="","",IF(V37="","",IF(INDEX('Input Contact Information'!$L$2:$L$200,V37)="","",INDEX('Input Contact Information'!$L$2:$L$200,V37))))</f>
        <v>Low</v>
      </c>
      <c r="P37" s="1" t="str">
        <f>IF($B37="","",IF((IF(V37="","",IF(INDEX('Input Contact Information'!$N$2:$N$200,V37)="","",INDEX('Input Contact Information'!$N$2:$N$200,V37))))&lt;&gt;"",IF(V37="","",IF(INDEX('Input Contact Information'!$N$2:$N$200,V37)="","",INDEX('Input Contact Information'!$N$2:$N$200,V37))),IF(V37="","",IF(INDEX('Input Contact Information'!$M$2:$M$200,V37)="","",INDEX('Input Contact Information'!$M$2:$M$200,V37)))))</f>
        <v>Tier 3</v>
      </c>
      <c r="Q37" s="1" t="str">
        <f t="shared" si="3"/>
        <v>Semi-annually</v>
      </c>
      <c r="R37" s="1" t="str">
        <f ca="1">IF($B37="","",IF(X37="","",IF(INDEX('Engagements Overview'!$I$2:$I$200,X37)="","",INDEX('Engagements Overview'!$I$2:$I$200,X37))))</f>
        <v>On Track</v>
      </c>
      <c r="S37" s="14">
        <f ca="1">IF($B37="","",IF(X37="","",IF(INDEX('Engagements Overview'!$K$2:$K$200,X37)="","",INDEX('Engagements Overview'!$K$2:$K$200,X37))))</f>
        <v>157</v>
      </c>
      <c r="T37" s="1" t="str">
        <f>IF($B37="","",IF(V37="","",IF(INDEX('Input Contact Information'!$O$2:$O$200,V37)="","",INDEX('Input Contact Information'!$O$2:$O$200,V37))))</f>
        <v>Route-to-market — interested in stronger commercial channels and service consistency; Operational excellence — interested in productivity across complex aviation operations.</v>
      </c>
      <c r="U37" s="1" t="str">
        <f>IF($B37="","",IF(V37="","",IF(INDEX('Input Contact Information'!$P$2:$P$200,V37)="","",INDEX('Input Contact Information'!$P$2:$P$200,V37))))</f>
        <v>Football — follows major competitions; Travel — enjoys destinations with sporting or cultural appeal.</v>
      </c>
      <c r="V37" s="1">
        <f>IF(B37="","",IFERROR(MATCH(B37&amp;"|"&amp;C37,'Input Contact Information'!$W$2:$W$200,0),""))</f>
        <v>36</v>
      </c>
      <c r="W37" s="1">
        <f>IF(C37="","",IFERROR(MATCH(C37,'Accounts Overview'!$B$2:$B$100,0),""))</f>
        <v>13</v>
      </c>
      <c r="X37" s="1">
        <f>IF(A37="","",IFERROR(MATCH(A37,'Engagements Overview'!$B$2:$B$200,0),""))</f>
        <v>36</v>
      </c>
    </row>
    <row r="38" spans="1:24" ht="15" customHeight="1" x14ac:dyDescent="0.35">
      <c r="A38" s="13" t="str">
        <f t="shared" si="2"/>
        <v>CON0037</v>
      </c>
      <c r="B38" s="1" t="str">
        <f>IFERROR(INDEX('Input Contact Information'!$C$2:$C$200,MATCH(ROW()-1,'Input Contact Information'!$V$2:$V$200,0)),"")</f>
        <v>Wafa Al Humaid</v>
      </c>
      <c r="C38" s="1" t="str">
        <f>IFERROR(INDEX('Input Contact Information'!$B$2:$B$200,MATCH(ROW()-1,'Input Contact Information'!$V$2:$V$200,0)),"")</f>
        <v>Emirates Group</v>
      </c>
      <c r="D38" s="1" t="str">
        <f>IF($B38="","",IF(W38="","",INDEX('Accounts Overview'!$A$2:$A$100,W38)))</f>
        <v>ACC0013</v>
      </c>
      <c r="E38" s="1" t="str">
        <f>IF($B38="","",IF(V38="","",IF(INDEX('Input Contact Information'!$D$2:$D$200,V38)="","",INDEX('Input Contact Information'!$D$2:$D$200,V38))))</f>
        <v>Manager, Transformation</v>
      </c>
      <c r="F38" s="1" t="str">
        <f>IF($B38="","",IF(V38="","",IF(INDEX('Input Contact Information'!$F$2:$F$200,V38)="","",INDEX('Input Contact Information'!$F$2:$F$200,V38))))</f>
        <v>wafa.alhumaid@sample-13.example</v>
      </c>
      <c r="G38" s="1" t="str">
        <f>IF($B38="","",IF(V38="","",IF(INDEX('Input Contact Information'!$E$2:$E$200,V38)="","",INDEX('Input Contact Information'!$E$2:$E$200,V38))))</f>
        <v/>
      </c>
      <c r="H38" s="1" t="str">
        <f>IF($B38="","",IF(V38="","",IF(INDEX('Input Contact Information'!$G$2:$G$200,V38)="","",INDEX('Input Contact Information'!$G$2:$G$200,V38))))</f>
        <v/>
      </c>
      <c r="I38" s="1" t="str">
        <f>IF($B38="","",IF(V38="","",IF(INDEX('Input Contact Information'!$H$2:$H$200,V38)="","",INDEX('Input Contact Information'!$H$2:$H$200,V38))))</f>
        <v/>
      </c>
      <c r="J38" s="1" t="str">
        <f>IF($B38="","",IF(V38="","",IF(INDEX('Input Contact Information'!$I$2:$I$200,V38)="","",INDEX('Input Contact Information'!$I$2:$I$200,V38))))</f>
        <v>Email</v>
      </c>
      <c r="K38" s="1" t="str">
        <f>IF($B38="","",IF(V38="","",IF(INDEX('Input Contact Information'!$A$2:$A$200,V38)="","",INDEX('Input Contact Information'!$A$2:$A$200,V38))))</f>
        <v>Stanislav Gaiduk</v>
      </c>
      <c r="L38" s="1" t="str">
        <f>IF($B38="","",IF(W38="","",IF(INDEX('Accounts Overview'!$I$2:$I$100,W38)="","",INDEX('Accounts Overview'!$I$2:$I$100,W38))))</f>
        <v>Freddy Cabrera</v>
      </c>
      <c r="M38" s="1" t="str">
        <f>IF($B38="","",IF(V38="","",IF(INDEX('Input Contact Information'!$J$2:$J$200,V38)="","",INDEX('Input Contact Information'!$J$2:$J$200,V38))))</f>
        <v>Low</v>
      </c>
      <c r="N38" s="1" t="str">
        <f>IF($B38="","",IF(V38="","",IF(INDEX('Input Contact Information'!$K$2:$K$200,V38)="","",INDEX('Input Contact Information'!$K$2:$K$200,V38))))</f>
        <v>Low</v>
      </c>
      <c r="O38" s="1" t="str">
        <f>IF($B38="","",IF(V38="","",IF(INDEX('Input Contact Information'!$L$2:$L$200,V38)="","",INDEX('Input Contact Information'!$L$2:$L$200,V38))))</f>
        <v>Low</v>
      </c>
      <c r="P38" s="1" t="str">
        <f>IF($B38="","",IF((IF(V38="","",IF(INDEX('Input Contact Information'!$N$2:$N$200,V38)="","",INDEX('Input Contact Information'!$N$2:$N$200,V38))))&lt;&gt;"",IF(V38="","",IF(INDEX('Input Contact Information'!$N$2:$N$200,V38)="","",INDEX('Input Contact Information'!$N$2:$N$200,V38))),IF(V38="","",IF(INDEX('Input Contact Information'!$M$2:$M$200,V38)="","",INDEX('Input Contact Information'!$M$2:$M$200,V38)))))</f>
        <v>Tier 3</v>
      </c>
      <c r="Q38" s="1" t="str">
        <f t="shared" si="3"/>
        <v>Semi-annually</v>
      </c>
      <c r="R38" s="1" t="str">
        <f ca="1">IF($B38="","",IF(X38="","",IF(INDEX('Engagements Overview'!$I$2:$I$200,X38)="","",INDEX('Engagements Overview'!$I$2:$I$200,X38))))</f>
        <v>For Review</v>
      </c>
      <c r="S38" s="14">
        <f ca="1">IF($B38="","",IF(X38="","",IF(INDEX('Engagements Overview'!$K$2:$K$200,X38)="","",INDEX('Engagements Overview'!$K$2:$K$200,X38))))</f>
        <v>317</v>
      </c>
      <c r="T38" s="1" t="str">
        <f>IF($B38="","",IF(V38="","",IF(INDEX('Input Contact Information'!$O$2:$O$200,V38)="","",INDEX('Input Contact Information'!$O$2:$O$200,V38))))</f>
        <v>Aviation sustainability — interested in lower-carbon flying; Network planning — interested in route economics and balancing growth with environmental goals.</v>
      </c>
      <c r="U38" s="1" t="str">
        <f>IF($B38="","",IF(V38="","",IF(INDEX('Input Contact Information'!$P$2:$P$200,V38)="","",INDEX('Input Contact Information'!$P$2:$P$200,V38))))</f>
        <v>Tennis — follows major events; Travel — enjoys trips connected to culture, food or live sport.</v>
      </c>
      <c r="V38" s="1">
        <f>IF(B38="","",IFERROR(MATCH(B38&amp;"|"&amp;C38,'Input Contact Information'!$W$2:$W$200,0),""))</f>
        <v>37</v>
      </c>
      <c r="W38" s="1">
        <f>IF(C38="","",IFERROR(MATCH(C38,'Accounts Overview'!$B$2:$B$100,0),""))</f>
        <v>13</v>
      </c>
      <c r="X38" s="1">
        <f>IF(A38="","",IFERROR(MATCH(A38,'Engagements Overview'!$B$2:$B$200,0),""))</f>
        <v>37</v>
      </c>
    </row>
    <row r="39" spans="1:24" ht="15" customHeight="1" x14ac:dyDescent="0.35">
      <c r="A39" s="13" t="str">
        <f t="shared" si="2"/>
        <v>CON0038</v>
      </c>
      <c r="B39" s="1" t="str">
        <f>IFERROR(INDEX('Input Contact Information'!$C$2:$C$200,MATCH(ROW()-1,'Input Contact Information'!$V$2:$V$200,0)),"")</f>
        <v>Nasser Al Khaldi</v>
      </c>
      <c r="C39" s="1" t="str">
        <f>IFERROR(INDEX('Input Contact Information'!$B$2:$B$200,MATCH(ROW()-1,'Input Contact Information'!$V$2:$V$200,0)),"")</f>
        <v>Emirates Group</v>
      </c>
      <c r="D39" s="1" t="str">
        <f>IF($B39="","",IF(W39="","",INDEX('Accounts Overview'!$A$2:$A$100,W39)))</f>
        <v>ACC0013</v>
      </c>
      <c r="E39" s="1" t="str">
        <f>IF($B39="","",IF(V39="","",IF(INDEX('Input Contact Information'!$D$2:$D$200,V39)="","",INDEX('Input Contact Information'!$D$2:$D$200,V39))))</f>
        <v>Program Manager</v>
      </c>
      <c r="F39" s="1" t="str">
        <f>IF($B39="","",IF(V39="","",IF(INDEX('Input Contact Information'!$F$2:$F$200,V39)="","",INDEX('Input Contact Information'!$F$2:$F$200,V39))))</f>
        <v>nasser.alkhaldi@sample-13.example</v>
      </c>
      <c r="G39" s="1" t="str">
        <f>IF($B39="","",IF(V39="","",IF(INDEX('Input Contact Information'!$E$2:$E$200,V39)="","",INDEX('Input Contact Information'!$E$2:$E$200,V39))))</f>
        <v/>
      </c>
      <c r="H39" s="1" t="str">
        <f>IF($B39="","",IF(V39="","",IF(INDEX('Input Contact Information'!$G$2:$G$200,V39)="","",INDEX('Input Contact Information'!$G$2:$G$200,V39))))</f>
        <v/>
      </c>
      <c r="I39" s="1" t="str">
        <f>IF($B39="","",IF(V39="","",IF(INDEX('Input Contact Information'!$H$2:$H$200,V39)="","",INDEX('Input Contact Information'!$H$2:$H$200,V39))))</f>
        <v/>
      </c>
      <c r="J39" s="1" t="str">
        <f>IF($B39="","",IF(V39="","",IF(INDEX('Input Contact Information'!$I$2:$I$200,V39)="","",INDEX('Input Contact Information'!$I$2:$I$200,V39))))</f>
        <v>Email</v>
      </c>
      <c r="K39" s="1" t="str">
        <f>IF($B39="","",IF(V39="","",IF(INDEX('Input Contact Information'!$A$2:$A$200,V39)="","",INDEX('Input Contact Information'!$A$2:$A$200,V39))))</f>
        <v>Stanislav Gaiduk</v>
      </c>
      <c r="L39" s="1" t="str">
        <f>IF($B39="","",IF(W39="","",IF(INDEX('Accounts Overview'!$I$2:$I$100,W39)="","",INDEX('Accounts Overview'!$I$2:$I$100,W39))))</f>
        <v>Freddy Cabrera</v>
      </c>
      <c r="M39" s="1" t="str">
        <f>IF($B39="","",IF(V39="","",IF(INDEX('Input Contact Information'!$J$2:$J$200,V39)="","",INDEX('Input Contact Information'!$J$2:$J$200,V39))))</f>
        <v>Low</v>
      </c>
      <c r="N39" s="1" t="str">
        <f>IF($B39="","",IF(V39="","",IF(INDEX('Input Contact Information'!$K$2:$K$200,V39)="","",INDEX('Input Contact Information'!$K$2:$K$200,V39))))</f>
        <v>Low</v>
      </c>
      <c r="O39" s="1" t="str">
        <f>IF($B39="","",IF(V39="","",IF(INDEX('Input Contact Information'!$L$2:$L$200,V39)="","",INDEX('Input Contact Information'!$L$2:$L$200,V39))))</f>
        <v>Low</v>
      </c>
      <c r="P39" s="1" t="str">
        <f>IF($B39="","",IF((IF(V39="","",IF(INDEX('Input Contact Information'!$N$2:$N$200,V39)="","",INDEX('Input Contact Information'!$N$2:$N$200,V39))))&lt;&gt;"",IF(V39="","",IF(INDEX('Input Contact Information'!$N$2:$N$200,V39)="","",INDEX('Input Contact Information'!$N$2:$N$200,V39))),IF(V39="","",IF(INDEX('Input Contact Information'!$M$2:$M$200,V39)="","",INDEX('Input Contact Information'!$M$2:$M$200,V39)))))</f>
        <v>Tier 3</v>
      </c>
      <c r="Q39" s="1" t="str">
        <f t="shared" si="3"/>
        <v>Semi-annually</v>
      </c>
      <c r="R39" s="1" t="str">
        <f ca="1">IF($B39="","",IF(X39="","",IF(INDEX('Engagements Overview'!$I$2:$I$200,X39)="","",INDEX('Engagements Overview'!$I$2:$I$200,X39))))</f>
        <v>Overdue</v>
      </c>
      <c r="S39" s="14">
        <f ca="1">IF($B39="","",IF(X39="","",IF(INDEX('Engagements Overview'!$K$2:$K$200,X39)="","",INDEX('Engagements Overview'!$K$2:$K$200,X39))))</f>
        <v>487</v>
      </c>
      <c r="T39" s="1" t="str">
        <f>IF($B39="","",IF(V39="","",IF(INDEX('Input Contact Information'!$O$2:$O$200,V39)="","",INDEX('Input Contact Information'!$O$2:$O$200,V39))))</f>
        <v>Digital transformation — interested in using technology and data to improve travel; Customer experience — interested in loyalty and simpler passenger journeys.</v>
      </c>
      <c r="U39" s="1" t="str">
        <f>IF($B39="","",IF(V39="","",IF(INDEX('Input Contact Information'!$P$2:$P$200,V39)="","",INDEX('Input Contact Information'!$P$2:$P$200,V39))))</f>
        <v>Cycling — enjoys cycling; Technology — follows mobility, wearables and consumer technology.</v>
      </c>
      <c r="V39" s="1">
        <f>IF(B39="","",IFERROR(MATCH(B39&amp;"|"&amp;C39,'Input Contact Information'!$W$2:$W$200,0),""))</f>
        <v>38</v>
      </c>
      <c r="W39" s="1">
        <f>IF(C39="","",IFERROR(MATCH(C39,'Accounts Overview'!$B$2:$B$100,0),""))</f>
        <v>13</v>
      </c>
      <c r="X39" s="1">
        <f>IF(A39="","",IFERROR(MATCH(A39,'Engagements Overview'!$B$2:$B$200,0),""))</f>
        <v>38</v>
      </c>
    </row>
    <row r="40" spans="1:24" ht="15" customHeight="1" x14ac:dyDescent="0.35">
      <c r="A40" s="13" t="str">
        <f t="shared" si="2"/>
        <v>CON0039</v>
      </c>
      <c r="B40" s="1" t="str">
        <f>IFERROR(INDEX('Input Contact Information'!$C$2:$C$200,MATCH(ROW()-1,'Input Contact Information'!$V$2:$V$200,0)),"")</f>
        <v>Asma Al Buainain</v>
      </c>
      <c r="C40" s="1" t="str">
        <f>IFERROR(INDEX('Input Contact Information'!$B$2:$B$200,MATCH(ROW()-1,'Input Contact Information'!$V$2:$V$200,0)),"")</f>
        <v>DP World</v>
      </c>
      <c r="D40" s="1" t="str">
        <f>IF($B40="","",IF(W40="","",INDEX('Accounts Overview'!$A$2:$A$100,W40)))</f>
        <v>ACC0014</v>
      </c>
      <c r="E40" s="1" t="str">
        <f>IF($B40="","",IF(V40="","",IF(INDEX('Input Contact Information'!$D$2:$D$200,V40)="","",INDEX('Input Contact Information'!$D$2:$D$200,V40))))</f>
        <v>Senior Manager, Strategy</v>
      </c>
      <c r="F40" s="1" t="str">
        <f>IF($B40="","",IF(V40="","",IF(INDEX('Input Contact Information'!$F$2:$F$200,V40)="","",INDEX('Input Contact Information'!$F$2:$F$200,V40))))</f>
        <v>asma.albuainain@sample-14.example</v>
      </c>
      <c r="G40" s="1" t="str">
        <f>IF($B40="","",IF(V40="","",IF(INDEX('Input Contact Information'!$E$2:$E$200,V40)="","",INDEX('Input Contact Information'!$E$2:$E$200,V40))))</f>
        <v/>
      </c>
      <c r="H40" s="1" t="str">
        <f>IF($B40="","",IF(V40="","",IF(INDEX('Input Contact Information'!$G$2:$G$200,V40)="","",INDEX('Input Contact Information'!$G$2:$G$200,V40))))</f>
        <v/>
      </c>
      <c r="I40" s="1" t="str">
        <f>IF($B40="","",IF(V40="","",IF(INDEX('Input Contact Information'!$H$2:$H$200,V40)="","",INDEX('Input Contact Information'!$H$2:$H$200,V40))))</f>
        <v/>
      </c>
      <c r="J40" s="1" t="str">
        <f>IF($B40="","",IF(V40="","",IF(INDEX('Input Contact Information'!$I$2:$I$200,V40)="","",INDEX('Input Contact Information'!$I$2:$I$200,V40))))</f>
        <v>Email</v>
      </c>
      <c r="K40" s="1" t="str">
        <f>IF($B40="","",IF(V40="","",IF(INDEX('Input Contact Information'!$A$2:$A$200,V40)="","",INDEX('Input Contact Information'!$A$2:$A$200,V40))))</f>
        <v>Badaoui Saroufim</v>
      </c>
      <c r="L40" s="1" t="str">
        <f>IF($B40="","",IF(W40="","",IF(INDEX('Accounts Overview'!$I$2:$I$100,W40)="","",INDEX('Accounts Overview'!$I$2:$I$100,W40))))</f>
        <v>Mark Jreissaty</v>
      </c>
      <c r="M40" s="1" t="str">
        <f>IF($B40="","",IF(V40="","",IF(INDEX('Input Contact Information'!$J$2:$J$200,V40)="","",INDEX('Input Contact Information'!$J$2:$J$200,V40))))</f>
        <v>Low</v>
      </c>
      <c r="N40" s="1" t="str">
        <f>IF($B40="","",IF(V40="","",IF(INDEX('Input Contact Information'!$K$2:$K$200,V40)="","",INDEX('Input Contact Information'!$K$2:$K$200,V40))))</f>
        <v>Low</v>
      </c>
      <c r="O40" s="1" t="str">
        <f>IF($B40="","",IF(V40="","",IF(INDEX('Input Contact Information'!$L$2:$L$200,V40)="","",INDEX('Input Contact Information'!$L$2:$L$200,V40))))</f>
        <v>Medium</v>
      </c>
      <c r="P40" s="1" t="str">
        <f>IF($B40="","",IF((IF(V40="","",IF(INDEX('Input Contact Information'!$N$2:$N$200,V40)="","",INDEX('Input Contact Information'!$N$2:$N$200,V40))))&lt;&gt;"",IF(V40="","",IF(INDEX('Input Contact Information'!$N$2:$N$200,V40)="","",INDEX('Input Contact Information'!$N$2:$N$200,V40))),IF(V40="","",IF(INDEX('Input Contact Information'!$M$2:$M$200,V40)="","",INDEX('Input Contact Information'!$M$2:$M$200,V40)))))</f>
        <v>Tier 3</v>
      </c>
      <c r="Q40" s="1" t="str">
        <f t="shared" si="3"/>
        <v>Semi-annually</v>
      </c>
      <c r="R40" s="1" t="str">
        <f ca="1">IF($B40="","",IF(X40="","",IF(INDEX('Engagements Overview'!$I$2:$I$200,X40)="","",INDEX('Engagements Overview'!$I$2:$I$200,X40))))</f>
        <v>On Track</v>
      </c>
      <c r="S40" s="14">
        <f ca="1">IF($B40="","",IF(X40="","",IF(INDEX('Engagements Overview'!$K$2:$K$200,X40)="","",INDEX('Engagements Overview'!$K$2:$K$200,X40))))</f>
        <v>157</v>
      </c>
      <c r="T40" s="1" t="str">
        <f>IF($B40="","",IF(V40="","",IF(INDEX('Input Contact Information'!$O$2:$O$200,V40)="","",INDEX('Input Contact Information'!$O$2:$O$200,V40))))</f>
        <v>Program delivery — interested in executing large transformation programmes; Logistics operations — interested in improving end-to-end supply-chain performance.</v>
      </c>
      <c r="U40" s="1" t="str">
        <f>IF($B40="","",IF(V40="","",IF(INDEX('Input Contact Information'!$P$2:$P$200,V40)="","",INDEX('Input Contact Information'!$P$2:$P$200,V40))))</f>
        <v>Running — enjoys recreational running; Photography — enjoys urban, travel or event-based photography.</v>
      </c>
      <c r="V40" s="1">
        <f>IF(B40="","",IFERROR(MATCH(B40&amp;"|"&amp;C40,'Input Contact Information'!$W$2:$W$200,0),""))</f>
        <v>39</v>
      </c>
      <c r="W40" s="1">
        <f>IF(C40="","",IFERROR(MATCH(C40,'Accounts Overview'!$B$2:$B$100,0),""))</f>
        <v>14</v>
      </c>
      <c r="X40" s="1">
        <f>IF(A40="","",IFERROR(MATCH(A40,'Engagements Overview'!$B$2:$B$200,0),""))</f>
        <v>39</v>
      </c>
    </row>
    <row r="41" spans="1:24" ht="15" customHeight="1" x14ac:dyDescent="0.35">
      <c r="A41" s="13" t="str">
        <f t="shared" si="2"/>
        <v>CON0040</v>
      </c>
      <c r="B41" s="1" t="str">
        <f>IFERROR(INDEX('Input Contact Information'!$C$2:$C$200,MATCH(ROW()-1,'Input Contact Information'!$V$2:$V$200,0)),"")</f>
        <v>Turki Al Sowaidi</v>
      </c>
      <c r="C41" s="1" t="str">
        <f>IFERROR(INDEX('Input Contact Information'!$B$2:$B$200,MATCH(ROW()-1,'Input Contact Information'!$V$2:$V$200,0)),"")</f>
        <v>DP World</v>
      </c>
      <c r="D41" s="1" t="str">
        <f>IF($B41="","",IF(W41="","",INDEX('Accounts Overview'!$A$2:$A$100,W41)))</f>
        <v>ACC0014</v>
      </c>
      <c r="E41" s="1" t="str">
        <f>IF($B41="","",IF(V41="","",IF(INDEX('Input Contact Information'!$D$2:$D$200,V41)="","",INDEX('Input Contact Information'!$D$2:$D$200,V41))))</f>
        <v>Manager, Transformation</v>
      </c>
      <c r="F41" s="1" t="str">
        <f>IF($B41="","",IF(V41="","",IF(INDEX('Input Contact Information'!$F$2:$F$200,V41)="","",INDEX('Input Contact Information'!$F$2:$F$200,V41))))</f>
        <v>turki.alsowaidi@sample-14.example</v>
      </c>
      <c r="G41" s="1" t="str">
        <f>IF($B41="","",IF(V41="","",IF(INDEX('Input Contact Information'!$E$2:$E$200,V41)="","",INDEX('Input Contact Information'!$E$2:$E$200,V41))))</f>
        <v/>
      </c>
      <c r="H41" s="1" t="str">
        <f>IF($B41="","",IF(V41="","",IF(INDEX('Input Contact Information'!$G$2:$G$200,V41)="","",INDEX('Input Contact Information'!$G$2:$G$200,V41))))</f>
        <v/>
      </c>
      <c r="I41" s="1" t="str">
        <f>IF($B41="","",IF(V41="","",IF(INDEX('Input Contact Information'!$H$2:$H$200,V41)="","",INDEX('Input Contact Information'!$H$2:$H$200,V41))))</f>
        <v/>
      </c>
      <c r="J41" s="1" t="str">
        <f>IF($B41="","",IF(V41="","",IF(INDEX('Input Contact Information'!$I$2:$I$200,V41)="","",INDEX('Input Contact Information'!$I$2:$I$200,V41))))</f>
        <v>Email</v>
      </c>
      <c r="K41" s="1" t="str">
        <f>IF($B41="","",IF(V41="","",IF(INDEX('Input Contact Information'!$A$2:$A$200,V41)="","",INDEX('Input Contact Information'!$A$2:$A$200,V41))))</f>
        <v>Badaoui Saroufim</v>
      </c>
      <c r="L41" s="1" t="str">
        <f>IF($B41="","",IF(W41="","",IF(INDEX('Accounts Overview'!$I$2:$I$100,W41)="","",INDEX('Accounts Overview'!$I$2:$I$100,W41))))</f>
        <v>Mark Jreissaty</v>
      </c>
      <c r="M41" s="1" t="str">
        <f>IF($B41="","",IF(V41="","",IF(INDEX('Input Contact Information'!$J$2:$J$200,V41)="","",INDEX('Input Contact Information'!$J$2:$J$200,V41))))</f>
        <v>Low</v>
      </c>
      <c r="N41" s="1" t="str">
        <f>IF($B41="","",IF(V41="","",IF(INDEX('Input Contact Information'!$K$2:$K$200,V41)="","",INDEX('Input Contact Information'!$K$2:$K$200,V41))))</f>
        <v>Low</v>
      </c>
      <c r="O41" s="1" t="str">
        <f>IF($B41="","",IF(V41="","",IF(INDEX('Input Contact Information'!$L$2:$L$200,V41)="","",INDEX('Input Contact Information'!$L$2:$L$200,V41))))</f>
        <v>Medium</v>
      </c>
      <c r="P41" s="1" t="str">
        <f>IF($B41="","",IF((IF(V41="","",IF(INDEX('Input Contact Information'!$N$2:$N$200,V41)="","",INDEX('Input Contact Information'!$N$2:$N$200,V41))))&lt;&gt;"",IF(V41="","",IF(INDEX('Input Contact Information'!$N$2:$N$200,V41)="","",INDEX('Input Contact Information'!$N$2:$N$200,V41))),IF(V41="","",IF(INDEX('Input Contact Information'!$M$2:$M$200,V41)="","",INDEX('Input Contact Information'!$M$2:$M$200,V41)))))</f>
        <v>Tier 3</v>
      </c>
      <c r="Q41" s="1" t="str">
        <f t="shared" si="3"/>
        <v>Semi-annually</v>
      </c>
      <c r="R41" s="1" t="str">
        <f ca="1">IF($B41="","",IF(X41="","",IF(INDEX('Engagements Overview'!$I$2:$I$200,X41)="","",INDEX('Engagements Overview'!$I$2:$I$200,X41))))</f>
        <v>For Review</v>
      </c>
      <c r="S41" s="14">
        <f ca="1">IF($B41="","",IF(X41="","",IF(INDEX('Engagements Overview'!$K$2:$K$200,X41)="","",INDEX('Engagements Overview'!$K$2:$K$200,X41))))</f>
        <v>317</v>
      </c>
      <c r="T41" s="1" t="str">
        <f>IF($B41="","",IF(V41="","",IF(INDEX('Input Contact Information'!$O$2:$O$200,V41)="","",INDEX('Input Contact Information'!$O$2:$O$200,V41))))</f>
        <v>Trade corridors — interested in shifts in global trade flows; Port operations — interested in port productivity and the competitiveness of regional logistics hubs.</v>
      </c>
      <c r="U41" s="1" t="str">
        <f>IF($B41="","",IF(V41="","",IF(INDEX('Input Contact Information'!$P$2:$P$200,V41)="","",INDEX('Input Contact Information'!$P$2:$P$200,V41))))</f>
        <v>Golf — follows the sport; Sailing — enjoys coastal destinations, marinas and sailing events.</v>
      </c>
      <c r="V41" s="1">
        <f>IF(B41="","",IFERROR(MATCH(B41&amp;"|"&amp;C41,'Input Contact Information'!$W$2:$W$200,0),""))</f>
        <v>40</v>
      </c>
      <c r="W41" s="1">
        <f>IF(C41="","",IFERROR(MATCH(C41,'Accounts Overview'!$B$2:$B$100,0),""))</f>
        <v>14</v>
      </c>
      <c r="X41" s="1">
        <f>IF(A41="","",IFERROR(MATCH(A41,'Engagements Overview'!$B$2:$B$200,0),""))</f>
        <v>40</v>
      </c>
    </row>
    <row r="42" spans="1:24" ht="15" customHeight="1" x14ac:dyDescent="0.35">
      <c r="A42" s="13" t="str">
        <f t="shared" si="2"/>
        <v>CON0041</v>
      </c>
      <c r="B42" s="1" t="str">
        <f>IFERROR(INDEX('Input Contact Information'!$C$2:$C$200,MATCH(ROW()-1,'Input Contact Information'!$V$2:$V$200,0)),"")</f>
        <v>Amna Al Kaldi</v>
      </c>
      <c r="C42" s="1" t="str">
        <f>IFERROR(INDEX('Input Contact Information'!$B$2:$B$200,MATCH(ROW()-1,'Input Contact Information'!$V$2:$V$200,0)),"")</f>
        <v>DP World</v>
      </c>
      <c r="D42" s="1" t="str">
        <f>IF($B42="","",IF(W42="","",INDEX('Accounts Overview'!$A$2:$A$100,W42)))</f>
        <v>ACC0014</v>
      </c>
      <c r="E42" s="1" t="str">
        <f>IF($B42="","",IF(V42="","",IF(INDEX('Input Contact Information'!$D$2:$D$200,V42)="","",INDEX('Input Contact Information'!$D$2:$D$200,V42))))</f>
        <v>Program Manager</v>
      </c>
      <c r="F42" s="1" t="str">
        <f>IF($B42="","",IF(V42="","",IF(INDEX('Input Contact Information'!$F$2:$F$200,V42)="","",INDEX('Input Contact Information'!$F$2:$F$200,V42))))</f>
        <v>amna.alkaldi@sample-14.example</v>
      </c>
      <c r="G42" s="1" t="str">
        <f>IF($B42="","",IF(V42="","",IF(INDEX('Input Contact Information'!$E$2:$E$200,V42)="","",INDEX('Input Contact Information'!$E$2:$E$200,V42))))</f>
        <v/>
      </c>
      <c r="H42" s="1" t="str">
        <f>IF($B42="","",IF(V42="","",IF(INDEX('Input Contact Information'!$G$2:$G$200,V42)="","",INDEX('Input Contact Information'!$G$2:$G$200,V42))))</f>
        <v/>
      </c>
      <c r="I42" s="1" t="str">
        <f>IF($B42="","",IF(V42="","",IF(INDEX('Input Contact Information'!$H$2:$H$200,V42)="","",INDEX('Input Contact Information'!$H$2:$H$200,V42))))</f>
        <v/>
      </c>
      <c r="J42" s="1" t="str">
        <f>IF($B42="","",IF(V42="","",IF(INDEX('Input Contact Information'!$I$2:$I$200,V42)="","",INDEX('Input Contact Information'!$I$2:$I$200,V42))))</f>
        <v>Email</v>
      </c>
      <c r="K42" s="1" t="str">
        <f>IF($B42="","",IF(V42="","",IF(INDEX('Input Contact Information'!$A$2:$A$200,V42)="","",INDEX('Input Contact Information'!$A$2:$A$200,V42))))</f>
        <v>Badaoui Saroufim</v>
      </c>
      <c r="L42" s="1" t="str">
        <f>IF($B42="","",IF(W42="","",IF(INDEX('Accounts Overview'!$I$2:$I$100,W42)="","",INDEX('Accounts Overview'!$I$2:$I$100,W42))))</f>
        <v>Mark Jreissaty</v>
      </c>
      <c r="M42" s="1" t="str">
        <f>IF($B42="","",IF(V42="","",IF(INDEX('Input Contact Information'!$J$2:$J$200,V42)="","",INDEX('Input Contact Information'!$J$2:$J$200,V42))))</f>
        <v>Low</v>
      </c>
      <c r="N42" s="1" t="str">
        <f>IF($B42="","",IF(V42="","",IF(INDEX('Input Contact Information'!$K$2:$K$200,V42)="","",INDEX('Input Contact Information'!$K$2:$K$200,V42))))</f>
        <v>Low</v>
      </c>
      <c r="O42" s="1" t="str">
        <f>IF($B42="","",IF(V42="","",IF(INDEX('Input Contact Information'!$L$2:$L$200,V42)="","",INDEX('Input Contact Information'!$L$2:$L$200,V42))))</f>
        <v>Medium</v>
      </c>
      <c r="P42" s="1" t="str">
        <f>IF($B42="","",IF((IF(V42="","",IF(INDEX('Input Contact Information'!$N$2:$N$200,V42)="","",INDEX('Input Contact Information'!$N$2:$N$200,V42))))&lt;&gt;"",IF(V42="","",IF(INDEX('Input Contact Information'!$N$2:$N$200,V42)="","",INDEX('Input Contact Information'!$N$2:$N$200,V42))),IF(V42="","",IF(INDEX('Input Contact Information'!$M$2:$M$200,V42)="","",INDEX('Input Contact Information'!$M$2:$M$200,V42)))))</f>
        <v>Tier 3</v>
      </c>
      <c r="Q42" s="1" t="str">
        <f t="shared" si="3"/>
        <v>Semi-annually</v>
      </c>
      <c r="R42" s="1" t="str">
        <f ca="1">IF($B42="","",IF(X42="","",IF(INDEX('Engagements Overview'!$I$2:$I$200,X42)="","",INDEX('Engagements Overview'!$I$2:$I$200,X42))))</f>
        <v>Overdue</v>
      </c>
      <c r="S42" s="14">
        <f ca="1">IF($B42="","",IF(X42="","",IF(INDEX('Engagements Overview'!$K$2:$K$200,X42)="","",INDEX('Engagements Overview'!$K$2:$K$200,X42))))</f>
        <v>487</v>
      </c>
      <c r="T42" s="1" t="str">
        <f>IF($B42="","",IF(V42="","",IF(INDEX('Input Contact Information'!$O$2:$O$200,V42)="","",INDEX('Input Contact Information'!$O$2:$O$200,V42))))</f>
        <v>Logistics automation — interested in smart ports, robotics and data visibility; Digital transformation — interested in creating more seamless customer and operational processes.</v>
      </c>
      <c r="U42" s="1" t="str">
        <f>IF($B42="","",IF(V42="","",IF(INDEX('Input Contact Information'!$P$2:$P$200,V42)="","",INDEX('Input Contact Information'!$P$2:$P$200,V42))))</f>
        <v>Padel — enjoys playing socially; Technology — follows useful devices, apps and emerging technologies.</v>
      </c>
      <c r="V42" s="1">
        <f>IF(B42="","",IFERROR(MATCH(B42&amp;"|"&amp;C42,'Input Contact Information'!$W$2:$W$200,0),""))</f>
        <v>41</v>
      </c>
      <c r="W42" s="1">
        <f>IF(C42="","",IFERROR(MATCH(C42,'Accounts Overview'!$B$2:$B$100,0),""))</f>
        <v>14</v>
      </c>
      <c r="X42" s="1">
        <f>IF(A42="","",IFERROR(MATCH(A42,'Engagements Overview'!$B$2:$B$200,0),""))</f>
        <v>41</v>
      </c>
    </row>
    <row r="43" spans="1:24" ht="15" customHeight="1" x14ac:dyDescent="0.35">
      <c r="A43" s="13" t="str">
        <f t="shared" si="2"/>
        <v>CON0042</v>
      </c>
      <c r="B43" s="1" t="str">
        <f>IFERROR(INDEX('Input Contact Information'!$C$2:$C$200,MATCH(ROW()-1,'Input Contact Information'!$V$2:$V$200,0)),"")</f>
        <v>Sultan Al Meer</v>
      </c>
      <c r="C43" s="1" t="str">
        <f>IFERROR(INDEX('Input Contact Information'!$B$2:$B$200,MATCH(ROW()-1,'Input Contact Information'!$V$2:$V$200,0)),"")</f>
        <v>Emaar Properties</v>
      </c>
      <c r="D43" s="1" t="str">
        <f>IF($B43="","",IF(W43="","",INDEX('Accounts Overview'!$A$2:$A$100,W43)))</f>
        <v>ACC0015</v>
      </c>
      <c r="E43" s="1" t="str">
        <f>IF($B43="","",IF(V43="","",IF(INDEX('Input Contact Information'!$D$2:$D$200,V43)="","",INDEX('Input Contact Information'!$D$2:$D$200,V43))))</f>
        <v>Vice President, Strategy</v>
      </c>
      <c r="F43" s="1" t="str">
        <f>IF($B43="","",IF(V43="","",IF(INDEX('Input Contact Information'!$F$2:$F$200,V43)="","",INDEX('Input Contact Information'!$F$2:$F$200,V43))))</f>
        <v>sultan.almeer@sample-15.example</v>
      </c>
      <c r="G43" s="1" t="str">
        <f>IF($B43="","",IF(V43="","",IF(INDEX('Input Contact Information'!$E$2:$E$200,V43)="","",INDEX('Input Contact Information'!$E$2:$E$200,V43))))</f>
        <v/>
      </c>
      <c r="H43" s="1" t="str">
        <f>IF($B43="","",IF(V43="","",IF(INDEX('Input Contact Information'!$G$2:$G$200,V43)="","",INDEX('Input Contact Information'!$G$2:$G$200,V43))))</f>
        <v/>
      </c>
      <c r="I43" s="1" t="str">
        <f>IF($B43="","",IF(V43="","",IF(INDEX('Input Contact Information'!$H$2:$H$200,V43)="","",INDEX('Input Contact Information'!$H$2:$H$200,V43))))</f>
        <v/>
      </c>
      <c r="J43" s="1" t="str">
        <f>IF($B43="","",IF(V43="","",IF(INDEX('Input Contact Information'!$I$2:$I$200,V43)="","",INDEX('Input Contact Information'!$I$2:$I$200,V43))))</f>
        <v>Email</v>
      </c>
      <c r="K43" s="1" t="str">
        <f>IF($B43="","",IF(V43="","",IF(INDEX('Input Contact Information'!$A$2:$A$200,V43)="","",INDEX('Input Contact Information'!$A$2:$A$200,V43))))</f>
        <v>Meher Ben Marzouk</v>
      </c>
      <c r="L43" s="1" t="str">
        <f>IF($B43="","",IF(W43="","",IF(INDEX('Accounts Overview'!$I$2:$I$100,W43)="","",INDEX('Accounts Overview'!$I$2:$I$100,W43))))</f>
        <v>Omar Jadallah</v>
      </c>
      <c r="M43" s="1" t="str">
        <f>IF($B43="","",IF(V43="","",IF(INDEX('Input Contact Information'!$J$2:$J$200,V43)="","",INDEX('Input Contact Information'!$J$2:$J$200,V43))))</f>
        <v>Medium</v>
      </c>
      <c r="N43" s="1" t="str">
        <f>IF($B43="","",IF(V43="","",IF(INDEX('Input Contact Information'!$K$2:$K$200,V43)="","",INDEX('Input Contact Information'!$K$2:$K$200,V43))))</f>
        <v>Medium</v>
      </c>
      <c r="O43" s="1" t="str">
        <f>IF($B43="","",IF(V43="","",IF(INDEX('Input Contact Information'!$L$2:$L$200,V43)="","",INDEX('Input Contact Information'!$L$2:$L$200,V43))))</f>
        <v>Low</v>
      </c>
      <c r="P43" s="1" t="str">
        <f>IF($B43="","",IF((IF(V43="","",IF(INDEX('Input Contact Information'!$N$2:$N$200,V43)="","",INDEX('Input Contact Information'!$N$2:$N$200,V43))))&lt;&gt;"",IF(V43="","",IF(INDEX('Input Contact Information'!$N$2:$N$200,V43)="","",INDEX('Input Contact Information'!$N$2:$N$200,V43))),IF(V43="","",IF(INDEX('Input Contact Information'!$M$2:$M$200,V43)="","",INDEX('Input Contact Information'!$M$2:$M$200,V43)))))</f>
        <v>Tier 3</v>
      </c>
      <c r="Q43" s="1" t="str">
        <f t="shared" si="3"/>
        <v>Semi-annually</v>
      </c>
      <c r="R43" s="1" t="str">
        <f ca="1">IF($B43="","",IF(X43="","",IF(INDEX('Engagements Overview'!$I$2:$I$200,X43)="","",INDEX('Engagements Overview'!$I$2:$I$200,X43))))</f>
        <v>On Track</v>
      </c>
      <c r="S43" s="14">
        <f ca="1">IF($B43="","",IF(X43="","",IF(INDEX('Engagements Overview'!$K$2:$K$200,X43)="","",INDEX('Engagements Overview'!$K$2:$K$200,X43))))</f>
        <v>157</v>
      </c>
      <c r="T43" s="1" t="str">
        <f>IF($B43="","",IF(V43="","",IF(INDEX('Input Contact Information'!$O$2:$O$200,V43)="","",INDEX('Input Contact Information'!$O$2:$O$200,V43))))</f>
        <v>Real-estate portfolio strategy — interested in performance across large mixed-use developments; Operational resilience — interested in maintaining service quality and reliability.</v>
      </c>
      <c r="U43" s="1" t="str">
        <f>IF($B43="","",IF(V43="","",IF(INDEX('Input Contact Information'!$P$2:$P$200,V43)="","",INDEX('Input Contact Information'!$P$2:$P$200,V43))))</f>
        <v>Football — follows the sport; Travel — enjoys city, resort and hospitality experiences in new destinations.</v>
      </c>
      <c r="V43" s="1">
        <f>IF(B43="","",IFERROR(MATCH(B43&amp;"|"&amp;C43,'Input Contact Information'!$W$2:$W$200,0),""))</f>
        <v>42</v>
      </c>
      <c r="W43" s="1">
        <f>IF(C43="","",IFERROR(MATCH(C43,'Accounts Overview'!$B$2:$B$100,0),""))</f>
        <v>15</v>
      </c>
      <c r="X43" s="1">
        <f>IF(A43="","",IFERROR(MATCH(A43,'Engagements Overview'!$B$2:$B$200,0),""))</f>
        <v>42</v>
      </c>
    </row>
    <row r="44" spans="1:24" ht="15" customHeight="1" x14ac:dyDescent="0.35">
      <c r="A44" s="13" t="str">
        <f t="shared" si="2"/>
        <v>CON0043</v>
      </c>
      <c r="B44" s="1" t="str">
        <f>IFERROR(INDEX('Input Contact Information'!$C$2:$C$200,MATCH(ROW()-1,'Input Contact Information'!$V$2:$V$200,0)),"")</f>
        <v>Hoor Al Hajj</v>
      </c>
      <c r="C44" s="1" t="str">
        <f>IFERROR(INDEX('Input Contact Information'!$B$2:$B$200,MATCH(ROW()-1,'Input Contact Information'!$V$2:$V$200,0)),"")</f>
        <v>Emaar Properties</v>
      </c>
      <c r="D44" s="1" t="str">
        <f>IF($B44="","",IF(W44="","",INDEX('Accounts Overview'!$A$2:$A$100,W44)))</f>
        <v>ACC0015</v>
      </c>
      <c r="E44" s="1" t="str">
        <f>IF($B44="","",IF(V44="","",IF(INDEX('Input Contact Information'!$D$2:$D$200,V44)="","",INDEX('Input Contact Information'!$D$2:$D$200,V44))))</f>
        <v>Director, Transformation</v>
      </c>
      <c r="F44" s="1" t="str">
        <f>IF($B44="","",IF(V44="","",IF(INDEX('Input Contact Information'!$F$2:$F$200,V44)="","",INDEX('Input Contact Information'!$F$2:$F$200,V44))))</f>
        <v>hoor.alhajj@sample-15.example</v>
      </c>
      <c r="G44" s="1" t="str">
        <f>IF($B44="","",IF(V44="","",IF(INDEX('Input Contact Information'!$E$2:$E$200,V44)="","",INDEX('Input Contact Information'!$E$2:$E$200,V44))))</f>
        <v/>
      </c>
      <c r="H44" s="1" t="str">
        <f>IF($B44="","",IF(V44="","",IF(INDEX('Input Contact Information'!$G$2:$G$200,V44)="","",INDEX('Input Contact Information'!$G$2:$G$200,V44))))</f>
        <v/>
      </c>
      <c r="I44" s="1" t="str">
        <f>IF($B44="","",IF(V44="","",IF(INDEX('Input Contact Information'!$H$2:$H$200,V44)="","",INDEX('Input Contact Information'!$H$2:$H$200,V44))))</f>
        <v/>
      </c>
      <c r="J44" s="1" t="str">
        <f>IF($B44="","",IF(V44="","",IF(INDEX('Input Contact Information'!$I$2:$I$200,V44)="","",INDEX('Input Contact Information'!$I$2:$I$200,V44))))</f>
        <v>Email</v>
      </c>
      <c r="K44" s="1" t="str">
        <f>IF($B44="","",IF(V44="","",IF(INDEX('Input Contact Information'!$A$2:$A$200,V44)="","",INDEX('Input Contact Information'!$A$2:$A$200,V44))))</f>
        <v>Meher Ben Marzouk</v>
      </c>
      <c r="L44" s="1" t="str">
        <f>IF($B44="","",IF(W44="","",IF(INDEX('Accounts Overview'!$I$2:$I$100,W44)="","",INDEX('Accounts Overview'!$I$2:$I$100,W44))))</f>
        <v>Omar Jadallah</v>
      </c>
      <c r="M44" s="1" t="str">
        <f>IF($B44="","",IF(V44="","",IF(INDEX('Input Contact Information'!$J$2:$J$200,V44)="","",INDEX('Input Contact Information'!$J$2:$J$200,V44))))</f>
        <v>Medium</v>
      </c>
      <c r="N44" s="1" t="str">
        <f>IF($B44="","",IF(V44="","",IF(INDEX('Input Contact Information'!$K$2:$K$200,V44)="","",INDEX('Input Contact Information'!$K$2:$K$200,V44))))</f>
        <v>Low</v>
      </c>
      <c r="O44" s="1" t="str">
        <f>IF($B44="","",IF(V44="","",IF(INDEX('Input Contact Information'!$L$2:$L$200,V44)="","",INDEX('Input Contact Information'!$L$2:$L$200,V44))))</f>
        <v>Low</v>
      </c>
      <c r="P44" s="1" t="str">
        <f>IF($B44="","",IF((IF(V44="","",IF(INDEX('Input Contact Information'!$N$2:$N$200,V44)="","",INDEX('Input Contact Information'!$N$2:$N$200,V44))))&lt;&gt;"",IF(V44="","",IF(INDEX('Input Contact Information'!$N$2:$N$200,V44)="","",INDEX('Input Contact Information'!$N$2:$N$200,V44))),IF(V44="","",IF(INDEX('Input Contact Information'!$M$2:$M$200,V44)="","",INDEX('Input Contact Information'!$M$2:$M$200,V44)))))</f>
        <v>Tier 3</v>
      </c>
      <c r="Q44" s="1" t="str">
        <f t="shared" si="3"/>
        <v>Semi-annually</v>
      </c>
      <c r="R44" s="1" t="str">
        <f ca="1">IF($B44="","",IF(X44="","",IF(INDEX('Engagements Overview'!$I$2:$I$200,X44)="","",INDEX('Engagements Overview'!$I$2:$I$200,X44))))</f>
        <v>For Review</v>
      </c>
      <c r="S44" s="14">
        <f ca="1">IF($B44="","",IF(X44="","",IF(INDEX('Engagements Overview'!$K$2:$K$200,X44)="","",INDEX('Engagements Overview'!$K$2:$K$200,X44))))</f>
        <v>317</v>
      </c>
      <c r="T44" s="1" t="str">
        <f>IF($B44="","",IF(V44="","",IF(INDEX('Input Contact Information'!$O$2:$O$200,V44)="","",INDEX('Input Contact Information'!$O$2:$O$200,V44))))</f>
        <v>Real-estate investment — interested in portfolio returns; Hospitality — interested in destination and guest propositions; Mixed-use development — interested in placemaking and integrated lifestyle destinations.</v>
      </c>
      <c r="U44" s="1" t="str">
        <f>IF($B44="","",IF(V44="","",IF(INDEX('Input Contact Information'!$P$2:$P$200,V44)="","",INDEX('Input Contact Information'!$P$2:$P$200,V44))))</f>
        <v>Golf — follows the sport; Architecture — enjoys landmark buildings, urban design and design-led destinations.</v>
      </c>
      <c r="V44" s="1">
        <f>IF(B44="","",IFERROR(MATCH(B44&amp;"|"&amp;C44,'Input Contact Information'!$W$2:$W$200,0),""))</f>
        <v>43</v>
      </c>
      <c r="W44" s="1">
        <f>IF(C44="","",IFERROR(MATCH(C44,'Accounts Overview'!$B$2:$B$100,0),""))</f>
        <v>15</v>
      </c>
      <c r="X44" s="1">
        <f>IF(A44="","",IFERROR(MATCH(A44,'Engagements Overview'!$B$2:$B$200,0),""))</f>
        <v>43</v>
      </c>
    </row>
    <row r="45" spans="1:24" ht="15" customHeight="1" x14ac:dyDescent="0.35">
      <c r="A45" s="13" t="str">
        <f t="shared" si="2"/>
        <v>CON0044</v>
      </c>
      <c r="B45" s="1" t="str">
        <f>IFERROR(INDEX('Input Contact Information'!$C$2:$C$200,MATCH(ROW()-1,'Input Contact Information'!$V$2:$V$200,0)),"")</f>
        <v>Zayed Al Rashdi</v>
      </c>
      <c r="C45" s="1" t="str">
        <f>IFERROR(INDEX('Input Contact Information'!$B$2:$B$200,MATCH(ROW()-1,'Input Contact Information'!$V$2:$V$200,0)),"")</f>
        <v>Emaar Properties</v>
      </c>
      <c r="D45" s="1" t="str">
        <f>IF($B45="","",IF(W45="","",INDEX('Accounts Overview'!$A$2:$A$100,W45)))</f>
        <v>ACC0015</v>
      </c>
      <c r="E45" s="1" t="str">
        <f>IF($B45="","",IF(V45="","",IF(INDEX('Input Contact Information'!$D$2:$D$200,V45)="","",INDEX('Input Contact Information'!$D$2:$D$200,V45))))</f>
        <v>Senior Manager, Strategy</v>
      </c>
      <c r="F45" s="1" t="str">
        <f>IF($B45="","",IF(V45="","",IF(INDEX('Input Contact Information'!$F$2:$F$200,V45)="","",INDEX('Input Contact Information'!$F$2:$F$200,V45))))</f>
        <v>zayed.alrashdi@sample-15.example</v>
      </c>
      <c r="G45" s="1" t="str">
        <f>IF($B45="","",IF(V45="","",IF(INDEX('Input Contact Information'!$E$2:$E$200,V45)="","",INDEX('Input Contact Information'!$E$2:$E$200,V45))))</f>
        <v/>
      </c>
      <c r="H45" s="1" t="str">
        <f>IF($B45="","",IF(V45="","",IF(INDEX('Input Contact Information'!$G$2:$G$200,V45)="","",INDEX('Input Contact Information'!$G$2:$G$200,V45))))</f>
        <v/>
      </c>
      <c r="I45" s="1" t="str">
        <f>IF($B45="","",IF(V45="","",IF(INDEX('Input Contact Information'!$H$2:$H$200,V45)="","",INDEX('Input Contact Information'!$H$2:$H$200,V45))))</f>
        <v/>
      </c>
      <c r="J45" s="1" t="str">
        <f>IF($B45="","",IF(V45="","",IF(INDEX('Input Contact Information'!$I$2:$I$200,V45)="","",INDEX('Input Contact Information'!$I$2:$I$200,V45))))</f>
        <v>Email</v>
      </c>
      <c r="K45" s="1" t="str">
        <f>IF($B45="","",IF(V45="","",IF(INDEX('Input Contact Information'!$A$2:$A$200,V45)="","",INDEX('Input Contact Information'!$A$2:$A$200,V45))))</f>
        <v>Meher Ben Marzouk</v>
      </c>
      <c r="L45" s="1" t="str">
        <f>IF($B45="","",IF(W45="","",IF(INDEX('Accounts Overview'!$I$2:$I$100,W45)="","",INDEX('Accounts Overview'!$I$2:$I$100,W45))))</f>
        <v>Omar Jadallah</v>
      </c>
      <c r="M45" s="1" t="str">
        <f>IF($B45="","",IF(V45="","",IF(INDEX('Input Contact Information'!$J$2:$J$200,V45)="","",INDEX('Input Contact Information'!$J$2:$J$200,V45))))</f>
        <v>Medium</v>
      </c>
      <c r="N45" s="1" t="str">
        <f>IF($B45="","",IF(V45="","",IF(INDEX('Input Contact Information'!$K$2:$K$200,V45)="","",INDEX('Input Contact Information'!$K$2:$K$200,V45))))</f>
        <v>Low</v>
      </c>
      <c r="O45" s="1" t="str">
        <f>IF($B45="","",IF(V45="","",IF(INDEX('Input Contact Information'!$L$2:$L$200,V45)="","",INDEX('Input Contact Information'!$L$2:$L$200,V45))))</f>
        <v>Low</v>
      </c>
      <c r="P45" s="1" t="str">
        <f>IF($B45="","",IF((IF(V45="","",IF(INDEX('Input Contact Information'!$N$2:$N$200,V45)="","",INDEX('Input Contact Information'!$N$2:$N$200,V45))))&lt;&gt;"",IF(V45="","",IF(INDEX('Input Contact Information'!$N$2:$N$200,V45)="","",INDEX('Input Contact Information'!$N$2:$N$200,V45))),IF(V45="","",IF(INDEX('Input Contact Information'!$M$2:$M$200,V45)="","",INDEX('Input Contact Information'!$M$2:$M$200,V45)))))</f>
        <v>Tier 3</v>
      </c>
      <c r="Q45" s="1" t="str">
        <f t="shared" si="3"/>
        <v>Semi-annually</v>
      </c>
      <c r="R45" s="1" t="str">
        <f ca="1">IF($B45="","",IF(X45="","",IF(INDEX('Engagements Overview'!$I$2:$I$200,X45)="","",INDEX('Engagements Overview'!$I$2:$I$200,X45))))</f>
        <v>Overdue</v>
      </c>
      <c r="S45" s="14">
        <f ca="1">IF($B45="","",IF(X45="","",IF(INDEX('Engagements Overview'!$K$2:$K$200,X45)="","",INDEX('Engagements Overview'!$K$2:$K$200,X45))))</f>
        <v>487</v>
      </c>
      <c r="T45" s="1" t="str">
        <f>IF($B45="","",IF(V45="","",IF(INDEX('Input Contact Information'!$O$2:$O$200,V45)="","",INDEX('Input Contact Information'!$O$2:$O$200,V45))))</f>
        <v>Smart cities — interested in connected communities; Digital sales — interested in data-led customer acquisition and digital journeys for property buyers.</v>
      </c>
      <c r="U45" s="1" t="str">
        <f>IF($B45="","",IF(V45="","",IF(INDEX('Input Contact Information'!$P$2:$P$200,V45)="","",INDEX('Input Contact Information'!$P$2:$P$200,V45))))</f>
        <v>Photography — enjoys photography linked to cities and travel; Design — interested in architecture, visual design and the built environment.</v>
      </c>
      <c r="V45" s="1">
        <f>IF(B45="","",IFERROR(MATCH(B45&amp;"|"&amp;C45,'Input Contact Information'!$W$2:$W$200,0),""))</f>
        <v>44</v>
      </c>
      <c r="W45" s="1">
        <f>IF(C45="","",IFERROR(MATCH(C45,'Accounts Overview'!$B$2:$B$100,0),""))</f>
        <v>15</v>
      </c>
      <c r="X45" s="1">
        <f>IF(A45="","",IFERROR(MATCH(A45,'Engagements Overview'!$B$2:$B$200,0),""))</f>
        <v>44</v>
      </c>
    </row>
    <row r="46" spans="1:24" ht="15" customHeight="1" x14ac:dyDescent="0.35">
      <c r="A46" s="13" t="str">
        <f t="shared" si="2"/>
        <v>CON0045</v>
      </c>
      <c r="B46" s="1" t="str">
        <f>IFERROR(INDEX('Input Contact Information'!$C$2:$C$200,MATCH(ROW()-1,'Input Contact Information'!$V$2:$V$200,0)),"")</f>
        <v>Sheikh Ali Alwaleed Al-Thani</v>
      </c>
      <c r="C46" s="1" t="str">
        <f>IFERROR(INDEX('Input Contact Information'!$B$2:$B$200,MATCH(ROW()-1,'Input Contact Information'!$V$2:$V$200,0)),"")</f>
        <v>Invest Qatar</v>
      </c>
      <c r="D46" s="1" t="str">
        <f>IF($B46="","",IF(W46="","",INDEX('Accounts Overview'!$A$2:$A$100,W46)))</f>
        <v>ACC0016</v>
      </c>
      <c r="E46" s="1" t="str">
        <f>IF($B46="","",IF(V46="","",IF(INDEX('Input Contact Information'!$D$2:$D$200,V46)="","",INDEX('Input Contact Information'!$D$2:$D$200,V46))))</f>
        <v>Chief Executive Officer</v>
      </c>
      <c r="F46" s="1" t="str">
        <f>IF($B46="","",IF(V46="","",IF(INDEX('Input Contact Information'!$F$2:$F$200,V46)="","",INDEX('Input Contact Information'!$F$2:$F$200,V46))))</f>
        <v>sheikh.althani@sample-16.example</v>
      </c>
      <c r="G46" s="1" t="str">
        <f>IF($B46="","",IF(V46="","",IF(INDEX('Input Contact Information'!$E$2:$E$200,V46)="","",INDEX('Input Contact Information'!$E$2:$E$200,V46))))</f>
        <v/>
      </c>
      <c r="H46" s="1" t="str">
        <f>IF($B46="","",IF(V46="","",IF(INDEX('Input Contact Information'!$G$2:$G$200,V46)="","",INDEX('Input Contact Information'!$G$2:$G$200,V46))))</f>
        <v/>
      </c>
      <c r="I46" s="1" t="str">
        <f>IF($B46="","",IF(V46="","",IF(INDEX('Input Contact Information'!$H$2:$H$200,V46)="","",INDEX('Input Contact Information'!$H$2:$H$200,V46))))</f>
        <v/>
      </c>
      <c r="J46" s="1" t="str">
        <f>IF($B46="","",IF(V46="","",IF(INDEX('Input Contact Information'!$I$2:$I$200,V46)="","",INDEX('Input Contact Information'!$I$2:$I$200,V46))))</f>
        <v>Email</v>
      </c>
      <c r="K46" s="1" t="str">
        <f>IF($B46="","",IF(V46="","",IF(INDEX('Input Contact Information'!$A$2:$A$200,V46)="","",INDEX('Input Contact Information'!$A$2:$A$200,V46))))</f>
        <v>Eric Guraieb</v>
      </c>
      <c r="L46" s="1" t="str">
        <f>IF($B46="","",IF(W46="","",IF(INDEX('Accounts Overview'!$I$2:$I$100,W46)="","",INDEX('Accounts Overview'!$I$2:$I$100,W46))))</f>
        <v>Naveed Vakil</v>
      </c>
      <c r="M46" s="1" t="str">
        <f>IF($B46="","",IF(V46="","",IF(INDEX('Input Contact Information'!$J$2:$J$200,V46)="","",INDEX('Input Contact Information'!$J$2:$J$200,V46))))</f>
        <v>High</v>
      </c>
      <c r="N46" s="1" t="str">
        <f>IF($B46="","",IF(V46="","",IF(INDEX('Input Contact Information'!$K$2:$K$200,V46)="","",INDEX('Input Contact Information'!$K$2:$K$200,V46))))</f>
        <v>High</v>
      </c>
      <c r="O46" s="1" t="str">
        <f>IF($B46="","",IF(V46="","",IF(INDEX('Input Contact Information'!$L$2:$L$200,V46)="","",INDEX('Input Contact Information'!$L$2:$L$200,V46))))</f>
        <v>High</v>
      </c>
      <c r="P46" s="1" t="str">
        <f>IF($B46="","",IF((IF(V46="","",IF(INDEX('Input Contact Information'!$N$2:$N$200,V46)="","",INDEX('Input Contact Information'!$N$2:$N$200,V46))))&lt;&gt;"",IF(V46="","",IF(INDEX('Input Contact Information'!$N$2:$N$200,V46)="","",INDEX('Input Contact Information'!$N$2:$N$200,V46))),IF(V46="","",IF(INDEX('Input Contact Information'!$M$2:$M$200,V46)="","",INDEX('Input Contact Information'!$M$2:$M$200,V46)))))</f>
        <v>Tier 1</v>
      </c>
      <c r="Q46" s="1" t="str">
        <f t="shared" si="3"/>
        <v>Monthly</v>
      </c>
      <c r="R46" s="1" t="str">
        <f ca="1">IF($B46="","",IF(X46="","",IF(INDEX('Engagements Overview'!$I$2:$I$200,X46)="","",INDEX('Engagements Overview'!$I$2:$I$200,X46))))</f>
        <v>No Task</v>
      </c>
      <c r="S46" s="14" t="str">
        <f ca="1">IF($B46="","",IF(X46="","",IF(INDEX('Engagements Overview'!$K$2:$K$200,X46)="","",INDEX('Engagements Overview'!$K$2:$K$200,X46))))</f>
        <v/>
      </c>
      <c r="T46" s="1" t="str">
        <f>IF($B46="","",IF(V46="","",IF(INDEX('Input Contact Information'!$O$2:$O$200,V46)="","",INDEX('Input Contact Information'!$O$2:$O$200,V46))))</f>
        <v>Capital markets — interested in investor trends and flows; AI — interested in technology and its business applications; Investment promotion — interested in how policy and market positioning can attract high-value businesses to Qatar.</v>
      </c>
      <c r="U46" s="1" t="str">
        <f>IF($B46="","",IF(V46="","",IF(INDEX('Input Contact Information'!$P$2:$P$200,V46)="","",INDEX('Input Contact Information'!$P$2:$P$200,V46))))</f>
        <v>Football — follows major events; Photography — enjoys travel, event and urban photography.</v>
      </c>
      <c r="V46" s="1">
        <f>IF(B46="","",IFERROR(MATCH(B46&amp;"|"&amp;C46,'Input Contact Information'!$W$2:$W$200,0),""))</f>
        <v>45</v>
      </c>
      <c r="W46" s="1">
        <f>IF(C46="","",IFERROR(MATCH(C46,'Accounts Overview'!$B$2:$B$100,0),""))</f>
        <v>16</v>
      </c>
      <c r="X46" s="1">
        <f>IF(A46="","",IFERROR(MATCH(A46,'Engagements Overview'!$B$2:$B$200,0),""))</f>
        <v>45</v>
      </c>
    </row>
    <row r="47" spans="1:24" ht="15" customHeight="1" x14ac:dyDescent="0.35">
      <c r="A47" s="13" t="str">
        <f t="shared" si="2"/>
        <v/>
      </c>
      <c r="B47" s="1" t="str">
        <f>IFERROR(INDEX('Input Contact Information'!$C$2:$C$200,MATCH(ROW()-1,'Input Contact Information'!$V$2:$V$200,0)),"")</f>
        <v/>
      </c>
      <c r="C47" s="1" t="str">
        <f>IFERROR(INDEX('Input Contact Information'!$B$2:$B$200,MATCH(ROW()-1,'Input Contact Information'!$V$2:$V$200,0)),"")</f>
        <v/>
      </c>
      <c r="D47" s="1" t="str">
        <f>IF($B47="","",IF(W47="","",INDEX('Accounts Overview'!$A$2:$A$100,W47)))</f>
        <v/>
      </c>
      <c r="E47" s="1" t="str">
        <f>IF($B47="","",IF(V47="","",IF(INDEX('Input Contact Information'!$D$2:$D$200,V47)="","",INDEX('Input Contact Information'!$D$2:$D$200,V47))))</f>
        <v/>
      </c>
      <c r="F47" s="1" t="str">
        <f>IF($B47="","",IF(V47="","",IF(INDEX('Input Contact Information'!$F$2:$F$200,V47)="","",INDEX('Input Contact Information'!$F$2:$F$200,V47))))</f>
        <v/>
      </c>
      <c r="G47" s="1" t="str">
        <f>IF($B47="","",IF(V47="","",IF(INDEX('Input Contact Information'!$E$2:$E$200,V47)="","",INDEX('Input Contact Information'!$E$2:$E$200,V47))))</f>
        <v/>
      </c>
      <c r="H47" s="1" t="str">
        <f>IF($B47="","",IF(V47="","",IF(INDEX('Input Contact Information'!$G$2:$G$200,V47)="","",INDEX('Input Contact Information'!$G$2:$G$200,V47))))</f>
        <v/>
      </c>
      <c r="I47" s="1" t="str">
        <f>IF($B47="","",IF(V47="","",IF(INDEX('Input Contact Information'!$H$2:$H$200,V47)="","",INDEX('Input Contact Information'!$H$2:$H$200,V47))))</f>
        <v/>
      </c>
      <c r="J47" s="1" t="str">
        <f>IF($B47="","",IF(V47="","",IF(INDEX('Input Contact Information'!$I$2:$I$200,V47)="","",INDEX('Input Contact Information'!$I$2:$I$200,V47))))</f>
        <v/>
      </c>
      <c r="K47" s="1" t="str">
        <f>IF($B47="","",IF(V47="","",IF(INDEX('Input Contact Information'!$A$2:$A$200,V47)="","",INDEX('Input Contact Information'!$A$2:$A$200,V47))))</f>
        <v/>
      </c>
      <c r="L47" s="1" t="str">
        <f>IF($B47="","",IF(W47="","",IF(INDEX('Accounts Overview'!$I$2:$I$100,W47)="","",INDEX('Accounts Overview'!$I$2:$I$100,W47))))</f>
        <v/>
      </c>
      <c r="M47" s="1" t="str">
        <f>IF($B47="","",IF(V47="","",IF(INDEX('Input Contact Information'!$J$2:$J$200,V47)="","",INDEX('Input Contact Information'!$J$2:$J$200,V47))))</f>
        <v/>
      </c>
      <c r="N47" s="1" t="str">
        <f>IF($B47="","",IF(V47="","",IF(INDEX('Input Contact Information'!$K$2:$K$200,V47)="","",INDEX('Input Contact Information'!$K$2:$K$200,V47))))</f>
        <v/>
      </c>
      <c r="O47" s="1" t="str">
        <f>IF($B47="","",IF(V47="","",IF(INDEX('Input Contact Information'!$L$2:$L$200,V47)="","",INDEX('Input Contact Information'!$L$2:$L$200,V47))))</f>
        <v/>
      </c>
      <c r="P47" s="1" t="str">
        <f>IF($B47="","",IF((IF(V47="","",IF(INDEX('Input Contact Information'!$N$2:$N$200,V47)="","",INDEX('Input Contact Information'!$N$2:$N$200,V47))))&lt;&gt;"",IF(V47="","",IF(INDEX('Input Contact Information'!$N$2:$N$200,V47)="","",INDEX('Input Contact Information'!$N$2:$N$200,V47))),IF(V47="","",IF(INDEX('Input Contact Information'!$M$2:$M$200,V47)="","",INDEX('Input Contact Information'!$M$2:$M$200,V47)))))</f>
        <v/>
      </c>
      <c r="Q47" s="1" t="str">
        <f t="shared" si="3"/>
        <v/>
      </c>
      <c r="R47" s="1" t="str">
        <f>IF($B47="","",IF(X47="","",IF(INDEX('Engagements Overview'!$I$2:$I$200,X47)="","",INDEX('Engagements Overview'!$I$2:$I$200,X47))))</f>
        <v/>
      </c>
      <c r="S47" s="14" t="str">
        <f>IF($B47="","",IF(X47="","",IF(INDEX('Engagements Overview'!$K$2:$K$200,X47)="","",INDEX('Engagements Overview'!$K$2:$K$200,X47))))</f>
        <v/>
      </c>
      <c r="T47" s="1" t="str">
        <f>IF($B47="","",IF(V47="","",IF(INDEX('Input Contact Information'!$O$2:$O$200,V47)="","",INDEX('Input Contact Information'!$O$2:$O$200,V47))))</f>
        <v/>
      </c>
      <c r="U47" s="1" t="str">
        <f>IF($B47="","",IF(V47="","",IF(INDEX('Input Contact Information'!$P$2:$P$200,V47)="","",INDEX('Input Contact Information'!$P$2:$P$200,V47))))</f>
        <v/>
      </c>
      <c r="V47" s="1" t="str">
        <f>IF(B47="","",IFERROR(MATCH(B47&amp;"|"&amp;C47,'Input Contact Information'!$W$2:$W$200,0),""))</f>
        <v/>
      </c>
      <c r="W47" s="1" t="str">
        <f>IF(C47="","",IFERROR(MATCH(C47,'Accounts Overview'!$B$2:$B$100,0),""))</f>
        <v/>
      </c>
      <c r="X47" s="1" t="str">
        <f>IF(A47="","",IFERROR(MATCH(A47,'Engagements Overview'!$B$2:$B$200,0),""))</f>
        <v/>
      </c>
    </row>
    <row r="48" spans="1:24" ht="15" customHeight="1" x14ac:dyDescent="0.35">
      <c r="A48" s="13" t="str">
        <f t="shared" si="2"/>
        <v/>
      </c>
      <c r="B48" s="1" t="str">
        <f>IFERROR(INDEX('Input Contact Information'!$C$2:$C$200,MATCH(ROW()-1,'Input Contact Information'!$V$2:$V$200,0)),"")</f>
        <v/>
      </c>
      <c r="C48" s="1" t="str">
        <f>IFERROR(INDEX('Input Contact Information'!$B$2:$B$200,MATCH(ROW()-1,'Input Contact Information'!$V$2:$V$200,0)),"")</f>
        <v/>
      </c>
      <c r="D48" s="1" t="str">
        <f>IF($B48="","",IF(W48="","",INDEX('Accounts Overview'!$A$2:$A$100,W48)))</f>
        <v/>
      </c>
      <c r="E48" s="1" t="str">
        <f>IF($B48="","",IF(V48="","",IF(INDEX('Input Contact Information'!$D$2:$D$200,V48)="","",INDEX('Input Contact Information'!$D$2:$D$200,V48))))</f>
        <v/>
      </c>
      <c r="F48" s="1" t="str">
        <f>IF($B48="","",IF(V48="","",IF(INDEX('Input Contact Information'!$F$2:$F$200,V48)="","",INDEX('Input Contact Information'!$F$2:$F$200,V48))))</f>
        <v/>
      </c>
      <c r="G48" s="1" t="str">
        <f>IF($B48="","",IF(V48="","",IF(INDEX('Input Contact Information'!$E$2:$E$200,V48)="","",INDEX('Input Contact Information'!$E$2:$E$200,V48))))</f>
        <v/>
      </c>
      <c r="H48" s="1" t="str">
        <f>IF($B48="","",IF(V48="","",IF(INDEX('Input Contact Information'!$G$2:$G$200,V48)="","",INDEX('Input Contact Information'!$G$2:$G$200,V48))))</f>
        <v/>
      </c>
      <c r="I48" s="1" t="str">
        <f>IF($B48="","",IF(V48="","",IF(INDEX('Input Contact Information'!$H$2:$H$200,V48)="","",INDEX('Input Contact Information'!$H$2:$H$200,V48))))</f>
        <v/>
      </c>
      <c r="J48" s="1" t="str">
        <f>IF($B48="","",IF(V48="","",IF(INDEX('Input Contact Information'!$I$2:$I$200,V48)="","",INDEX('Input Contact Information'!$I$2:$I$200,V48))))</f>
        <v/>
      </c>
      <c r="K48" s="1" t="str">
        <f>IF($B48="","",IF(V48="","",IF(INDEX('Input Contact Information'!$A$2:$A$200,V48)="","",INDEX('Input Contact Information'!$A$2:$A$200,V48))))</f>
        <v/>
      </c>
      <c r="L48" s="1" t="str">
        <f>IF($B48="","",IF(W48="","",IF(INDEX('Accounts Overview'!$I$2:$I$100,W48)="","",INDEX('Accounts Overview'!$I$2:$I$100,W48))))</f>
        <v/>
      </c>
      <c r="M48" s="1" t="str">
        <f>IF($B48="","",IF(V48="","",IF(INDEX('Input Contact Information'!$J$2:$J$200,V48)="","",INDEX('Input Contact Information'!$J$2:$J$200,V48))))</f>
        <v/>
      </c>
      <c r="N48" s="1" t="str">
        <f>IF($B48="","",IF(V48="","",IF(INDEX('Input Contact Information'!$K$2:$K$200,V48)="","",INDEX('Input Contact Information'!$K$2:$K$200,V48))))</f>
        <v/>
      </c>
      <c r="O48" s="1" t="str">
        <f>IF($B48="","",IF(V48="","",IF(INDEX('Input Contact Information'!$L$2:$L$200,V48)="","",INDEX('Input Contact Information'!$L$2:$L$200,V48))))</f>
        <v/>
      </c>
      <c r="P48" s="1" t="str">
        <f>IF($B48="","",IF((IF(V48="","",IF(INDEX('Input Contact Information'!$N$2:$N$200,V48)="","",INDEX('Input Contact Information'!$N$2:$N$200,V48))))&lt;&gt;"",IF(V48="","",IF(INDEX('Input Contact Information'!$N$2:$N$200,V48)="","",INDEX('Input Contact Information'!$N$2:$N$200,V48))),IF(V48="","",IF(INDEX('Input Contact Information'!$M$2:$M$200,V48)="","",INDEX('Input Contact Information'!$M$2:$M$200,V48)))))</f>
        <v/>
      </c>
      <c r="Q48" s="1" t="str">
        <f t="shared" si="3"/>
        <v/>
      </c>
      <c r="R48" s="1" t="str">
        <f>IF($B48="","",IF(X48="","",IF(INDEX('Engagements Overview'!$I$2:$I$200,X48)="","",INDEX('Engagements Overview'!$I$2:$I$200,X48))))</f>
        <v/>
      </c>
      <c r="S48" s="14" t="str">
        <f>IF($B48="","",IF(X48="","",IF(INDEX('Engagements Overview'!$K$2:$K$200,X48)="","",INDEX('Engagements Overview'!$K$2:$K$200,X48))))</f>
        <v/>
      </c>
      <c r="T48" s="1" t="str">
        <f>IF($B48="","",IF(V48="","",IF(INDEX('Input Contact Information'!$O$2:$O$200,V48)="","",INDEX('Input Contact Information'!$O$2:$O$200,V48))))</f>
        <v/>
      </c>
      <c r="U48" s="1" t="str">
        <f>IF($B48="","",IF(V48="","",IF(INDEX('Input Contact Information'!$P$2:$P$200,V48)="","",INDEX('Input Contact Information'!$P$2:$P$200,V48))))</f>
        <v/>
      </c>
      <c r="V48" s="1" t="str">
        <f>IF(B48="","",IFERROR(MATCH(B48&amp;"|"&amp;C48,'Input Contact Information'!$W$2:$W$200,0),""))</f>
        <v/>
      </c>
      <c r="W48" s="1" t="str">
        <f>IF(C48="","",IFERROR(MATCH(C48,'Accounts Overview'!$B$2:$B$100,0),""))</f>
        <v/>
      </c>
      <c r="X48" s="1" t="str">
        <f>IF(A48="","",IFERROR(MATCH(A48,'Engagements Overview'!$B$2:$B$200,0),""))</f>
        <v/>
      </c>
    </row>
    <row r="49" spans="1:24" ht="15" customHeight="1" x14ac:dyDescent="0.35">
      <c r="A49" s="13" t="str">
        <f t="shared" si="2"/>
        <v/>
      </c>
      <c r="B49" s="1" t="str">
        <f>IFERROR(INDEX('Input Contact Information'!$C$2:$C$200,MATCH(ROW()-1,'Input Contact Information'!$V$2:$V$200,0)),"")</f>
        <v/>
      </c>
      <c r="C49" s="1" t="str">
        <f>IFERROR(INDEX('Input Contact Information'!$B$2:$B$200,MATCH(ROW()-1,'Input Contact Information'!$V$2:$V$200,0)),"")</f>
        <v/>
      </c>
      <c r="D49" s="1" t="str">
        <f>IF($B49="","",IF(W49="","",INDEX('Accounts Overview'!$A$2:$A$100,W49)))</f>
        <v/>
      </c>
      <c r="E49" s="1" t="str">
        <f>IF($B49="","",IF(V49="","",IF(INDEX('Input Contact Information'!$D$2:$D$200,V49)="","",INDEX('Input Contact Information'!$D$2:$D$200,V49))))</f>
        <v/>
      </c>
      <c r="F49" s="1" t="str">
        <f>IF($B49="","",IF(V49="","",IF(INDEX('Input Contact Information'!$F$2:$F$200,V49)="","",INDEX('Input Contact Information'!$F$2:$F$200,V49))))</f>
        <v/>
      </c>
      <c r="G49" s="1" t="str">
        <f>IF($B49="","",IF(V49="","",IF(INDEX('Input Contact Information'!$E$2:$E$200,V49)="","",INDEX('Input Contact Information'!$E$2:$E$200,V49))))</f>
        <v/>
      </c>
      <c r="H49" s="1" t="str">
        <f>IF($B49="","",IF(V49="","",IF(INDEX('Input Contact Information'!$G$2:$G$200,V49)="","",INDEX('Input Contact Information'!$G$2:$G$200,V49))))</f>
        <v/>
      </c>
      <c r="I49" s="1" t="str">
        <f>IF($B49="","",IF(V49="","",IF(INDEX('Input Contact Information'!$H$2:$H$200,V49)="","",INDEX('Input Contact Information'!$H$2:$H$200,V49))))</f>
        <v/>
      </c>
      <c r="J49" s="1" t="str">
        <f>IF($B49="","",IF(V49="","",IF(INDEX('Input Contact Information'!$I$2:$I$200,V49)="","",INDEX('Input Contact Information'!$I$2:$I$200,V49))))</f>
        <v/>
      </c>
      <c r="K49" s="1" t="str">
        <f>IF($B49="","",IF(V49="","",IF(INDEX('Input Contact Information'!$A$2:$A$200,V49)="","",INDEX('Input Contact Information'!$A$2:$A$200,V49))))</f>
        <v/>
      </c>
      <c r="L49" s="1" t="str">
        <f>IF($B49="","",IF(W49="","",IF(INDEX('Accounts Overview'!$I$2:$I$100,W49)="","",INDEX('Accounts Overview'!$I$2:$I$100,W49))))</f>
        <v/>
      </c>
      <c r="M49" s="1" t="str">
        <f>IF($B49="","",IF(V49="","",IF(INDEX('Input Contact Information'!$J$2:$J$200,V49)="","",INDEX('Input Contact Information'!$J$2:$J$200,V49))))</f>
        <v/>
      </c>
      <c r="N49" s="1" t="str">
        <f>IF($B49="","",IF(V49="","",IF(INDEX('Input Contact Information'!$K$2:$K$200,V49)="","",INDEX('Input Contact Information'!$K$2:$K$200,V49))))</f>
        <v/>
      </c>
      <c r="O49" s="1" t="str">
        <f>IF($B49="","",IF(V49="","",IF(INDEX('Input Contact Information'!$L$2:$L$200,V49)="","",INDEX('Input Contact Information'!$L$2:$L$200,V49))))</f>
        <v/>
      </c>
      <c r="P49" s="1" t="str">
        <f>IF($B49="","",IF((IF(V49="","",IF(INDEX('Input Contact Information'!$N$2:$N$200,V49)="","",INDEX('Input Contact Information'!$N$2:$N$200,V49))))&lt;&gt;"",IF(V49="","",IF(INDEX('Input Contact Information'!$N$2:$N$200,V49)="","",INDEX('Input Contact Information'!$N$2:$N$200,V49))),IF(V49="","",IF(INDEX('Input Contact Information'!$M$2:$M$200,V49)="","",INDEX('Input Contact Information'!$M$2:$M$200,V49)))))</f>
        <v/>
      </c>
      <c r="Q49" s="1" t="str">
        <f t="shared" si="3"/>
        <v/>
      </c>
      <c r="R49" s="1" t="str">
        <f>IF($B49="","",IF(X49="","",IF(INDEX('Engagements Overview'!$I$2:$I$200,X49)="","",INDEX('Engagements Overview'!$I$2:$I$200,X49))))</f>
        <v/>
      </c>
      <c r="S49" s="14" t="str">
        <f>IF($B49="","",IF(X49="","",IF(INDEX('Engagements Overview'!$K$2:$K$200,X49)="","",INDEX('Engagements Overview'!$K$2:$K$200,X49))))</f>
        <v/>
      </c>
      <c r="T49" s="1" t="str">
        <f>IF($B49="","",IF(V49="","",IF(INDEX('Input Contact Information'!$O$2:$O$200,V49)="","",INDEX('Input Contact Information'!$O$2:$O$200,V49))))</f>
        <v/>
      </c>
      <c r="U49" s="1" t="str">
        <f>IF($B49="","",IF(V49="","",IF(INDEX('Input Contact Information'!$P$2:$P$200,V49)="","",INDEX('Input Contact Information'!$P$2:$P$200,V49))))</f>
        <v/>
      </c>
      <c r="V49" s="1" t="str">
        <f>IF(B49="","",IFERROR(MATCH(B49&amp;"|"&amp;C49,'Input Contact Information'!$W$2:$W$200,0),""))</f>
        <v/>
      </c>
      <c r="W49" s="1" t="str">
        <f>IF(C49="","",IFERROR(MATCH(C49,'Accounts Overview'!$B$2:$B$100,0),""))</f>
        <v/>
      </c>
      <c r="X49" s="1" t="str">
        <f>IF(A49="","",IFERROR(MATCH(A49,'Engagements Overview'!$B$2:$B$200,0),""))</f>
        <v/>
      </c>
    </row>
    <row r="50" spans="1:24" ht="15" customHeight="1" x14ac:dyDescent="0.35">
      <c r="A50" s="13" t="str">
        <f t="shared" si="2"/>
        <v/>
      </c>
      <c r="B50" s="1" t="str">
        <f>IFERROR(INDEX('Input Contact Information'!$C$2:$C$200,MATCH(ROW()-1,'Input Contact Information'!$V$2:$V$200,0)),"")</f>
        <v/>
      </c>
      <c r="C50" s="1" t="str">
        <f>IFERROR(INDEX('Input Contact Information'!$B$2:$B$200,MATCH(ROW()-1,'Input Contact Information'!$V$2:$V$200,0)),"")</f>
        <v/>
      </c>
      <c r="D50" s="1" t="str">
        <f>IF($B50="","",IF(W50="","",INDEX('Accounts Overview'!$A$2:$A$100,W50)))</f>
        <v/>
      </c>
      <c r="E50" s="1" t="str">
        <f>IF($B50="","",IF(V50="","",IF(INDEX('Input Contact Information'!$D$2:$D$200,V50)="","",INDEX('Input Contact Information'!$D$2:$D$200,V50))))</f>
        <v/>
      </c>
      <c r="F50" s="1" t="str">
        <f>IF($B50="","",IF(V50="","",IF(INDEX('Input Contact Information'!$F$2:$F$200,V50)="","",INDEX('Input Contact Information'!$F$2:$F$200,V50))))</f>
        <v/>
      </c>
      <c r="G50" s="1" t="str">
        <f>IF($B50="","",IF(V50="","",IF(INDEX('Input Contact Information'!$E$2:$E$200,V50)="","",INDEX('Input Contact Information'!$E$2:$E$200,V50))))</f>
        <v/>
      </c>
      <c r="H50" s="1" t="str">
        <f>IF($B50="","",IF(V50="","",IF(INDEX('Input Contact Information'!$G$2:$G$200,V50)="","",INDEX('Input Contact Information'!$G$2:$G$200,V50))))</f>
        <v/>
      </c>
      <c r="I50" s="1" t="str">
        <f>IF($B50="","",IF(V50="","",IF(INDEX('Input Contact Information'!$H$2:$H$200,V50)="","",INDEX('Input Contact Information'!$H$2:$H$200,V50))))</f>
        <v/>
      </c>
      <c r="J50" s="1" t="str">
        <f>IF($B50="","",IF(V50="","",IF(INDEX('Input Contact Information'!$I$2:$I$200,V50)="","",INDEX('Input Contact Information'!$I$2:$I$200,V50))))</f>
        <v/>
      </c>
      <c r="K50" s="1" t="str">
        <f>IF($B50="","",IF(V50="","",IF(INDEX('Input Contact Information'!$A$2:$A$200,V50)="","",INDEX('Input Contact Information'!$A$2:$A$200,V50))))</f>
        <v/>
      </c>
      <c r="L50" s="1" t="str">
        <f>IF($B50="","",IF(W50="","",IF(INDEX('Accounts Overview'!$I$2:$I$100,W50)="","",INDEX('Accounts Overview'!$I$2:$I$100,W50))))</f>
        <v/>
      </c>
      <c r="M50" s="1" t="str">
        <f>IF($B50="","",IF(V50="","",IF(INDEX('Input Contact Information'!$J$2:$J$200,V50)="","",INDEX('Input Contact Information'!$J$2:$J$200,V50))))</f>
        <v/>
      </c>
      <c r="N50" s="1" t="str">
        <f>IF($B50="","",IF(V50="","",IF(INDEX('Input Contact Information'!$K$2:$K$200,V50)="","",INDEX('Input Contact Information'!$K$2:$K$200,V50))))</f>
        <v/>
      </c>
      <c r="O50" s="1" t="str">
        <f>IF($B50="","",IF(V50="","",IF(INDEX('Input Contact Information'!$L$2:$L$200,V50)="","",INDEX('Input Contact Information'!$L$2:$L$200,V50))))</f>
        <v/>
      </c>
      <c r="P50" s="1" t="str">
        <f>IF($B50="","",IF((IF(V50="","",IF(INDEX('Input Contact Information'!$N$2:$N$200,V50)="","",INDEX('Input Contact Information'!$N$2:$N$200,V50))))&lt;&gt;"",IF(V50="","",IF(INDEX('Input Contact Information'!$N$2:$N$200,V50)="","",INDEX('Input Contact Information'!$N$2:$N$200,V50))),IF(V50="","",IF(INDEX('Input Contact Information'!$M$2:$M$200,V50)="","",INDEX('Input Contact Information'!$M$2:$M$200,V50)))))</f>
        <v/>
      </c>
      <c r="Q50" s="1" t="str">
        <f t="shared" si="3"/>
        <v/>
      </c>
      <c r="R50" s="1" t="str">
        <f>IF($B50="","",IF(X50="","",IF(INDEX('Engagements Overview'!$I$2:$I$200,X50)="","",INDEX('Engagements Overview'!$I$2:$I$200,X50))))</f>
        <v/>
      </c>
      <c r="S50" s="14" t="str">
        <f>IF($B50="","",IF(X50="","",IF(INDEX('Engagements Overview'!$K$2:$K$200,X50)="","",INDEX('Engagements Overview'!$K$2:$K$200,X50))))</f>
        <v/>
      </c>
      <c r="T50" s="1" t="str">
        <f>IF($B50="","",IF(V50="","",IF(INDEX('Input Contact Information'!$O$2:$O$200,V50)="","",INDEX('Input Contact Information'!$O$2:$O$200,V50))))</f>
        <v/>
      </c>
      <c r="U50" s="1" t="str">
        <f>IF($B50="","",IF(V50="","",IF(INDEX('Input Contact Information'!$P$2:$P$200,V50)="","",INDEX('Input Contact Information'!$P$2:$P$200,V50))))</f>
        <v/>
      </c>
      <c r="V50" s="1" t="str">
        <f>IF(B50="","",IFERROR(MATCH(B50&amp;"|"&amp;C50,'Input Contact Information'!$W$2:$W$200,0),""))</f>
        <v/>
      </c>
      <c r="W50" s="1" t="str">
        <f>IF(C50="","",IFERROR(MATCH(C50,'Accounts Overview'!$B$2:$B$100,0),""))</f>
        <v/>
      </c>
      <c r="X50" s="1" t="str">
        <f>IF(A50="","",IFERROR(MATCH(A50,'Engagements Overview'!$B$2:$B$200,0),""))</f>
        <v/>
      </c>
    </row>
    <row r="51" spans="1:24" ht="15" customHeight="1" x14ac:dyDescent="0.35">
      <c r="A51" s="13" t="str">
        <f t="shared" si="2"/>
        <v/>
      </c>
      <c r="B51" s="1" t="str">
        <f>IFERROR(INDEX('Input Contact Information'!$C$2:$C$200,MATCH(ROW()-1,'Input Contact Information'!$V$2:$V$200,0)),"")</f>
        <v/>
      </c>
      <c r="C51" s="1" t="str">
        <f>IFERROR(INDEX('Input Contact Information'!$B$2:$B$200,MATCH(ROW()-1,'Input Contact Information'!$V$2:$V$200,0)),"")</f>
        <v/>
      </c>
      <c r="D51" s="1" t="str">
        <f>IF($B51="","",IF(W51="","",INDEX('Accounts Overview'!$A$2:$A$100,W51)))</f>
        <v/>
      </c>
      <c r="E51" s="1" t="str">
        <f>IF($B51="","",IF(V51="","",IF(INDEX('Input Contact Information'!$D$2:$D$200,V51)="","",INDEX('Input Contact Information'!$D$2:$D$200,V51))))</f>
        <v/>
      </c>
      <c r="F51" s="1" t="str">
        <f>IF($B51="","",IF(V51="","",IF(INDEX('Input Contact Information'!$F$2:$F$200,V51)="","",INDEX('Input Contact Information'!$F$2:$F$200,V51))))</f>
        <v/>
      </c>
      <c r="G51" s="1" t="str">
        <f>IF($B51="","",IF(V51="","",IF(INDEX('Input Contact Information'!$E$2:$E$200,V51)="","",INDEX('Input Contact Information'!$E$2:$E$200,V51))))</f>
        <v/>
      </c>
      <c r="H51" s="1" t="str">
        <f>IF($B51="","",IF(V51="","",IF(INDEX('Input Contact Information'!$G$2:$G$200,V51)="","",INDEX('Input Contact Information'!$G$2:$G$200,V51))))</f>
        <v/>
      </c>
      <c r="I51" s="1" t="str">
        <f>IF($B51="","",IF(V51="","",IF(INDEX('Input Contact Information'!$H$2:$H$200,V51)="","",INDEX('Input Contact Information'!$H$2:$H$200,V51))))</f>
        <v/>
      </c>
      <c r="J51" s="1" t="str">
        <f>IF($B51="","",IF(V51="","",IF(INDEX('Input Contact Information'!$I$2:$I$200,V51)="","",INDEX('Input Contact Information'!$I$2:$I$200,V51))))</f>
        <v/>
      </c>
      <c r="K51" s="1" t="str">
        <f>IF($B51="","",IF(V51="","",IF(INDEX('Input Contact Information'!$A$2:$A$200,V51)="","",INDEX('Input Contact Information'!$A$2:$A$200,V51))))</f>
        <v/>
      </c>
      <c r="L51" s="1" t="str">
        <f>IF($B51="","",IF(W51="","",IF(INDEX('Accounts Overview'!$I$2:$I$100,W51)="","",INDEX('Accounts Overview'!$I$2:$I$100,W51))))</f>
        <v/>
      </c>
      <c r="M51" s="1" t="str">
        <f>IF($B51="","",IF(V51="","",IF(INDEX('Input Contact Information'!$J$2:$J$200,V51)="","",INDEX('Input Contact Information'!$J$2:$J$200,V51))))</f>
        <v/>
      </c>
      <c r="N51" s="1" t="str">
        <f>IF($B51="","",IF(V51="","",IF(INDEX('Input Contact Information'!$K$2:$K$200,V51)="","",INDEX('Input Contact Information'!$K$2:$K$200,V51))))</f>
        <v/>
      </c>
      <c r="O51" s="1" t="str">
        <f>IF($B51="","",IF(V51="","",IF(INDEX('Input Contact Information'!$L$2:$L$200,V51)="","",INDEX('Input Contact Information'!$L$2:$L$200,V51))))</f>
        <v/>
      </c>
      <c r="P51" s="1" t="str">
        <f>IF($B51="","",IF((IF(V51="","",IF(INDEX('Input Contact Information'!$N$2:$N$200,V51)="","",INDEX('Input Contact Information'!$N$2:$N$200,V51))))&lt;&gt;"",IF(V51="","",IF(INDEX('Input Contact Information'!$N$2:$N$200,V51)="","",INDEX('Input Contact Information'!$N$2:$N$200,V51))),IF(V51="","",IF(INDEX('Input Contact Information'!$M$2:$M$200,V51)="","",INDEX('Input Contact Information'!$M$2:$M$200,V51)))))</f>
        <v/>
      </c>
      <c r="Q51" s="1" t="str">
        <f t="shared" si="3"/>
        <v/>
      </c>
      <c r="R51" s="1" t="str">
        <f>IF($B51="","",IF(X51="","",IF(INDEX('Engagements Overview'!$I$2:$I$200,X51)="","",INDEX('Engagements Overview'!$I$2:$I$200,X51))))</f>
        <v/>
      </c>
      <c r="S51" s="14" t="str">
        <f>IF($B51="","",IF(X51="","",IF(INDEX('Engagements Overview'!$K$2:$K$200,X51)="","",INDEX('Engagements Overview'!$K$2:$K$200,X51))))</f>
        <v/>
      </c>
      <c r="T51" s="1" t="str">
        <f>IF($B51="","",IF(V51="","",IF(INDEX('Input Contact Information'!$O$2:$O$200,V51)="","",INDEX('Input Contact Information'!$O$2:$O$200,V51))))</f>
        <v/>
      </c>
      <c r="U51" s="1" t="str">
        <f>IF($B51="","",IF(V51="","",IF(INDEX('Input Contact Information'!$P$2:$P$200,V51)="","",INDEX('Input Contact Information'!$P$2:$P$200,V51))))</f>
        <v/>
      </c>
      <c r="V51" s="1" t="str">
        <f>IF(B51="","",IFERROR(MATCH(B51&amp;"|"&amp;C51,'Input Contact Information'!$W$2:$W$200,0),""))</f>
        <v/>
      </c>
      <c r="W51" s="1" t="str">
        <f>IF(C51="","",IFERROR(MATCH(C51,'Accounts Overview'!$B$2:$B$100,0),""))</f>
        <v/>
      </c>
      <c r="X51" s="1" t="str">
        <f>IF(A51="","",IFERROR(MATCH(A51,'Engagements Overview'!$B$2:$B$200,0),""))</f>
        <v/>
      </c>
    </row>
    <row r="52" spans="1:24" ht="15" customHeight="1" x14ac:dyDescent="0.35">
      <c r="A52" s="13" t="str">
        <f t="shared" si="2"/>
        <v/>
      </c>
      <c r="B52" s="1" t="str">
        <f>IFERROR(INDEX('Input Contact Information'!$C$2:$C$200,MATCH(ROW()-1,'Input Contact Information'!$V$2:$V$200,0)),"")</f>
        <v/>
      </c>
      <c r="C52" s="1" t="str">
        <f>IFERROR(INDEX('Input Contact Information'!$B$2:$B$200,MATCH(ROW()-1,'Input Contact Information'!$V$2:$V$200,0)),"")</f>
        <v/>
      </c>
      <c r="D52" s="1" t="str">
        <f>IF($B52="","",IF(W52="","",INDEX('Accounts Overview'!$A$2:$A$100,W52)))</f>
        <v/>
      </c>
      <c r="E52" s="1" t="str">
        <f>IF($B52="","",IF(V52="","",IF(INDEX('Input Contact Information'!$D$2:$D$200,V52)="","",INDEX('Input Contact Information'!$D$2:$D$200,V52))))</f>
        <v/>
      </c>
      <c r="F52" s="1" t="str">
        <f>IF($B52="","",IF(V52="","",IF(INDEX('Input Contact Information'!$F$2:$F$200,V52)="","",INDEX('Input Contact Information'!$F$2:$F$200,V52))))</f>
        <v/>
      </c>
      <c r="G52" s="1" t="str">
        <f>IF($B52="","",IF(V52="","",IF(INDEX('Input Contact Information'!$E$2:$E$200,V52)="","",INDEX('Input Contact Information'!$E$2:$E$200,V52))))</f>
        <v/>
      </c>
      <c r="H52" s="1" t="str">
        <f>IF($B52="","",IF(V52="","",IF(INDEX('Input Contact Information'!$G$2:$G$200,V52)="","",INDEX('Input Contact Information'!$G$2:$G$200,V52))))</f>
        <v/>
      </c>
      <c r="I52" s="1" t="str">
        <f>IF($B52="","",IF(V52="","",IF(INDEX('Input Contact Information'!$H$2:$H$200,V52)="","",INDEX('Input Contact Information'!$H$2:$H$200,V52))))</f>
        <v/>
      </c>
      <c r="J52" s="1" t="str">
        <f>IF($B52="","",IF(V52="","",IF(INDEX('Input Contact Information'!$I$2:$I$200,V52)="","",INDEX('Input Contact Information'!$I$2:$I$200,V52))))</f>
        <v/>
      </c>
      <c r="K52" s="1" t="str">
        <f>IF($B52="","",IF(V52="","",IF(INDEX('Input Contact Information'!$A$2:$A$200,V52)="","",INDEX('Input Contact Information'!$A$2:$A$200,V52))))</f>
        <v/>
      </c>
      <c r="L52" s="1" t="str">
        <f>IF($B52="","",IF(W52="","",IF(INDEX('Accounts Overview'!$I$2:$I$100,W52)="","",INDEX('Accounts Overview'!$I$2:$I$100,W52))))</f>
        <v/>
      </c>
      <c r="M52" s="1" t="str">
        <f>IF($B52="","",IF(V52="","",IF(INDEX('Input Contact Information'!$J$2:$J$200,V52)="","",INDEX('Input Contact Information'!$J$2:$J$200,V52))))</f>
        <v/>
      </c>
      <c r="N52" s="1" t="str">
        <f>IF($B52="","",IF(V52="","",IF(INDEX('Input Contact Information'!$K$2:$K$200,V52)="","",INDEX('Input Contact Information'!$K$2:$K$200,V52))))</f>
        <v/>
      </c>
      <c r="O52" s="1" t="str">
        <f>IF($B52="","",IF(V52="","",IF(INDEX('Input Contact Information'!$L$2:$L$200,V52)="","",INDEX('Input Contact Information'!$L$2:$L$200,V52))))</f>
        <v/>
      </c>
      <c r="P52" s="1" t="str">
        <f>IF($B52="","",IF((IF(V52="","",IF(INDEX('Input Contact Information'!$N$2:$N$200,V52)="","",INDEX('Input Contact Information'!$N$2:$N$200,V52))))&lt;&gt;"",IF(V52="","",IF(INDEX('Input Contact Information'!$N$2:$N$200,V52)="","",INDEX('Input Contact Information'!$N$2:$N$200,V52))),IF(V52="","",IF(INDEX('Input Contact Information'!$M$2:$M$200,V52)="","",INDEX('Input Contact Information'!$M$2:$M$200,V52)))))</f>
        <v/>
      </c>
      <c r="Q52" s="1" t="str">
        <f t="shared" si="3"/>
        <v/>
      </c>
      <c r="R52" s="1" t="str">
        <f>IF($B52="","",IF(X52="","",IF(INDEX('Engagements Overview'!$I$2:$I$200,X52)="","",INDEX('Engagements Overview'!$I$2:$I$200,X52))))</f>
        <v/>
      </c>
      <c r="S52" s="14" t="str">
        <f>IF($B52="","",IF(X52="","",IF(INDEX('Engagements Overview'!$K$2:$K$200,X52)="","",INDEX('Engagements Overview'!$K$2:$K$200,X52))))</f>
        <v/>
      </c>
      <c r="T52" s="1" t="str">
        <f>IF($B52="","",IF(V52="","",IF(INDEX('Input Contact Information'!$O$2:$O$200,V52)="","",INDEX('Input Contact Information'!$O$2:$O$200,V52))))</f>
        <v/>
      </c>
      <c r="U52" s="1" t="str">
        <f>IF($B52="","",IF(V52="","",IF(INDEX('Input Contact Information'!$P$2:$P$200,V52)="","",INDEX('Input Contact Information'!$P$2:$P$200,V52))))</f>
        <v/>
      </c>
      <c r="V52" s="1" t="str">
        <f>IF(B52="","",IFERROR(MATCH(B52&amp;"|"&amp;C52,'Input Contact Information'!$W$2:$W$200,0),""))</f>
        <v/>
      </c>
      <c r="W52" s="1" t="str">
        <f>IF(C52="","",IFERROR(MATCH(C52,'Accounts Overview'!$B$2:$B$100,0),""))</f>
        <v/>
      </c>
      <c r="X52" s="1" t="str">
        <f>IF(A52="","",IFERROR(MATCH(A52,'Engagements Overview'!$B$2:$B$200,0),""))</f>
        <v/>
      </c>
    </row>
    <row r="53" spans="1:24" ht="15" customHeight="1" x14ac:dyDescent="0.35">
      <c r="A53" s="13" t="str">
        <f t="shared" si="2"/>
        <v/>
      </c>
      <c r="B53" s="1" t="str">
        <f>IFERROR(INDEX('Input Contact Information'!$C$2:$C$200,MATCH(ROW()-1,'Input Contact Information'!$V$2:$V$200,0)),"")</f>
        <v/>
      </c>
      <c r="C53" s="1" t="str">
        <f>IFERROR(INDEX('Input Contact Information'!$B$2:$B$200,MATCH(ROW()-1,'Input Contact Information'!$V$2:$V$200,0)),"")</f>
        <v/>
      </c>
      <c r="D53" s="1" t="str">
        <f>IF($B53="","",IF(W53="","",INDEX('Accounts Overview'!$A$2:$A$100,W53)))</f>
        <v/>
      </c>
      <c r="E53" s="1" t="str">
        <f>IF($B53="","",IF(V53="","",IF(INDEX('Input Contact Information'!$D$2:$D$200,V53)="","",INDEX('Input Contact Information'!$D$2:$D$200,V53))))</f>
        <v/>
      </c>
      <c r="F53" s="1" t="str">
        <f>IF($B53="","",IF(V53="","",IF(INDEX('Input Contact Information'!$F$2:$F$200,V53)="","",INDEX('Input Contact Information'!$F$2:$F$200,V53))))</f>
        <v/>
      </c>
      <c r="G53" s="1" t="str">
        <f>IF($B53="","",IF(V53="","",IF(INDEX('Input Contact Information'!$E$2:$E$200,V53)="","",INDEX('Input Contact Information'!$E$2:$E$200,V53))))</f>
        <v/>
      </c>
      <c r="H53" s="1" t="str">
        <f>IF($B53="","",IF(V53="","",IF(INDEX('Input Contact Information'!$G$2:$G$200,V53)="","",INDEX('Input Contact Information'!$G$2:$G$200,V53))))</f>
        <v/>
      </c>
      <c r="I53" s="1" t="str">
        <f>IF($B53="","",IF(V53="","",IF(INDEX('Input Contact Information'!$H$2:$H$200,V53)="","",INDEX('Input Contact Information'!$H$2:$H$200,V53))))</f>
        <v/>
      </c>
      <c r="J53" s="1" t="str">
        <f>IF($B53="","",IF(V53="","",IF(INDEX('Input Contact Information'!$I$2:$I$200,V53)="","",INDEX('Input Contact Information'!$I$2:$I$200,V53))))</f>
        <v/>
      </c>
      <c r="K53" s="1" t="str">
        <f>IF($B53="","",IF(V53="","",IF(INDEX('Input Contact Information'!$A$2:$A$200,V53)="","",INDEX('Input Contact Information'!$A$2:$A$200,V53))))</f>
        <v/>
      </c>
      <c r="L53" s="1" t="str">
        <f>IF($B53="","",IF(W53="","",IF(INDEX('Accounts Overview'!$I$2:$I$100,W53)="","",INDEX('Accounts Overview'!$I$2:$I$100,W53))))</f>
        <v/>
      </c>
      <c r="M53" s="1" t="str">
        <f>IF($B53="","",IF(V53="","",IF(INDEX('Input Contact Information'!$J$2:$J$200,V53)="","",INDEX('Input Contact Information'!$J$2:$J$200,V53))))</f>
        <v/>
      </c>
      <c r="N53" s="1" t="str">
        <f>IF($B53="","",IF(V53="","",IF(INDEX('Input Contact Information'!$K$2:$K$200,V53)="","",INDEX('Input Contact Information'!$K$2:$K$200,V53))))</f>
        <v/>
      </c>
      <c r="O53" s="1" t="str">
        <f>IF($B53="","",IF(V53="","",IF(INDEX('Input Contact Information'!$L$2:$L$200,V53)="","",INDEX('Input Contact Information'!$L$2:$L$200,V53))))</f>
        <v/>
      </c>
      <c r="P53" s="1" t="str">
        <f>IF($B53="","",IF((IF(V53="","",IF(INDEX('Input Contact Information'!$N$2:$N$200,V53)="","",INDEX('Input Contact Information'!$N$2:$N$200,V53))))&lt;&gt;"",IF(V53="","",IF(INDEX('Input Contact Information'!$N$2:$N$200,V53)="","",INDEX('Input Contact Information'!$N$2:$N$200,V53))),IF(V53="","",IF(INDEX('Input Contact Information'!$M$2:$M$200,V53)="","",INDEX('Input Contact Information'!$M$2:$M$200,V53)))))</f>
        <v/>
      </c>
      <c r="Q53" s="1" t="str">
        <f t="shared" si="3"/>
        <v/>
      </c>
      <c r="R53" s="1" t="str">
        <f>IF($B53="","",IF(X53="","",IF(INDEX('Engagements Overview'!$I$2:$I$200,X53)="","",INDEX('Engagements Overview'!$I$2:$I$200,X53))))</f>
        <v/>
      </c>
      <c r="S53" s="14" t="str">
        <f>IF($B53="","",IF(X53="","",IF(INDEX('Engagements Overview'!$K$2:$K$200,X53)="","",INDEX('Engagements Overview'!$K$2:$K$200,X53))))</f>
        <v/>
      </c>
      <c r="T53" s="1" t="str">
        <f>IF($B53="","",IF(V53="","",IF(INDEX('Input Contact Information'!$O$2:$O$200,V53)="","",INDEX('Input Contact Information'!$O$2:$O$200,V53))))</f>
        <v/>
      </c>
      <c r="U53" s="1" t="str">
        <f>IF($B53="","",IF(V53="","",IF(INDEX('Input Contact Information'!$P$2:$P$200,V53)="","",INDEX('Input Contact Information'!$P$2:$P$200,V53))))</f>
        <v/>
      </c>
      <c r="V53" s="1" t="str">
        <f>IF(B53="","",IFERROR(MATCH(B53&amp;"|"&amp;C53,'Input Contact Information'!$W$2:$W$200,0),""))</f>
        <v/>
      </c>
      <c r="W53" s="1" t="str">
        <f>IF(C53="","",IFERROR(MATCH(C53,'Accounts Overview'!$B$2:$B$100,0),""))</f>
        <v/>
      </c>
      <c r="X53" s="1" t="str">
        <f>IF(A53="","",IFERROR(MATCH(A53,'Engagements Overview'!$B$2:$B$200,0),""))</f>
        <v/>
      </c>
    </row>
    <row r="54" spans="1:24" ht="15" customHeight="1" x14ac:dyDescent="0.35">
      <c r="A54" s="13" t="str">
        <f t="shared" si="2"/>
        <v/>
      </c>
      <c r="B54" s="1" t="str">
        <f>IFERROR(INDEX('Input Contact Information'!$C$2:$C$200,MATCH(ROW()-1,'Input Contact Information'!$V$2:$V$200,0)),"")</f>
        <v/>
      </c>
      <c r="C54" s="1" t="str">
        <f>IFERROR(INDEX('Input Contact Information'!$B$2:$B$200,MATCH(ROW()-1,'Input Contact Information'!$V$2:$V$200,0)),"")</f>
        <v/>
      </c>
      <c r="D54" s="1" t="str">
        <f>IF($B54="","",IF(W54="","",INDEX('Accounts Overview'!$A$2:$A$100,W54)))</f>
        <v/>
      </c>
      <c r="E54" s="1" t="str">
        <f>IF($B54="","",IF(V54="","",IF(INDEX('Input Contact Information'!$D$2:$D$200,V54)="","",INDEX('Input Contact Information'!$D$2:$D$200,V54))))</f>
        <v/>
      </c>
      <c r="F54" s="1" t="str">
        <f>IF($B54="","",IF(V54="","",IF(INDEX('Input Contact Information'!$F$2:$F$200,V54)="","",INDEX('Input Contact Information'!$F$2:$F$200,V54))))</f>
        <v/>
      </c>
      <c r="G54" s="1" t="str">
        <f>IF($B54="","",IF(V54="","",IF(INDEX('Input Contact Information'!$E$2:$E$200,V54)="","",INDEX('Input Contact Information'!$E$2:$E$200,V54))))</f>
        <v/>
      </c>
      <c r="H54" s="1" t="str">
        <f>IF($B54="","",IF(V54="","",IF(INDEX('Input Contact Information'!$G$2:$G$200,V54)="","",INDEX('Input Contact Information'!$G$2:$G$200,V54))))</f>
        <v/>
      </c>
      <c r="I54" s="1" t="str">
        <f>IF($B54="","",IF(V54="","",IF(INDEX('Input Contact Information'!$H$2:$H$200,V54)="","",INDEX('Input Contact Information'!$H$2:$H$200,V54))))</f>
        <v/>
      </c>
      <c r="J54" s="1" t="str">
        <f>IF($B54="","",IF(V54="","",IF(INDEX('Input Contact Information'!$I$2:$I$200,V54)="","",INDEX('Input Contact Information'!$I$2:$I$200,V54))))</f>
        <v/>
      </c>
      <c r="K54" s="1" t="str">
        <f>IF($B54="","",IF(V54="","",IF(INDEX('Input Contact Information'!$A$2:$A$200,V54)="","",INDEX('Input Contact Information'!$A$2:$A$200,V54))))</f>
        <v/>
      </c>
      <c r="L54" s="1" t="str">
        <f>IF($B54="","",IF(W54="","",IF(INDEX('Accounts Overview'!$I$2:$I$100,W54)="","",INDEX('Accounts Overview'!$I$2:$I$100,W54))))</f>
        <v/>
      </c>
      <c r="M54" s="1" t="str">
        <f>IF($B54="","",IF(V54="","",IF(INDEX('Input Contact Information'!$J$2:$J$200,V54)="","",INDEX('Input Contact Information'!$J$2:$J$200,V54))))</f>
        <v/>
      </c>
      <c r="N54" s="1" t="str">
        <f>IF($B54="","",IF(V54="","",IF(INDEX('Input Contact Information'!$K$2:$K$200,V54)="","",INDEX('Input Contact Information'!$K$2:$K$200,V54))))</f>
        <v/>
      </c>
      <c r="O54" s="1" t="str">
        <f>IF($B54="","",IF(V54="","",IF(INDEX('Input Contact Information'!$L$2:$L$200,V54)="","",INDEX('Input Contact Information'!$L$2:$L$200,V54))))</f>
        <v/>
      </c>
      <c r="P54" s="1" t="str">
        <f>IF($B54="","",IF((IF(V54="","",IF(INDEX('Input Contact Information'!$N$2:$N$200,V54)="","",INDEX('Input Contact Information'!$N$2:$N$200,V54))))&lt;&gt;"",IF(V54="","",IF(INDEX('Input Contact Information'!$N$2:$N$200,V54)="","",INDEX('Input Contact Information'!$N$2:$N$200,V54))),IF(V54="","",IF(INDEX('Input Contact Information'!$M$2:$M$200,V54)="","",INDEX('Input Contact Information'!$M$2:$M$200,V54)))))</f>
        <v/>
      </c>
      <c r="Q54" s="1" t="str">
        <f t="shared" si="3"/>
        <v/>
      </c>
      <c r="R54" s="1" t="str">
        <f>IF($B54="","",IF(X54="","",IF(INDEX('Engagements Overview'!$I$2:$I$200,X54)="","",INDEX('Engagements Overview'!$I$2:$I$200,X54))))</f>
        <v/>
      </c>
      <c r="S54" s="14" t="str">
        <f>IF($B54="","",IF(X54="","",IF(INDEX('Engagements Overview'!$K$2:$K$200,X54)="","",INDEX('Engagements Overview'!$K$2:$K$200,X54))))</f>
        <v/>
      </c>
      <c r="T54" s="1" t="str">
        <f>IF($B54="","",IF(V54="","",IF(INDEX('Input Contact Information'!$O$2:$O$200,V54)="","",INDEX('Input Contact Information'!$O$2:$O$200,V54))))</f>
        <v/>
      </c>
      <c r="U54" s="1" t="str">
        <f>IF($B54="","",IF(V54="","",IF(INDEX('Input Contact Information'!$P$2:$P$200,V54)="","",INDEX('Input Contact Information'!$P$2:$P$200,V54))))</f>
        <v/>
      </c>
      <c r="V54" s="1" t="str">
        <f>IF(B54="","",IFERROR(MATCH(B54&amp;"|"&amp;C54,'Input Contact Information'!$W$2:$W$200,0),""))</f>
        <v/>
      </c>
      <c r="W54" s="1" t="str">
        <f>IF(C54="","",IFERROR(MATCH(C54,'Accounts Overview'!$B$2:$B$100,0),""))</f>
        <v/>
      </c>
      <c r="X54" s="1" t="str">
        <f>IF(A54="","",IFERROR(MATCH(A54,'Engagements Overview'!$B$2:$B$200,0),""))</f>
        <v/>
      </c>
    </row>
    <row r="55" spans="1:24" ht="15" customHeight="1" x14ac:dyDescent="0.35">
      <c r="A55" s="13" t="str">
        <f t="shared" si="2"/>
        <v/>
      </c>
      <c r="B55" s="1" t="str">
        <f>IFERROR(INDEX('Input Contact Information'!$C$2:$C$200,MATCH(ROW()-1,'Input Contact Information'!$V$2:$V$200,0)),"")</f>
        <v/>
      </c>
      <c r="C55" s="1" t="str">
        <f>IFERROR(INDEX('Input Contact Information'!$B$2:$B$200,MATCH(ROW()-1,'Input Contact Information'!$V$2:$V$200,0)),"")</f>
        <v/>
      </c>
      <c r="D55" s="1" t="str">
        <f>IF($B55="","",IF(W55="","",INDEX('Accounts Overview'!$A$2:$A$100,W55)))</f>
        <v/>
      </c>
      <c r="E55" s="1" t="str">
        <f>IF($B55="","",IF(V55="","",IF(INDEX('Input Contact Information'!$D$2:$D$200,V55)="","",INDEX('Input Contact Information'!$D$2:$D$200,V55))))</f>
        <v/>
      </c>
      <c r="F55" s="1" t="str">
        <f>IF($B55="","",IF(V55="","",IF(INDEX('Input Contact Information'!$F$2:$F$200,V55)="","",INDEX('Input Contact Information'!$F$2:$F$200,V55))))</f>
        <v/>
      </c>
      <c r="G55" s="1" t="str">
        <f>IF($B55="","",IF(V55="","",IF(INDEX('Input Contact Information'!$E$2:$E$200,V55)="","",INDEX('Input Contact Information'!$E$2:$E$200,V55))))</f>
        <v/>
      </c>
      <c r="H55" s="1" t="str">
        <f>IF($B55="","",IF(V55="","",IF(INDEX('Input Contact Information'!$G$2:$G$200,V55)="","",INDEX('Input Contact Information'!$G$2:$G$200,V55))))</f>
        <v/>
      </c>
      <c r="I55" s="1" t="str">
        <f>IF($B55="","",IF(V55="","",IF(INDEX('Input Contact Information'!$H$2:$H$200,V55)="","",INDEX('Input Contact Information'!$H$2:$H$200,V55))))</f>
        <v/>
      </c>
      <c r="J55" s="1" t="str">
        <f>IF($B55="","",IF(V55="","",IF(INDEX('Input Contact Information'!$I$2:$I$200,V55)="","",INDEX('Input Contact Information'!$I$2:$I$200,V55))))</f>
        <v/>
      </c>
      <c r="K55" s="1" t="str">
        <f>IF($B55="","",IF(V55="","",IF(INDEX('Input Contact Information'!$A$2:$A$200,V55)="","",INDEX('Input Contact Information'!$A$2:$A$200,V55))))</f>
        <v/>
      </c>
      <c r="L55" s="1" t="str">
        <f>IF($B55="","",IF(W55="","",IF(INDEX('Accounts Overview'!$I$2:$I$100,W55)="","",INDEX('Accounts Overview'!$I$2:$I$100,W55))))</f>
        <v/>
      </c>
      <c r="M55" s="1" t="str">
        <f>IF($B55="","",IF(V55="","",IF(INDEX('Input Contact Information'!$J$2:$J$200,V55)="","",INDEX('Input Contact Information'!$J$2:$J$200,V55))))</f>
        <v/>
      </c>
      <c r="N55" s="1" t="str">
        <f>IF($B55="","",IF(V55="","",IF(INDEX('Input Contact Information'!$K$2:$K$200,V55)="","",INDEX('Input Contact Information'!$K$2:$K$200,V55))))</f>
        <v/>
      </c>
      <c r="O55" s="1" t="str">
        <f>IF($B55="","",IF(V55="","",IF(INDEX('Input Contact Information'!$L$2:$L$200,V55)="","",INDEX('Input Contact Information'!$L$2:$L$200,V55))))</f>
        <v/>
      </c>
      <c r="P55" s="1" t="str">
        <f>IF($B55="","",IF((IF(V55="","",IF(INDEX('Input Contact Information'!$N$2:$N$200,V55)="","",INDEX('Input Contact Information'!$N$2:$N$200,V55))))&lt;&gt;"",IF(V55="","",IF(INDEX('Input Contact Information'!$N$2:$N$200,V55)="","",INDEX('Input Contact Information'!$N$2:$N$200,V55))),IF(V55="","",IF(INDEX('Input Contact Information'!$M$2:$M$200,V55)="","",INDEX('Input Contact Information'!$M$2:$M$200,V55)))))</f>
        <v/>
      </c>
      <c r="Q55" s="1" t="str">
        <f t="shared" si="3"/>
        <v/>
      </c>
      <c r="R55" s="1" t="str">
        <f>IF($B55="","",IF(X55="","",IF(INDEX('Engagements Overview'!$I$2:$I$200,X55)="","",INDEX('Engagements Overview'!$I$2:$I$200,X55))))</f>
        <v/>
      </c>
      <c r="S55" s="14" t="str">
        <f>IF($B55="","",IF(X55="","",IF(INDEX('Engagements Overview'!$K$2:$K$200,X55)="","",INDEX('Engagements Overview'!$K$2:$K$200,X55))))</f>
        <v/>
      </c>
      <c r="T55" s="1" t="str">
        <f>IF($B55="","",IF(V55="","",IF(INDEX('Input Contact Information'!$O$2:$O$200,V55)="","",INDEX('Input Contact Information'!$O$2:$O$200,V55))))</f>
        <v/>
      </c>
      <c r="U55" s="1" t="str">
        <f>IF($B55="","",IF(V55="","",IF(INDEX('Input Contact Information'!$P$2:$P$200,V55)="","",INDEX('Input Contact Information'!$P$2:$P$200,V55))))</f>
        <v/>
      </c>
      <c r="V55" s="1" t="str">
        <f>IF(B55="","",IFERROR(MATCH(B55&amp;"|"&amp;C55,'Input Contact Information'!$W$2:$W$200,0),""))</f>
        <v/>
      </c>
      <c r="W55" s="1" t="str">
        <f>IF(C55="","",IFERROR(MATCH(C55,'Accounts Overview'!$B$2:$B$100,0),""))</f>
        <v/>
      </c>
      <c r="X55" s="1" t="str">
        <f>IF(A55="","",IFERROR(MATCH(A55,'Engagements Overview'!$B$2:$B$200,0),""))</f>
        <v/>
      </c>
    </row>
    <row r="56" spans="1:24" ht="15" customHeight="1" x14ac:dyDescent="0.35">
      <c r="A56" s="13" t="str">
        <f t="shared" si="2"/>
        <v/>
      </c>
      <c r="B56" s="1" t="str">
        <f>IFERROR(INDEX('Input Contact Information'!$C$2:$C$200,MATCH(ROW()-1,'Input Contact Information'!$V$2:$V$200,0)),"")</f>
        <v/>
      </c>
      <c r="C56" s="1" t="str">
        <f>IFERROR(INDEX('Input Contact Information'!$B$2:$B$200,MATCH(ROW()-1,'Input Contact Information'!$V$2:$V$200,0)),"")</f>
        <v/>
      </c>
      <c r="D56" s="1" t="str">
        <f>IF($B56="","",IF(W56="","",INDEX('Accounts Overview'!$A$2:$A$100,W56)))</f>
        <v/>
      </c>
      <c r="E56" s="1" t="str">
        <f>IF($B56="","",IF(V56="","",IF(INDEX('Input Contact Information'!$D$2:$D$200,V56)="","",INDEX('Input Contact Information'!$D$2:$D$200,V56))))</f>
        <v/>
      </c>
      <c r="F56" s="1" t="str">
        <f>IF($B56="","",IF(V56="","",IF(INDEX('Input Contact Information'!$F$2:$F$200,V56)="","",INDEX('Input Contact Information'!$F$2:$F$200,V56))))</f>
        <v/>
      </c>
      <c r="G56" s="1" t="str">
        <f>IF($B56="","",IF(V56="","",IF(INDEX('Input Contact Information'!$E$2:$E$200,V56)="","",INDEX('Input Contact Information'!$E$2:$E$200,V56))))</f>
        <v/>
      </c>
      <c r="H56" s="1" t="str">
        <f>IF($B56="","",IF(V56="","",IF(INDEX('Input Contact Information'!$G$2:$G$200,V56)="","",INDEX('Input Contact Information'!$G$2:$G$200,V56))))</f>
        <v/>
      </c>
      <c r="I56" s="1" t="str">
        <f>IF($B56="","",IF(V56="","",IF(INDEX('Input Contact Information'!$H$2:$H$200,V56)="","",INDEX('Input Contact Information'!$H$2:$H$200,V56))))</f>
        <v/>
      </c>
      <c r="J56" s="1" t="str">
        <f>IF($B56="","",IF(V56="","",IF(INDEX('Input Contact Information'!$I$2:$I$200,V56)="","",INDEX('Input Contact Information'!$I$2:$I$200,V56))))</f>
        <v/>
      </c>
      <c r="K56" s="1" t="str">
        <f>IF($B56="","",IF(V56="","",IF(INDEX('Input Contact Information'!$A$2:$A$200,V56)="","",INDEX('Input Contact Information'!$A$2:$A$200,V56))))</f>
        <v/>
      </c>
      <c r="L56" s="1" t="str">
        <f>IF($B56="","",IF(W56="","",IF(INDEX('Accounts Overview'!$I$2:$I$100,W56)="","",INDEX('Accounts Overview'!$I$2:$I$100,W56))))</f>
        <v/>
      </c>
      <c r="M56" s="1" t="str">
        <f>IF($B56="","",IF(V56="","",IF(INDEX('Input Contact Information'!$J$2:$J$200,V56)="","",INDEX('Input Contact Information'!$J$2:$J$200,V56))))</f>
        <v/>
      </c>
      <c r="N56" s="1" t="str">
        <f>IF($B56="","",IF(V56="","",IF(INDEX('Input Contact Information'!$K$2:$K$200,V56)="","",INDEX('Input Contact Information'!$K$2:$K$200,V56))))</f>
        <v/>
      </c>
      <c r="O56" s="1" t="str">
        <f>IF($B56="","",IF(V56="","",IF(INDEX('Input Contact Information'!$L$2:$L$200,V56)="","",INDEX('Input Contact Information'!$L$2:$L$200,V56))))</f>
        <v/>
      </c>
      <c r="P56" s="1" t="str">
        <f>IF($B56="","",IF((IF(V56="","",IF(INDEX('Input Contact Information'!$N$2:$N$200,V56)="","",INDEX('Input Contact Information'!$N$2:$N$200,V56))))&lt;&gt;"",IF(V56="","",IF(INDEX('Input Contact Information'!$N$2:$N$200,V56)="","",INDEX('Input Contact Information'!$N$2:$N$200,V56))),IF(V56="","",IF(INDEX('Input Contact Information'!$M$2:$M$200,V56)="","",INDEX('Input Contact Information'!$M$2:$M$200,V56)))))</f>
        <v/>
      </c>
      <c r="Q56" s="1" t="str">
        <f t="shared" si="3"/>
        <v/>
      </c>
      <c r="R56" s="1" t="str">
        <f>IF($B56="","",IF(X56="","",IF(INDEX('Engagements Overview'!$I$2:$I$200,X56)="","",INDEX('Engagements Overview'!$I$2:$I$200,X56))))</f>
        <v/>
      </c>
      <c r="S56" s="14" t="str">
        <f>IF($B56="","",IF(X56="","",IF(INDEX('Engagements Overview'!$K$2:$K$200,X56)="","",INDEX('Engagements Overview'!$K$2:$K$200,X56))))</f>
        <v/>
      </c>
      <c r="T56" s="1" t="str">
        <f>IF($B56="","",IF(V56="","",IF(INDEX('Input Contact Information'!$O$2:$O$200,V56)="","",INDEX('Input Contact Information'!$O$2:$O$200,V56))))</f>
        <v/>
      </c>
      <c r="U56" s="1" t="str">
        <f>IF($B56="","",IF(V56="","",IF(INDEX('Input Contact Information'!$P$2:$P$200,V56)="","",INDEX('Input Contact Information'!$P$2:$P$200,V56))))</f>
        <v/>
      </c>
      <c r="V56" s="1" t="str">
        <f>IF(B56="","",IFERROR(MATCH(B56&amp;"|"&amp;C56,'Input Contact Information'!$W$2:$W$200,0),""))</f>
        <v/>
      </c>
      <c r="W56" s="1" t="str">
        <f>IF(C56="","",IFERROR(MATCH(C56,'Accounts Overview'!$B$2:$B$100,0),""))</f>
        <v/>
      </c>
      <c r="X56" s="1" t="str">
        <f>IF(A56="","",IFERROR(MATCH(A56,'Engagements Overview'!$B$2:$B$200,0),""))</f>
        <v/>
      </c>
    </row>
    <row r="57" spans="1:24" ht="15" customHeight="1" x14ac:dyDescent="0.35">
      <c r="A57" s="13" t="str">
        <f t="shared" si="2"/>
        <v/>
      </c>
      <c r="B57" s="1" t="str">
        <f>IFERROR(INDEX('Input Contact Information'!$C$2:$C$200,MATCH(ROW()-1,'Input Contact Information'!$V$2:$V$200,0)),"")</f>
        <v/>
      </c>
      <c r="C57" s="1" t="str">
        <f>IFERROR(INDEX('Input Contact Information'!$B$2:$B$200,MATCH(ROW()-1,'Input Contact Information'!$V$2:$V$200,0)),"")</f>
        <v/>
      </c>
      <c r="D57" s="1" t="str">
        <f>IF($B57="","",IF(W57="","",INDEX('Accounts Overview'!$A$2:$A$100,W57)))</f>
        <v/>
      </c>
      <c r="E57" s="1" t="str">
        <f>IF($B57="","",IF(V57="","",IF(INDEX('Input Contact Information'!$D$2:$D$200,V57)="","",INDEX('Input Contact Information'!$D$2:$D$200,V57))))</f>
        <v/>
      </c>
      <c r="F57" s="1" t="str">
        <f>IF($B57="","",IF(V57="","",IF(INDEX('Input Contact Information'!$F$2:$F$200,V57)="","",INDEX('Input Contact Information'!$F$2:$F$200,V57))))</f>
        <v/>
      </c>
      <c r="G57" s="1" t="str">
        <f>IF($B57="","",IF(V57="","",IF(INDEX('Input Contact Information'!$E$2:$E$200,V57)="","",INDEX('Input Contact Information'!$E$2:$E$200,V57))))</f>
        <v/>
      </c>
      <c r="H57" s="1" t="str">
        <f>IF($B57="","",IF(V57="","",IF(INDEX('Input Contact Information'!$G$2:$G$200,V57)="","",INDEX('Input Contact Information'!$G$2:$G$200,V57))))</f>
        <v/>
      </c>
      <c r="I57" s="1" t="str">
        <f>IF($B57="","",IF(V57="","",IF(INDEX('Input Contact Information'!$H$2:$H$200,V57)="","",INDEX('Input Contact Information'!$H$2:$H$200,V57))))</f>
        <v/>
      </c>
      <c r="J57" s="1" t="str">
        <f>IF($B57="","",IF(V57="","",IF(INDEX('Input Contact Information'!$I$2:$I$200,V57)="","",INDEX('Input Contact Information'!$I$2:$I$200,V57))))</f>
        <v/>
      </c>
      <c r="K57" s="1" t="str">
        <f>IF($B57="","",IF(V57="","",IF(INDEX('Input Contact Information'!$A$2:$A$200,V57)="","",INDEX('Input Contact Information'!$A$2:$A$200,V57))))</f>
        <v/>
      </c>
      <c r="L57" s="1" t="str">
        <f>IF($B57="","",IF(W57="","",IF(INDEX('Accounts Overview'!$I$2:$I$100,W57)="","",INDEX('Accounts Overview'!$I$2:$I$100,W57))))</f>
        <v/>
      </c>
      <c r="M57" s="1" t="str">
        <f>IF($B57="","",IF(V57="","",IF(INDEX('Input Contact Information'!$J$2:$J$200,V57)="","",INDEX('Input Contact Information'!$J$2:$J$200,V57))))</f>
        <v/>
      </c>
      <c r="N57" s="1" t="str">
        <f>IF($B57="","",IF(V57="","",IF(INDEX('Input Contact Information'!$K$2:$K$200,V57)="","",INDEX('Input Contact Information'!$K$2:$K$200,V57))))</f>
        <v/>
      </c>
      <c r="O57" s="1" t="str">
        <f>IF($B57="","",IF(V57="","",IF(INDEX('Input Contact Information'!$L$2:$L$200,V57)="","",INDEX('Input Contact Information'!$L$2:$L$200,V57))))</f>
        <v/>
      </c>
      <c r="P57" s="1" t="str">
        <f>IF($B57="","",IF((IF(V57="","",IF(INDEX('Input Contact Information'!$N$2:$N$200,V57)="","",INDEX('Input Contact Information'!$N$2:$N$200,V57))))&lt;&gt;"",IF(V57="","",IF(INDEX('Input Contact Information'!$N$2:$N$200,V57)="","",INDEX('Input Contact Information'!$N$2:$N$200,V57))),IF(V57="","",IF(INDEX('Input Contact Information'!$M$2:$M$200,V57)="","",INDEX('Input Contact Information'!$M$2:$M$200,V57)))))</f>
        <v/>
      </c>
      <c r="Q57" s="1" t="str">
        <f t="shared" si="3"/>
        <v/>
      </c>
      <c r="R57" s="1" t="str">
        <f>IF($B57="","",IF(X57="","",IF(INDEX('Engagements Overview'!$I$2:$I$200,X57)="","",INDEX('Engagements Overview'!$I$2:$I$200,X57))))</f>
        <v/>
      </c>
      <c r="S57" s="14" t="str">
        <f>IF($B57="","",IF(X57="","",IF(INDEX('Engagements Overview'!$K$2:$K$200,X57)="","",INDEX('Engagements Overview'!$K$2:$K$200,X57))))</f>
        <v/>
      </c>
      <c r="T57" s="1" t="str">
        <f>IF($B57="","",IF(V57="","",IF(INDEX('Input Contact Information'!$O$2:$O$200,V57)="","",INDEX('Input Contact Information'!$O$2:$O$200,V57))))</f>
        <v/>
      </c>
      <c r="U57" s="1" t="str">
        <f>IF($B57="","",IF(V57="","",IF(INDEX('Input Contact Information'!$P$2:$P$200,V57)="","",INDEX('Input Contact Information'!$P$2:$P$200,V57))))</f>
        <v/>
      </c>
      <c r="V57" s="1" t="str">
        <f>IF(B57="","",IFERROR(MATCH(B57&amp;"|"&amp;C57,'Input Contact Information'!$W$2:$W$200,0),""))</f>
        <v/>
      </c>
      <c r="W57" s="1" t="str">
        <f>IF(C57="","",IFERROR(MATCH(C57,'Accounts Overview'!$B$2:$B$100,0),""))</f>
        <v/>
      </c>
      <c r="X57" s="1" t="str">
        <f>IF(A57="","",IFERROR(MATCH(A57,'Engagements Overview'!$B$2:$B$200,0),""))</f>
        <v/>
      </c>
    </row>
    <row r="58" spans="1:24" ht="15" customHeight="1" x14ac:dyDescent="0.35">
      <c r="A58" s="13" t="str">
        <f t="shared" si="2"/>
        <v/>
      </c>
      <c r="B58" s="1" t="str">
        <f>IFERROR(INDEX('Input Contact Information'!$C$2:$C$200,MATCH(ROW()-1,'Input Contact Information'!$V$2:$V$200,0)),"")</f>
        <v/>
      </c>
      <c r="C58" s="1" t="str">
        <f>IFERROR(INDEX('Input Contact Information'!$B$2:$B$200,MATCH(ROW()-1,'Input Contact Information'!$V$2:$V$200,0)),"")</f>
        <v/>
      </c>
      <c r="D58" s="1" t="str">
        <f>IF($B58="","",IF(W58="","",INDEX('Accounts Overview'!$A$2:$A$100,W58)))</f>
        <v/>
      </c>
      <c r="E58" s="1" t="str">
        <f>IF($B58="","",IF(V58="","",IF(INDEX('Input Contact Information'!$D$2:$D$200,V58)="","",INDEX('Input Contact Information'!$D$2:$D$200,V58))))</f>
        <v/>
      </c>
      <c r="F58" s="1" t="str">
        <f>IF($B58="","",IF(V58="","",IF(INDEX('Input Contact Information'!$F$2:$F$200,V58)="","",INDEX('Input Contact Information'!$F$2:$F$200,V58))))</f>
        <v/>
      </c>
      <c r="G58" s="1" t="str">
        <f>IF($B58="","",IF(V58="","",IF(INDEX('Input Contact Information'!$E$2:$E$200,V58)="","",INDEX('Input Contact Information'!$E$2:$E$200,V58))))</f>
        <v/>
      </c>
      <c r="H58" s="1" t="str">
        <f>IF($B58="","",IF(V58="","",IF(INDEX('Input Contact Information'!$G$2:$G$200,V58)="","",INDEX('Input Contact Information'!$G$2:$G$200,V58))))</f>
        <v/>
      </c>
      <c r="I58" s="1" t="str">
        <f>IF($B58="","",IF(V58="","",IF(INDEX('Input Contact Information'!$H$2:$H$200,V58)="","",INDEX('Input Contact Information'!$H$2:$H$200,V58))))</f>
        <v/>
      </c>
      <c r="J58" s="1" t="str">
        <f>IF($B58="","",IF(V58="","",IF(INDEX('Input Contact Information'!$I$2:$I$200,V58)="","",INDEX('Input Contact Information'!$I$2:$I$200,V58))))</f>
        <v/>
      </c>
      <c r="K58" s="1" t="str">
        <f>IF($B58="","",IF(V58="","",IF(INDEX('Input Contact Information'!$A$2:$A$200,V58)="","",INDEX('Input Contact Information'!$A$2:$A$200,V58))))</f>
        <v/>
      </c>
      <c r="L58" s="1" t="str">
        <f>IF($B58="","",IF(W58="","",IF(INDEX('Accounts Overview'!$I$2:$I$100,W58)="","",INDEX('Accounts Overview'!$I$2:$I$100,W58))))</f>
        <v/>
      </c>
      <c r="M58" s="1" t="str">
        <f>IF($B58="","",IF(V58="","",IF(INDEX('Input Contact Information'!$J$2:$J$200,V58)="","",INDEX('Input Contact Information'!$J$2:$J$200,V58))))</f>
        <v/>
      </c>
      <c r="N58" s="1" t="str">
        <f>IF($B58="","",IF(V58="","",IF(INDEX('Input Contact Information'!$K$2:$K$200,V58)="","",INDEX('Input Contact Information'!$K$2:$K$200,V58))))</f>
        <v/>
      </c>
      <c r="O58" s="1" t="str">
        <f>IF($B58="","",IF(V58="","",IF(INDEX('Input Contact Information'!$L$2:$L$200,V58)="","",INDEX('Input Contact Information'!$L$2:$L$200,V58))))</f>
        <v/>
      </c>
      <c r="P58" s="1" t="str">
        <f>IF($B58="","",IF((IF(V58="","",IF(INDEX('Input Contact Information'!$N$2:$N$200,V58)="","",INDEX('Input Contact Information'!$N$2:$N$200,V58))))&lt;&gt;"",IF(V58="","",IF(INDEX('Input Contact Information'!$N$2:$N$200,V58)="","",INDEX('Input Contact Information'!$N$2:$N$200,V58))),IF(V58="","",IF(INDEX('Input Contact Information'!$M$2:$M$200,V58)="","",INDEX('Input Contact Information'!$M$2:$M$200,V58)))))</f>
        <v/>
      </c>
      <c r="Q58" s="1" t="str">
        <f t="shared" si="3"/>
        <v/>
      </c>
      <c r="R58" s="1" t="str">
        <f>IF($B58="","",IF(X58="","",IF(INDEX('Engagements Overview'!$I$2:$I$200,X58)="","",INDEX('Engagements Overview'!$I$2:$I$200,X58))))</f>
        <v/>
      </c>
      <c r="S58" s="14" t="str">
        <f>IF($B58="","",IF(X58="","",IF(INDEX('Engagements Overview'!$K$2:$K$200,X58)="","",INDEX('Engagements Overview'!$K$2:$K$200,X58))))</f>
        <v/>
      </c>
      <c r="T58" s="1" t="str">
        <f>IF($B58="","",IF(V58="","",IF(INDEX('Input Contact Information'!$O$2:$O$200,V58)="","",INDEX('Input Contact Information'!$O$2:$O$200,V58))))</f>
        <v/>
      </c>
      <c r="U58" s="1" t="str">
        <f>IF($B58="","",IF(V58="","",IF(INDEX('Input Contact Information'!$P$2:$P$200,V58)="","",INDEX('Input Contact Information'!$P$2:$P$200,V58))))</f>
        <v/>
      </c>
      <c r="V58" s="1" t="str">
        <f>IF(B58="","",IFERROR(MATCH(B58&amp;"|"&amp;C58,'Input Contact Information'!$W$2:$W$200,0),""))</f>
        <v/>
      </c>
      <c r="W58" s="1" t="str">
        <f>IF(C58="","",IFERROR(MATCH(C58,'Accounts Overview'!$B$2:$B$100,0),""))</f>
        <v/>
      </c>
      <c r="X58" s="1" t="str">
        <f>IF(A58="","",IFERROR(MATCH(A58,'Engagements Overview'!$B$2:$B$200,0),""))</f>
        <v/>
      </c>
    </row>
    <row r="59" spans="1:24" ht="15" customHeight="1" x14ac:dyDescent="0.35">
      <c r="A59" s="13" t="str">
        <f t="shared" si="2"/>
        <v/>
      </c>
      <c r="B59" s="1" t="str">
        <f>IFERROR(INDEX('Input Contact Information'!$C$2:$C$200,MATCH(ROW()-1,'Input Contact Information'!$V$2:$V$200,0)),"")</f>
        <v/>
      </c>
      <c r="C59" s="1" t="str">
        <f>IFERROR(INDEX('Input Contact Information'!$B$2:$B$200,MATCH(ROW()-1,'Input Contact Information'!$V$2:$V$200,0)),"")</f>
        <v/>
      </c>
      <c r="D59" s="1" t="str">
        <f>IF($B59="","",IF(W59="","",INDEX('Accounts Overview'!$A$2:$A$100,W59)))</f>
        <v/>
      </c>
      <c r="E59" s="1" t="str">
        <f>IF($B59="","",IF(V59="","",IF(INDEX('Input Contact Information'!$D$2:$D$200,V59)="","",INDEX('Input Contact Information'!$D$2:$D$200,V59))))</f>
        <v/>
      </c>
      <c r="F59" s="1" t="str">
        <f>IF($B59="","",IF(V59="","",IF(INDEX('Input Contact Information'!$F$2:$F$200,V59)="","",INDEX('Input Contact Information'!$F$2:$F$200,V59))))</f>
        <v/>
      </c>
      <c r="G59" s="1" t="str">
        <f>IF($B59="","",IF(V59="","",IF(INDEX('Input Contact Information'!$E$2:$E$200,V59)="","",INDEX('Input Contact Information'!$E$2:$E$200,V59))))</f>
        <v/>
      </c>
      <c r="H59" s="1" t="str">
        <f>IF($B59="","",IF(V59="","",IF(INDEX('Input Contact Information'!$G$2:$G$200,V59)="","",INDEX('Input Contact Information'!$G$2:$G$200,V59))))</f>
        <v/>
      </c>
      <c r="I59" s="1" t="str">
        <f>IF($B59="","",IF(V59="","",IF(INDEX('Input Contact Information'!$H$2:$H$200,V59)="","",INDEX('Input Contact Information'!$H$2:$H$200,V59))))</f>
        <v/>
      </c>
      <c r="J59" s="1" t="str">
        <f>IF($B59="","",IF(V59="","",IF(INDEX('Input Contact Information'!$I$2:$I$200,V59)="","",INDEX('Input Contact Information'!$I$2:$I$200,V59))))</f>
        <v/>
      </c>
      <c r="K59" s="1" t="str">
        <f>IF($B59="","",IF(V59="","",IF(INDEX('Input Contact Information'!$A$2:$A$200,V59)="","",INDEX('Input Contact Information'!$A$2:$A$200,V59))))</f>
        <v/>
      </c>
      <c r="L59" s="1" t="str">
        <f>IF($B59="","",IF(W59="","",IF(INDEX('Accounts Overview'!$I$2:$I$100,W59)="","",INDEX('Accounts Overview'!$I$2:$I$100,W59))))</f>
        <v/>
      </c>
      <c r="M59" s="1" t="str">
        <f>IF($B59="","",IF(V59="","",IF(INDEX('Input Contact Information'!$J$2:$J$200,V59)="","",INDEX('Input Contact Information'!$J$2:$J$200,V59))))</f>
        <v/>
      </c>
      <c r="N59" s="1" t="str">
        <f>IF($B59="","",IF(V59="","",IF(INDEX('Input Contact Information'!$K$2:$K$200,V59)="","",INDEX('Input Contact Information'!$K$2:$K$200,V59))))</f>
        <v/>
      </c>
      <c r="O59" s="1" t="str">
        <f>IF($B59="","",IF(V59="","",IF(INDEX('Input Contact Information'!$L$2:$L$200,V59)="","",INDEX('Input Contact Information'!$L$2:$L$200,V59))))</f>
        <v/>
      </c>
      <c r="P59" s="1" t="str">
        <f>IF($B59="","",IF((IF(V59="","",IF(INDEX('Input Contact Information'!$N$2:$N$200,V59)="","",INDEX('Input Contact Information'!$N$2:$N$200,V59))))&lt;&gt;"",IF(V59="","",IF(INDEX('Input Contact Information'!$N$2:$N$200,V59)="","",INDEX('Input Contact Information'!$N$2:$N$200,V59))),IF(V59="","",IF(INDEX('Input Contact Information'!$M$2:$M$200,V59)="","",INDEX('Input Contact Information'!$M$2:$M$200,V59)))))</f>
        <v/>
      </c>
      <c r="Q59" s="1" t="str">
        <f t="shared" si="3"/>
        <v/>
      </c>
      <c r="R59" s="1" t="str">
        <f>IF($B59="","",IF(X59="","",IF(INDEX('Engagements Overview'!$I$2:$I$200,X59)="","",INDEX('Engagements Overview'!$I$2:$I$200,X59))))</f>
        <v/>
      </c>
      <c r="S59" s="14" t="str">
        <f>IF($B59="","",IF(X59="","",IF(INDEX('Engagements Overview'!$K$2:$K$200,X59)="","",INDEX('Engagements Overview'!$K$2:$K$200,X59))))</f>
        <v/>
      </c>
      <c r="T59" s="1" t="str">
        <f>IF($B59="","",IF(V59="","",IF(INDEX('Input Contact Information'!$O$2:$O$200,V59)="","",INDEX('Input Contact Information'!$O$2:$O$200,V59))))</f>
        <v/>
      </c>
      <c r="U59" s="1" t="str">
        <f>IF($B59="","",IF(V59="","",IF(INDEX('Input Contact Information'!$P$2:$P$200,V59)="","",INDEX('Input Contact Information'!$P$2:$P$200,V59))))</f>
        <v/>
      </c>
      <c r="V59" s="1" t="str">
        <f>IF(B59="","",IFERROR(MATCH(B59&amp;"|"&amp;C59,'Input Contact Information'!$W$2:$W$200,0),""))</f>
        <v/>
      </c>
      <c r="W59" s="1" t="str">
        <f>IF(C59="","",IFERROR(MATCH(C59,'Accounts Overview'!$B$2:$B$100,0),""))</f>
        <v/>
      </c>
      <c r="X59" s="1" t="str">
        <f>IF(A59="","",IFERROR(MATCH(A59,'Engagements Overview'!$B$2:$B$200,0),""))</f>
        <v/>
      </c>
    </row>
    <row r="60" spans="1:24" ht="15" customHeight="1" x14ac:dyDescent="0.35">
      <c r="A60" s="13" t="str">
        <f t="shared" si="2"/>
        <v/>
      </c>
      <c r="B60" s="1" t="str">
        <f>IFERROR(INDEX('Input Contact Information'!$C$2:$C$200,MATCH(ROW()-1,'Input Contact Information'!$V$2:$V$200,0)),"")</f>
        <v/>
      </c>
      <c r="C60" s="1" t="str">
        <f>IFERROR(INDEX('Input Contact Information'!$B$2:$B$200,MATCH(ROW()-1,'Input Contact Information'!$V$2:$V$200,0)),"")</f>
        <v/>
      </c>
      <c r="D60" s="1" t="str">
        <f>IF($B60="","",IF(W60="","",INDEX('Accounts Overview'!$A$2:$A$100,W60)))</f>
        <v/>
      </c>
      <c r="E60" s="1" t="str">
        <f>IF($B60="","",IF(V60="","",IF(INDEX('Input Contact Information'!$D$2:$D$200,V60)="","",INDEX('Input Contact Information'!$D$2:$D$200,V60))))</f>
        <v/>
      </c>
      <c r="F60" s="1" t="str">
        <f>IF($B60="","",IF(V60="","",IF(INDEX('Input Contact Information'!$F$2:$F$200,V60)="","",INDEX('Input Contact Information'!$F$2:$F$200,V60))))</f>
        <v/>
      </c>
      <c r="G60" s="1" t="str">
        <f>IF($B60="","",IF(V60="","",IF(INDEX('Input Contact Information'!$E$2:$E$200,V60)="","",INDEX('Input Contact Information'!$E$2:$E$200,V60))))</f>
        <v/>
      </c>
      <c r="H60" s="1" t="str">
        <f>IF($B60="","",IF(V60="","",IF(INDEX('Input Contact Information'!$G$2:$G$200,V60)="","",INDEX('Input Contact Information'!$G$2:$G$200,V60))))</f>
        <v/>
      </c>
      <c r="I60" s="1" t="str">
        <f>IF($B60="","",IF(V60="","",IF(INDEX('Input Contact Information'!$H$2:$H$200,V60)="","",INDEX('Input Contact Information'!$H$2:$H$200,V60))))</f>
        <v/>
      </c>
      <c r="J60" s="1" t="str">
        <f>IF($B60="","",IF(V60="","",IF(INDEX('Input Contact Information'!$I$2:$I$200,V60)="","",INDEX('Input Contact Information'!$I$2:$I$200,V60))))</f>
        <v/>
      </c>
      <c r="K60" s="1" t="str">
        <f>IF($B60="","",IF(V60="","",IF(INDEX('Input Contact Information'!$A$2:$A$200,V60)="","",INDEX('Input Contact Information'!$A$2:$A$200,V60))))</f>
        <v/>
      </c>
      <c r="L60" s="1" t="str">
        <f>IF($B60="","",IF(W60="","",IF(INDEX('Accounts Overview'!$I$2:$I$100,W60)="","",INDEX('Accounts Overview'!$I$2:$I$100,W60))))</f>
        <v/>
      </c>
      <c r="M60" s="1" t="str">
        <f>IF($B60="","",IF(V60="","",IF(INDEX('Input Contact Information'!$J$2:$J$200,V60)="","",INDEX('Input Contact Information'!$J$2:$J$200,V60))))</f>
        <v/>
      </c>
      <c r="N60" s="1" t="str">
        <f>IF($B60="","",IF(V60="","",IF(INDEX('Input Contact Information'!$K$2:$K$200,V60)="","",INDEX('Input Contact Information'!$K$2:$K$200,V60))))</f>
        <v/>
      </c>
      <c r="O60" s="1" t="str">
        <f>IF($B60="","",IF(V60="","",IF(INDEX('Input Contact Information'!$L$2:$L$200,V60)="","",INDEX('Input Contact Information'!$L$2:$L$200,V60))))</f>
        <v/>
      </c>
      <c r="P60" s="1" t="str">
        <f>IF($B60="","",IF((IF(V60="","",IF(INDEX('Input Contact Information'!$N$2:$N$200,V60)="","",INDEX('Input Contact Information'!$N$2:$N$200,V60))))&lt;&gt;"",IF(V60="","",IF(INDEX('Input Contact Information'!$N$2:$N$200,V60)="","",INDEX('Input Contact Information'!$N$2:$N$200,V60))),IF(V60="","",IF(INDEX('Input Contact Information'!$M$2:$M$200,V60)="","",INDEX('Input Contact Information'!$M$2:$M$200,V60)))))</f>
        <v/>
      </c>
      <c r="Q60" s="1" t="str">
        <f t="shared" si="3"/>
        <v/>
      </c>
      <c r="R60" s="1" t="str">
        <f>IF($B60="","",IF(X60="","",IF(INDEX('Engagements Overview'!$I$2:$I$200,X60)="","",INDEX('Engagements Overview'!$I$2:$I$200,X60))))</f>
        <v/>
      </c>
      <c r="S60" s="14" t="str">
        <f>IF($B60="","",IF(X60="","",IF(INDEX('Engagements Overview'!$K$2:$K$200,X60)="","",INDEX('Engagements Overview'!$K$2:$K$200,X60))))</f>
        <v/>
      </c>
      <c r="T60" s="1" t="str">
        <f>IF($B60="","",IF(V60="","",IF(INDEX('Input Contact Information'!$O$2:$O$200,V60)="","",INDEX('Input Contact Information'!$O$2:$O$200,V60))))</f>
        <v/>
      </c>
      <c r="U60" s="1" t="str">
        <f>IF($B60="","",IF(V60="","",IF(INDEX('Input Contact Information'!$P$2:$P$200,V60)="","",INDEX('Input Contact Information'!$P$2:$P$200,V60))))</f>
        <v/>
      </c>
      <c r="V60" s="1" t="str">
        <f>IF(B60="","",IFERROR(MATCH(B60&amp;"|"&amp;C60,'Input Contact Information'!$W$2:$W$200,0),""))</f>
        <v/>
      </c>
      <c r="W60" s="1" t="str">
        <f>IF(C60="","",IFERROR(MATCH(C60,'Accounts Overview'!$B$2:$B$100,0),""))</f>
        <v/>
      </c>
      <c r="X60" s="1" t="str">
        <f>IF(A60="","",IFERROR(MATCH(A60,'Engagements Overview'!$B$2:$B$200,0),""))</f>
        <v/>
      </c>
    </row>
    <row r="61" spans="1:24" ht="15" customHeight="1" x14ac:dyDescent="0.35">
      <c r="A61" s="13" t="str">
        <f t="shared" si="2"/>
        <v/>
      </c>
      <c r="B61" s="1" t="str">
        <f>IFERROR(INDEX('Input Contact Information'!$C$2:$C$200,MATCH(ROW()-1,'Input Contact Information'!$V$2:$V$200,0)),"")</f>
        <v/>
      </c>
      <c r="C61" s="1" t="str">
        <f>IFERROR(INDEX('Input Contact Information'!$B$2:$B$200,MATCH(ROW()-1,'Input Contact Information'!$V$2:$V$200,0)),"")</f>
        <v/>
      </c>
      <c r="D61" s="1" t="str">
        <f>IF($B61="","",IF(W61="","",INDEX('Accounts Overview'!$A$2:$A$100,W61)))</f>
        <v/>
      </c>
      <c r="E61" s="1" t="str">
        <f>IF($B61="","",IF(V61="","",IF(INDEX('Input Contact Information'!$D$2:$D$200,V61)="","",INDEX('Input Contact Information'!$D$2:$D$200,V61))))</f>
        <v/>
      </c>
      <c r="F61" s="1" t="str">
        <f>IF($B61="","",IF(V61="","",IF(INDEX('Input Contact Information'!$F$2:$F$200,V61)="","",INDEX('Input Contact Information'!$F$2:$F$200,V61))))</f>
        <v/>
      </c>
      <c r="G61" s="1" t="str">
        <f>IF($B61="","",IF(V61="","",IF(INDEX('Input Contact Information'!$E$2:$E$200,V61)="","",INDEX('Input Contact Information'!$E$2:$E$200,V61))))</f>
        <v/>
      </c>
      <c r="H61" s="1" t="str">
        <f>IF($B61="","",IF(V61="","",IF(INDEX('Input Contact Information'!$G$2:$G$200,V61)="","",INDEX('Input Contact Information'!$G$2:$G$200,V61))))</f>
        <v/>
      </c>
      <c r="I61" s="1" t="str">
        <f>IF($B61="","",IF(V61="","",IF(INDEX('Input Contact Information'!$H$2:$H$200,V61)="","",INDEX('Input Contact Information'!$H$2:$H$200,V61))))</f>
        <v/>
      </c>
      <c r="J61" s="1" t="str">
        <f>IF($B61="","",IF(V61="","",IF(INDEX('Input Contact Information'!$I$2:$I$200,V61)="","",INDEX('Input Contact Information'!$I$2:$I$200,V61))))</f>
        <v/>
      </c>
      <c r="K61" s="1" t="str">
        <f>IF($B61="","",IF(V61="","",IF(INDEX('Input Contact Information'!$A$2:$A$200,V61)="","",INDEX('Input Contact Information'!$A$2:$A$200,V61))))</f>
        <v/>
      </c>
      <c r="L61" s="1" t="str">
        <f>IF($B61="","",IF(W61="","",IF(INDEX('Accounts Overview'!$I$2:$I$100,W61)="","",INDEX('Accounts Overview'!$I$2:$I$100,W61))))</f>
        <v/>
      </c>
      <c r="M61" s="1" t="str">
        <f>IF($B61="","",IF(V61="","",IF(INDEX('Input Contact Information'!$J$2:$J$200,V61)="","",INDEX('Input Contact Information'!$J$2:$J$200,V61))))</f>
        <v/>
      </c>
      <c r="N61" s="1" t="str">
        <f>IF($B61="","",IF(V61="","",IF(INDEX('Input Contact Information'!$K$2:$K$200,V61)="","",INDEX('Input Contact Information'!$K$2:$K$200,V61))))</f>
        <v/>
      </c>
      <c r="O61" s="1" t="str">
        <f>IF($B61="","",IF(V61="","",IF(INDEX('Input Contact Information'!$L$2:$L$200,V61)="","",INDEX('Input Contact Information'!$L$2:$L$200,V61))))</f>
        <v/>
      </c>
      <c r="P61" s="1" t="str">
        <f>IF($B61="","",IF((IF(V61="","",IF(INDEX('Input Contact Information'!$N$2:$N$200,V61)="","",INDEX('Input Contact Information'!$N$2:$N$200,V61))))&lt;&gt;"",IF(V61="","",IF(INDEX('Input Contact Information'!$N$2:$N$200,V61)="","",INDEX('Input Contact Information'!$N$2:$N$200,V61))),IF(V61="","",IF(INDEX('Input Contact Information'!$M$2:$M$200,V61)="","",INDEX('Input Contact Information'!$M$2:$M$200,V61)))))</f>
        <v/>
      </c>
      <c r="Q61" s="1" t="str">
        <f t="shared" si="3"/>
        <v/>
      </c>
      <c r="R61" s="1" t="str">
        <f>IF($B61="","",IF(X61="","",IF(INDEX('Engagements Overview'!$I$2:$I$200,X61)="","",INDEX('Engagements Overview'!$I$2:$I$200,X61))))</f>
        <v/>
      </c>
      <c r="S61" s="14" t="str">
        <f>IF($B61="","",IF(X61="","",IF(INDEX('Engagements Overview'!$K$2:$K$200,X61)="","",INDEX('Engagements Overview'!$K$2:$K$200,X61))))</f>
        <v/>
      </c>
      <c r="T61" s="1" t="str">
        <f>IF($B61="","",IF(V61="","",IF(INDEX('Input Contact Information'!$O$2:$O$200,V61)="","",INDEX('Input Contact Information'!$O$2:$O$200,V61))))</f>
        <v/>
      </c>
      <c r="U61" s="1" t="str">
        <f>IF($B61="","",IF(V61="","",IF(INDEX('Input Contact Information'!$P$2:$P$200,V61)="","",INDEX('Input Contact Information'!$P$2:$P$200,V61))))</f>
        <v/>
      </c>
      <c r="V61" s="1" t="str">
        <f>IF(B61="","",IFERROR(MATCH(B61&amp;"|"&amp;C61,'Input Contact Information'!$W$2:$W$200,0),""))</f>
        <v/>
      </c>
      <c r="W61" s="1" t="str">
        <f>IF(C61="","",IFERROR(MATCH(C61,'Accounts Overview'!$B$2:$B$100,0),""))</f>
        <v/>
      </c>
      <c r="X61" s="1" t="str">
        <f>IF(A61="","",IFERROR(MATCH(A61,'Engagements Overview'!$B$2:$B$200,0),""))</f>
        <v/>
      </c>
    </row>
    <row r="62" spans="1:24" ht="15" customHeight="1" x14ac:dyDescent="0.35">
      <c r="A62" s="13" t="str">
        <f t="shared" si="2"/>
        <v/>
      </c>
      <c r="B62" s="1" t="str">
        <f>IFERROR(INDEX('Input Contact Information'!$C$2:$C$200,MATCH(ROW()-1,'Input Contact Information'!$V$2:$V$200,0)),"")</f>
        <v/>
      </c>
      <c r="C62" s="1" t="str">
        <f>IFERROR(INDEX('Input Contact Information'!$B$2:$B$200,MATCH(ROW()-1,'Input Contact Information'!$V$2:$V$200,0)),"")</f>
        <v/>
      </c>
      <c r="D62" s="1" t="str">
        <f>IF($B62="","",IF(W62="","",INDEX('Accounts Overview'!$A$2:$A$100,W62)))</f>
        <v/>
      </c>
      <c r="E62" s="1" t="str">
        <f>IF($B62="","",IF(V62="","",IF(INDEX('Input Contact Information'!$D$2:$D$200,V62)="","",INDEX('Input Contact Information'!$D$2:$D$200,V62))))</f>
        <v/>
      </c>
      <c r="F62" s="1" t="str">
        <f>IF($B62="","",IF(V62="","",IF(INDEX('Input Contact Information'!$F$2:$F$200,V62)="","",INDEX('Input Contact Information'!$F$2:$F$200,V62))))</f>
        <v/>
      </c>
      <c r="G62" s="1" t="str">
        <f>IF($B62="","",IF(V62="","",IF(INDEX('Input Contact Information'!$E$2:$E$200,V62)="","",INDEX('Input Contact Information'!$E$2:$E$200,V62))))</f>
        <v/>
      </c>
      <c r="H62" s="1" t="str">
        <f>IF($B62="","",IF(V62="","",IF(INDEX('Input Contact Information'!$G$2:$G$200,V62)="","",INDEX('Input Contact Information'!$G$2:$G$200,V62))))</f>
        <v/>
      </c>
      <c r="I62" s="1" t="str">
        <f>IF($B62="","",IF(V62="","",IF(INDEX('Input Contact Information'!$H$2:$H$200,V62)="","",INDEX('Input Contact Information'!$H$2:$H$200,V62))))</f>
        <v/>
      </c>
      <c r="J62" s="1" t="str">
        <f>IF($B62="","",IF(V62="","",IF(INDEX('Input Contact Information'!$I$2:$I$200,V62)="","",INDEX('Input Contact Information'!$I$2:$I$200,V62))))</f>
        <v/>
      </c>
      <c r="K62" s="1" t="str">
        <f>IF($B62="","",IF(V62="","",IF(INDEX('Input Contact Information'!$A$2:$A$200,V62)="","",INDEX('Input Contact Information'!$A$2:$A$200,V62))))</f>
        <v/>
      </c>
      <c r="L62" s="1" t="str">
        <f>IF($B62="","",IF(W62="","",IF(INDEX('Accounts Overview'!$I$2:$I$100,W62)="","",INDEX('Accounts Overview'!$I$2:$I$100,W62))))</f>
        <v/>
      </c>
      <c r="M62" s="1" t="str">
        <f>IF($B62="","",IF(V62="","",IF(INDEX('Input Contact Information'!$J$2:$J$200,V62)="","",INDEX('Input Contact Information'!$J$2:$J$200,V62))))</f>
        <v/>
      </c>
      <c r="N62" s="1" t="str">
        <f>IF($B62="","",IF(V62="","",IF(INDEX('Input Contact Information'!$K$2:$K$200,V62)="","",INDEX('Input Contact Information'!$K$2:$K$200,V62))))</f>
        <v/>
      </c>
      <c r="O62" s="1" t="str">
        <f>IF($B62="","",IF(V62="","",IF(INDEX('Input Contact Information'!$L$2:$L$200,V62)="","",INDEX('Input Contact Information'!$L$2:$L$200,V62))))</f>
        <v/>
      </c>
      <c r="P62" s="1" t="str">
        <f>IF($B62="","",IF((IF(V62="","",IF(INDEX('Input Contact Information'!$N$2:$N$200,V62)="","",INDEX('Input Contact Information'!$N$2:$N$200,V62))))&lt;&gt;"",IF(V62="","",IF(INDEX('Input Contact Information'!$N$2:$N$200,V62)="","",INDEX('Input Contact Information'!$N$2:$N$200,V62))),IF(V62="","",IF(INDEX('Input Contact Information'!$M$2:$M$200,V62)="","",INDEX('Input Contact Information'!$M$2:$M$200,V62)))))</f>
        <v/>
      </c>
      <c r="Q62" s="1" t="str">
        <f t="shared" si="3"/>
        <v/>
      </c>
      <c r="R62" s="1" t="str">
        <f>IF($B62="","",IF(X62="","",IF(INDEX('Engagements Overview'!$I$2:$I$200,X62)="","",INDEX('Engagements Overview'!$I$2:$I$200,X62))))</f>
        <v/>
      </c>
      <c r="S62" s="14" t="str">
        <f>IF($B62="","",IF(X62="","",IF(INDEX('Engagements Overview'!$K$2:$K$200,X62)="","",INDEX('Engagements Overview'!$K$2:$K$200,X62))))</f>
        <v/>
      </c>
      <c r="T62" s="1" t="str">
        <f>IF($B62="","",IF(V62="","",IF(INDEX('Input Contact Information'!$O$2:$O$200,V62)="","",INDEX('Input Contact Information'!$O$2:$O$200,V62))))</f>
        <v/>
      </c>
      <c r="U62" s="1" t="str">
        <f>IF($B62="","",IF(V62="","",IF(INDEX('Input Contact Information'!$P$2:$P$200,V62)="","",INDEX('Input Contact Information'!$P$2:$P$200,V62))))</f>
        <v/>
      </c>
      <c r="V62" s="1" t="str">
        <f>IF(B62="","",IFERROR(MATCH(B62&amp;"|"&amp;C62,'Input Contact Information'!$W$2:$W$200,0),""))</f>
        <v/>
      </c>
      <c r="W62" s="1" t="str">
        <f>IF(C62="","",IFERROR(MATCH(C62,'Accounts Overview'!$B$2:$B$100,0),""))</f>
        <v/>
      </c>
      <c r="X62" s="1" t="str">
        <f>IF(A62="","",IFERROR(MATCH(A62,'Engagements Overview'!$B$2:$B$200,0),""))</f>
        <v/>
      </c>
    </row>
    <row r="63" spans="1:24" ht="15" customHeight="1" x14ac:dyDescent="0.35">
      <c r="A63" s="13" t="str">
        <f t="shared" si="2"/>
        <v/>
      </c>
      <c r="B63" s="1" t="str">
        <f>IFERROR(INDEX('Input Contact Information'!$C$2:$C$200,MATCH(ROW()-1,'Input Contact Information'!$V$2:$V$200,0)),"")</f>
        <v/>
      </c>
      <c r="C63" s="1" t="str">
        <f>IFERROR(INDEX('Input Contact Information'!$B$2:$B$200,MATCH(ROW()-1,'Input Contact Information'!$V$2:$V$200,0)),"")</f>
        <v/>
      </c>
      <c r="D63" s="1" t="str">
        <f>IF($B63="","",IF(W63="","",INDEX('Accounts Overview'!$A$2:$A$100,W63)))</f>
        <v/>
      </c>
      <c r="E63" s="1" t="str">
        <f>IF($B63="","",IF(V63="","",IF(INDEX('Input Contact Information'!$D$2:$D$200,V63)="","",INDEX('Input Contact Information'!$D$2:$D$200,V63))))</f>
        <v/>
      </c>
      <c r="F63" s="1" t="str">
        <f>IF($B63="","",IF(V63="","",IF(INDEX('Input Contact Information'!$F$2:$F$200,V63)="","",INDEX('Input Contact Information'!$F$2:$F$200,V63))))</f>
        <v/>
      </c>
      <c r="G63" s="1" t="str">
        <f>IF($B63="","",IF(V63="","",IF(INDEX('Input Contact Information'!$E$2:$E$200,V63)="","",INDEX('Input Contact Information'!$E$2:$E$200,V63))))</f>
        <v/>
      </c>
      <c r="H63" s="1" t="str">
        <f>IF($B63="","",IF(V63="","",IF(INDEX('Input Contact Information'!$G$2:$G$200,V63)="","",INDEX('Input Contact Information'!$G$2:$G$200,V63))))</f>
        <v/>
      </c>
      <c r="I63" s="1" t="str">
        <f>IF($B63="","",IF(V63="","",IF(INDEX('Input Contact Information'!$H$2:$H$200,V63)="","",INDEX('Input Contact Information'!$H$2:$H$200,V63))))</f>
        <v/>
      </c>
      <c r="J63" s="1" t="str">
        <f>IF($B63="","",IF(V63="","",IF(INDEX('Input Contact Information'!$I$2:$I$200,V63)="","",INDEX('Input Contact Information'!$I$2:$I$200,V63))))</f>
        <v/>
      </c>
      <c r="K63" s="1" t="str">
        <f>IF($B63="","",IF(V63="","",IF(INDEX('Input Contact Information'!$A$2:$A$200,V63)="","",INDEX('Input Contact Information'!$A$2:$A$200,V63))))</f>
        <v/>
      </c>
      <c r="L63" s="1" t="str">
        <f>IF($B63="","",IF(W63="","",IF(INDEX('Accounts Overview'!$I$2:$I$100,W63)="","",INDEX('Accounts Overview'!$I$2:$I$100,W63))))</f>
        <v/>
      </c>
      <c r="M63" s="1" t="str">
        <f>IF($B63="","",IF(V63="","",IF(INDEX('Input Contact Information'!$J$2:$J$200,V63)="","",INDEX('Input Contact Information'!$J$2:$J$200,V63))))</f>
        <v/>
      </c>
      <c r="N63" s="1" t="str">
        <f>IF($B63="","",IF(V63="","",IF(INDEX('Input Contact Information'!$K$2:$K$200,V63)="","",INDEX('Input Contact Information'!$K$2:$K$200,V63))))</f>
        <v/>
      </c>
      <c r="O63" s="1" t="str">
        <f>IF($B63="","",IF(V63="","",IF(INDEX('Input Contact Information'!$L$2:$L$200,V63)="","",INDEX('Input Contact Information'!$L$2:$L$200,V63))))</f>
        <v/>
      </c>
      <c r="P63" s="1" t="str">
        <f>IF($B63="","",IF((IF(V63="","",IF(INDEX('Input Contact Information'!$N$2:$N$200,V63)="","",INDEX('Input Contact Information'!$N$2:$N$200,V63))))&lt;&gt;"",IF(V63="","",IF(INDEX('Input Contact Information'!$N$2:$N$200,V63)="","",INDEX('Input Contact Information'!$N$2:$N$200,V63))),IF(V63="","",IF(INDEX('Input Contact Information'!$M$2:$M$200,V63)="","",INDEX('Input Contact Information'!$M$2:$M$200,V63)))))</f>
        <v/>
      </c>
      <c r="Q63" s="1" t="str">
        <f t="shared" si="3"/>
        <v/>
      </c>
      <c r="R63" s="1" t="str">
        <f>IF($B63="","",IF(X63="","",IF(INDEX('Engagements Overview'!$I$2:$I$200,X63)="","",INDEX('Engagements Overview'!$I$2:$I$200,X63))))</f>
        <v/>
      </c>
      <c r="S63" s="14" t="str">
        <f>IF($B63="","",IF(X63="","",IF(INDEX('Engagements Overview'!$K$2:$K$200,X63)="","",INDEX('Engagements Overview'!$K$2:$K$200,X63))))</f>
        <v/>
      </c>
      <c r="T63" s="1" t="str">
        <f>IF($B63="","",IF(V63="","",IF(INDEX('Input Contact Information'!$O$2:$O$200,V63)="","",INDEX('Input Contact Information'!$O$2:$O$200,V63))))</f>
        <v/>
      </c>
      <c r="U63" s="1" t="str">
        <f>IF($B63="","",IF(V63="","",IF(INDEX('Input Contact Information'!$P$2:$P$200,V63)="","",INDEX('Input Contact Information'!$P$2:$P$200,V63))))</f>
        <v/>
      </c>
      <c r="V63" s="1" t="str">
        <f>IF(B63="","",IFERROR(MATCH(B63&amp;"|"&amp;C63,'Input Contact Information'!$W$2:$W$200,0),""))</f>
        <v/>
      </c>
      <c r="W63" s="1" t="str">
        <f>IF(C63="","",IFERROR(MATCH(C63,'Accounts Overview'!$B$2:$B$100,0),""))</f>
        <v/>
      </c>
      <c r="X63" s="1" t="str">
        <f>IF(A63="","",IFERROR(MATCH(A63,'Engagements Overview'!$B$2:$B$200,0),""))</f>
        <v/>
      </c>
    </row>
    <row r="64" spans="1:24" ht="15" customHeight="1" x14ac:dyDescent="0.35">
      <c r="A64" s="13" t="str">
        <f t="shared" si="2"/>
        <v/>
      </c>
      <c r="B64" s="1" t="str">
        <f>IFERROR(INDEX('Input Contact Information'!$C$2:$C$200,MATCH(ROW()-1,'Input Contact Information'!$V$2:$V$200,0)),"")</f>
        <v/>
      </c>
      <c r="C64" s="1" t="str">
        <f>IFERROR(INDEX('Input Contact Information'!$B$2:$B$200,MATCH(ROW()-1,'Input Contact Information'!$V$2:$V$200,0)),"")</f>
        <v/>
      </c>
      <c r="D64" s="1" t="str">
        <f>IF($B64="","",IF(W64="","",INDEX('Accounts Overview'!$A$2:$A$100,W64)))</f>
        <v/>
      </c>
      <c r="E64" s="1" t="str">
        <f>IF($B64="","",IF(V64="","",IF(INDEX('Input Contact Information'!$D$2:$D$200,V64)="","",INDEX('Input Contact Information'!$D$2:$D$200,V64))))</f>
        <v/>
      </c>
      <c r="F64" s="1" t="str">
        <f>IF($B64="","",IF(V64="","",IF(INDEX('Input Contact Information'!$F$2:$F$200,V64)="","",INDEX('Input Contact Information'!$F$2:$F$200,V64))))</f>
        <v/>
      </c>
      <c r="G64" s="1" t="str">
        <f>IF($B64="","",IF(V64="","",IF(INDEX('Input Contact Information'!$E$2:$E$200,V64)="","",INDEX('Input Contact Information'!$E$2:$E$200,V64))))</f>
        <v/>
      </c>
      <c r="H64" s="1" t="str">
        <f>IF($B64="","",IF(V64="","",IF(INDEX('Input Contact Information'!$G$2:$G$200,V64)="","",INDEX('Input Contact Information'!$G$2:$G$200,V64))))</f>
        <v/>
      </c>
      <c r="I64" s="1" t="str">
        <f>IF($B64="","",IF(V64="","",IF(INDEX('Input Contact Information'!$H$2:$H$200,V64)="","",INDEX('Input Contact Information'!$H$2:$H$200,V64))))</f>
        <v/>
      </c>
      <c r="J64" s="1" t="str">
        <f>IF($B64="","",IF(V64="","",IF(INDEX('Input Contact Information'!$I$2:$I$200,V64)="","",INDEX('Input Contact Information'!$I$2:$I$200,V64))))</f>
        <v/>
      </c>
      <c r="K64" s="1" t="str">
        <f>IF($B64="","",IF(V64="","",IF(INDEX('Input Contact Information'!$A$2:$A$200,V64)="","",INDEX('Input Contact Information'!$A$2:$A$200,V64))))</f>
        <v/>
      </c>
      <c r="L64" s="1" t="str">
        <f>IF($B64="","",IF(W64="","",IF(INDEX('Accounts Overview'!$I$2:$I$100,W64)="","",INDEX('Accounts Overview'!$I$2:$I$100,W64))))</f>
        <v/>
      </c>
      <c r="M64" s="1" t="str">
        <f>IF($B64="","",IF(V64="","",IF(INDEX('Input Contact Information'!$J$2:$J$200,V64)="","",INDEX('Input Contact Information'!$J$2:$J$200,V64))))</f>
        <v/>
      </c>
      <c r="N64" s="1" t="str">
        <f>IF($B64="","",IF(V64="","",IF(INDEX('Input Contact Information'!$K$2:$K$200,V64)="","",INDEX('Input Contact Information'!$K$2:$K$200,V64))))</f>
        <v/>
      </c>
      <c r="O64" s="1" t="str">
        <f>IF($B64="","",IF(V64="","",IF(INDEX('Input Contact Information'!$L$2:$L$200,V64)="","",INDEX('Input Contact Information'!$L$2:$L$200,V64))))</f>
        <v/>
      </c>
      <c r="P64" s="1" t="str">
        <f>IF($B64="","",IF((IF(V64="","",IF(INDEX('Input Contact Information'!$N$2:$N$200,V64)="","",INDEX('Input Contact Information'!$N$2:$N$200,V64))))&lt;&gt;"",IF(V64="","",IF(INDEX('Input Contact Information'!$N$2:$N$200,V64)="","",INDEX('Input Contact Information'!$N$2:$N$200,V64))),IF(V64="","",IF(INDEX('Input Contact Information'!$M$2:$M$200,V64)="","",INDEX('Input Contact Information'!$M$2:$M$200,V64)))))</f>
        <v/>
      </c>
      <c r="Q64" s="1" t="str">
        <f t="shared" si="3"/>
        <v/>
      </c>
      <c r="R64" s="1" t="str">
        <f>IF($B64="","",IF(X64="","",IF(INDEX('Engagements Overview'!$I$2:$I$200,X64)="","",INDEX('Engagements Overview'!$I$2:$I$200,X64))))</f>
        <v/>
      </c>
      <c r="S64" s="14" t="str">
        <f>IF($B64="","",IF(X64="","",IF(INDEX('Engagements Overview'!$K$2:$K$200,X64)="","",INDEX('Engagements Overview'!$K$2:$K$200,X64))))</f>
        <v/>
      </c>
      <c r="T64" s="1" t="str">
        <f>IF($B64="","",IF(V64="","",IF(INDEX('Input Contact Information'!$O$2:$O$200,V64)="","",INDEX('Input Contact Information'!$O$2:$O$200,V64))))</f>
        <v/>
      </c>
      <c r="U64" s="1" t="str">
        <f>IF($B64="","",IF(V64="","",IF(INDEX('Input Contact Information'!$P$2:$P$200,V64)="","",INDEX('Input Contact Information'!$P$2:$P$200,V64))))</f>
        <v/>
      </c>
      <c r="V64" s="1" t="str">
        <f>IF(B64="","",IFERROR(MATCH(B64&amp;"|"&amp;C64,'Input Contact Information'!$W$2:$W$200,0),""))</f>
        <v/>
      </c>
      <c r="W64" s="1" t="str">
        <f>IF(C64="","",IFERROR(MATCH(C64,'Accounts Overview'!$B$2:$B$100,0),""))</f>
        <v/>
      </c>
      <c r="X64" s="1" t="str">
        <f>IF(A64="","",IFERROR(MATCH(A64,'Engagements Overview'!$B$2:$B$200,0),""))</f>
        <v/>
      </c>
    </row>
    <row r="65" spans="1:24" ht="15" customHeight="1" x14ac:dyDescent="0.35">
      <c r="A65" s="13" t="str">
        <f t="shared" si="2"/>
        <v/>
      </c>
      <c r="B65" s="1" t="str">
        <f>IFERROR(INDEX('Input Contact Information'!$C$2:$C$200,MATCH(ROW()-1,'Input Contact Information'!$V$2:$V$200,0)),"")</f>
        <v/>
      </c>
      <c r="C65" s="1" t="str">
        <f>IFERROR(INDEX('Input Contact Information'!$B$2:$B$200,MATCH(ROW()-1,'Input Contact Information'!$V$2:$V$200,0)),"")</f>
        <v/>
      </c>
      <c r="D65" s="1" t="str">
        <f>IF($B65="","",IF(W65="","",INDEX('Accounts Overview'!$A$2:$A$100,W65)))</f>
        <v/>
      </c>
      <c r="E65" s="1" t="str">
        <f>IF($B65="","",IF(V65="","",IF(INDEX('Input Contact Information'!$D$2:$D$200,V65)="","",INDEX('Input Contact Information'!$D$2:$D$200,V65))))</f>
        <v/>
      </c>
      <c r="F65" s="1" t="str">
        <f>IF($B65="","",IF(V65="","",IF(INDEX('Input Contact Information'!$F$2:$F$200,V65)="","",INDEX('Input Contact Information'!$F$2:$F$200,V65))))</f>
        <v/>
      </c>
      <c r="G65" s="1" t="str">
        <f>IF($B65="","",IF(V65="","",IF(INDEX('Input Contact Information'!$E$2:$E$200,V65)="","",INDEX('Input Contact Information'!$E$2:$E$200,V65))))</f>
        <v/>
      </c>
      <c r="H65" s="1" t="str">
        <f>IF($B65="","",IF(V65="","",IF(INDEX('Input Contact Information'!$G$2:$G$200,V65)="","",INDEX('Input Contact Information'!$G$2:$G$200,V65))))</f>
        <v/>
      </c>
      <c r="I65" s="1" t="str">
        <f>IF($B65="","",IF(V65="","",IF(INDEX('Input Contact Information'!$H$2:$H$200,V65)="","",INDEX('Input Contact Information'!$H$2:$H$200,V65))))</f>
        <v/>
      </c>
      <c r="J65" s="1" t="str">
        <f>IF($B65="","",IF(V65="","",IF(INDEX('Input Contact Information'!$I$2:$I$200,V65)="","",INDEX('Input Contact Information'!$I$2:$I$200,V65))))</f>
        <v/>
      </c>
      <c r="K65" s="1" t="str">
        <f>IF($B65="","",IF(V65="","",IF(INDEX('Input Contact Information'!$A$2:$A$200,V65)="","",INDEX('Input Contact Information'!$A$2:$A$200,V65))))</f>
        <v/>
      </c>
      <c r="L65" s="1" t="str">
        <f>IF($B65="","",IF(W65="","",IF(INDEX('Accounts Overview'!$I$2:$I$100,W65)="","",INDEX('Accounts Overview'!$I$2:$I$100,W65))))</f>
        <v/>
      </c>
      <c r="M65" s="1" t="str">
        <f>IF($B65="","",IF(V65="","",IF(INDEX('Input Contact Information'!$J$2:$J$200,V65)="","",INDEX('Input Contact Information'!$J$2:$J$200,V65))))</f>
        <v/>
      </c>
      <c r="N65" s="1" t="str">
        <f>IF($B65="","",IF(V65="","",IF(INDEX('Input Contact Information'!$K$2:$K$200,V65)="","",INDEX('Input Contact Information'!$K$2:$K$200,V65))))</f>
        <v/>
      </c>
      <c r="O65" s="1" t="str">
        <f>IF($B65="","",IF(V65="","",IF(INDEX('Input Contact Information'!$L$2:$L$200,V65)="","",INDEX('Input Contact Information'!$L$2:$L$200,V65))))</f>
        <v/>
      </c>
      <c r="P65" s="1" t="str">
        <f>IF($B65="","",IF((IF(V65="","",IF(INDEX('Input Contact Information'!$N$2:$N$200,V65)="","",INDEX('Input Contact Information'!$N$2:$N$200,V65))))&lt;&gt;"",IF(V65="","",IF(INDEX('Input Contact Information'!$N$2:$N$200,V65)="","",INDEX('Input Contact Information'!$N$2:$N$200,V65))),IF(V65="","",IF(INDEX('Input Contact Information'!$M$2:$M$200,V65)="","",INDEX('Input Contact Information'!$M$2:$M$200,V65)))))</f>
        <v/>
      </c>
      <c r="Q65" s="1" t="str">
        <f t="shared" si="3"/>
        <v/>
      </c>
      <c r="R65" s="1" t="str">
        <f>IF($B65="","",IF(X65="","",IF(INDEX('Engagements Overview'!$I$2:$I$200,X65)="","",INDEX('Engagements Overview'!$I$2:$I$200,X65))))</f>
        <v/>
      </c>
      <c r="S65" s="14" t="str">
        <f>IF($B65="","",IF(X65="","",IF(INDEX('Engagements Overview'!$K$2:$K$200,X65)="","",INDEX('Engagements Overview'!$K$2:$K$200,X65))))</f>
        <v/>
      </c>
      <c r="T65" s="1" t="str">
        <f>IF($B65="","",IF(V65="","",IF(INDEX('Input Contact Information'!$O$2:$O$200,V65)="","",INDEX('Input Contact Information'!$O$2:$O$200,V65))))</f>
        <v/>
      </c>
      <c r="U65" s="1" t="str">
        <f>IF($B65="","",IF(V65="","",IF(INDEX('Input Contact Information'!$P$2:$P$200,V65)="","",INDEX('Input Contact Information'!$P$2:$P$200,V65))))</f>
        <v/>
      </c>
      <c r="V65" s="1" t="str">
        <f>IF(B65="","",IFERROR(MATCH(B65&amp;"|"&amp;C65,'Input Contact Information'!$W$2:$W$200,0),""))</f>
        <v/>
      </c>
      <c r="W65" s="1" t="str">
        <f>IF(C65="","",IFERROR(MATCH(C65,'Accounts Overview'!$B$2:$B$100,0),""))</f>
        <v/>
      </c>
      <c r="X65" s="1" t="str">
        <f>IF(A65="","",IFERROR(MATCH(A65,'Engagements Overview'!$B$2:$B$200,0),""))</f>
        <v/>
      </c>
    </row>
    <row r="66" spans="1:24" ht="15" customHeight="1" x14ac:dyDescent="0.35">
      <c r="A66" s="13" t="str">
        <f t="shared" ref="A66:A97" si="4">IF(B66="","","CON"&amp;TEXT(ROW()-1,"0000"))</f>
        <v/>
      </c>
      <c r="B66" s="1" t="str">
        <f>IFERROR(INDEX('Input Contact Information'!$C$2:$C$200,MATCH(ROW()-1,'Input Contact Information'!$V$2:$V$200,0)),"")</f>
        <v/>
      </c>
      <c r="C66" s="1" t="str">
        <f>IFERROR(INDEX('Input Contact Information'!$B$2:$B$200,MATCH(ROW()-1,'Input Contact Information'!$V$2:$V$200,0)),"")</f>
        <v/>
      </c>
      <c r="D66" s="1" t="str">
        <f>IF($B66="","",IF(W66="","",INDEX('Accounts Overview'!$A$2:$A$100,W66)))</f>
        <v/>
      </c>
      <c r="E66" s="1" t="str">
        <f>IF($B66="","",IF(V66="","",IF(INDEX('Input Contact Information'!$D$2:$D$200,V66)="","",INDEX('Input Contact Information'!$D$2:$D$200,V66))))</f>
        <v/>
      </c>
      <c r="F66" s="1" t="str">
        <f>IF($B66="","",IF(V66="","",IF(INDEX('Input Contact Information'!$F$2:$F$200,V66)="","",INDEX('Input Contact Information'!$F$2:$F$200,V66))))</f>
        <v/>
      </c>
      <c r="G66" s="1" t="str">
        <f>IF($B66="","",IF(V66="","",IF(INDEX('Input Contact Information'!$E$2:$E$200,V66)="","",INDEX('Input Contact Information'!$E$2:$E$200,V66))))</f>
        <v/>
      </c>
      <c r="H66" s="1" t="str">
        <f>IF($B66="","",IF(V66="","",IF(INDEX('Input Contact Information'!$G$2:$G$200,V66)="","",INDEX('Input Contact Information'!$G$2:$G$200,V66))))</f>
        <v/>
      </c>
      <c r="I66" s="1" t="str">
        <f>IF($B66="","",IF(V66="","",IF(INDEX('Input Contact Information'!$H$2:$H$200,V66)="","",INDEX('Input Contact Information'!$H$2:$H$200,V66))))</f>
        <v/>
      </c>
      <c r="J66" s="1" t="str">
        <f>IF($B66="","",IF(V66="","",IF(INDEX('Input Contact Information'!$I$2:$I$200,V66)="","",INDEX('Input Contact Information'!$I$2:$I$200,V66))))</f>
        <v/>
      </c>
      <c r="K66" s="1" t="str">
        <f>IF($B66="","",IF(V66="","",IF(INDEX('Input Contact Information'!$A$2:$A$200,V66)="","",INDEX('Input Contact Information'!$A$2:$A$200,V66))))</f>
        <v/>
      </c>
      <c r="L66" s="1" t="str">
        <f>IF($B66="","",IF(W66="","",IF(INDEX('Accounts Overview'!$I$2:$I$100,W66)="","",INDEX('Accounts Overview'!$I$2:$I$100,W66))))</f>
        <v/>
      </c>
      <c r="M66" s="1" t="str">
        <f>IF($B66="","",IF(V66="","",IF(INDEX('Input Contact Information'!$J$2:$J$200,V66)="","",INDEX('Input Contact Information'!$J$2:$J$200,V66))))</f>
        <v/>
      </c>
      <c r="N66" s="1" t="str">
        <f>IF($B66="","",IF(V66="","",IF(INDEX('Input Contact Information'!$K$2:$K$200,V66)="","",INDEX('Input Contact Information'!$K$2:$K$200,V66))))</f>
        <v/>
      </c>
      <c r="O66" s="1" t="str">
        <f>IF($B66="","",IF(V66="","",IF(INDEX('Input Contact Information'!$L$2:$L$200,V66)="","",INDEX('Input Contact Information'!$L$2:$L$200,V66))))</f>
        <v/>
      </c>
      <c r="P66" s="1" t="str">
        <f>IF($B66="","",IF((IF(V66="","",IF(INDEX('Input Contact Information'!$N$2:$N$200,V66)="","",INDEX('Input Contact Information'!$N$2:$N$200,V66))))&lt;&gt;"",IF(V66="","",IF(INDEX('Input Contact Information'!$N$2:$N$200,V66)="","",INDEX('Input Contact Information'!$N$2:$N$200,V66))),IF(V66="","",IF(INDEX('Input Contact Information'!$M$2:$M$200,V66)="","",INDEX('Input Contact Information'!$M$2:$M$200,V66)))))</f>
        <v/>
      </c>
      <c r="Q66" s="1" t="str">
        <f t="shared" ref="Q66:Q97" si="5">IF($B66="","",IF(P66="","",IF(P66="Tier 1","Monthly",IF(P66="Tier 2","Quarterly","Semi-annually"))))</f>
        <v/>
      </c>
      <c r="R66" s="1" t="str">
        <f>IF($B66="","",IF(X66="","",IF(INDEX('Engagements Overview'!$I$2:$I$200,X66)="","",INDEX('Engagements Overview'!$I$2:$I$200,X66))))</f>
        <v/>
      </c>
      <c r="S66" s="14" t="str">
        <f>IF($B66="","",IF(X66="","",IF(INDEX('Engagements Overview'!$K$2:$K$200,X66)="","",INDEX('Engagements Overview'!$K$2:$K$200,X66))))</f>
        <v/>
      </c>
      <c r="T66" s="1" t="str">
        <f>IF($B66="","",IF(V66="","",IF(INDEX('Input Contact Information'!$O$2:$O$200,V66)="","",INDEX('Input Contact Information'!$O$2:$O$200,V66))))</f>
        <v/>
      </c>
      <c r="U66" s="1" t="str">
        <f>IF($B66="","",IF(V66="","",IF(INDEX('Input Contact Information'!$P$2:$P$200,V66)="","",INDEX('Input Contact Information'!$P$2:$P$200,V66))))</f>
        <v/>
      </c>
      <c r="V66" s="1" t="str">
        <f>IF(B66="","",IFERROR(MATCH(B66&amp;"|"&amp;C66,'Input Contact Information'!$W$2:$W$200,0),""))</f>
        <v/>
      </c>
      <c r="W66" s="1" t="str">
        <f>IF(C66="","",IFERROR(MATCH(C66,'Accounts Overview'!$B$2:$B$100,0),""))</f>
        <v/>
      </c>
      <c r="X66" s="1" t="str">
        <f>IF(A66="","",IFERROR(MATCH(A66,'Engagements Overview'!$B$2:$B$200,0),""))</f>
        <v/>
      </c>
    </row>
    <row r="67" spans="1:24" ht="15" customHeight="1" x14ac:dyDescent="0.35">
      <c r="A67" s="13" t="str">
        <f t="shared" si="4"/>
        <v/>
      </c>
      <c r="B67" s="1" t="str">
        <f>IFERROR(INDEX('Input Contact Information'!$C$2:$C$200,MATCH(ROW()-1,'Input Contact Information'!$V$2:$V$200,0)),"")</f>
        <v/>
      </c>
      <c r="C67" s="1" t="str">
        <f>IFERROR(INDEX('Input Contact Information'!$B$2:$B$200,MATCH(ROW()-1,'Input Contact Information'!$V$2:$V$200,0)),"")</f>
        <v/>
      </c>
      <c r="D67" s="1" t="str">
        <f>IF($B67="","",IF(W67="","",INDEX('Accounts Overview'!$A$2:$A$100,W67)))</f>
        <v/>
      </c>
      <c r="E67" s="1" t="str">
        <f>IF($B67="","",IF(V67="","",IF(INDEX('Input Contact Information'!$D$2:$D$200,V67)="","",INDEX('Input Contact Information'!$D$2:$D$200,V67))))</f>
        <v/>
      </c>
      <c r="F67" s="1" t="str">
        <f>IF($B67="","",IF(V67="","",IF(INDEX('Input Contact Information'!$F$2:$F$200,V67)="","",INDEX('Input Contact Information'!$F$2:$F$200,V67))))</f>
        <v/>
      </c>
      <c r="G67" s="1" t="str">
        <f>IF($B67="","",IF(V67="","",IF(INDEX('Input Contact Information'!$E$2:$E$200,V67)="","",INDEX('Input Contact Information'!$E$2:$E$200,V67))))</f>
        <v/>
      </c>
      <c r="H67" s="1" t="str">
        <f>IF($B67="","",IF(V67="","",IF(INDEX('Input Contact Information'!$G$2:$G$200,V67)="","",INDEX('Input Contact Information'!$G$2:$G$200,V67))))</f>
        <v/>
      </c>
      <c r="I67" s="1" t="str">
        <f>IF($B67="","",IF(V67="","",IF(INDEX('Input Contact Information'!$H$2:$H$200,V67)="","",INDEX('Input Contact Information'!$H$2:$H$200,V67))))</f>
        <v/>
      </c>
      <c r="J67" s="1" t="str">
        <f>IF($B67="","",IF(V67="","",IF(INDEX('Input Contact Information'!$I$2:$I$200,V67)="","",INDEX('Input Contact Information'!$I$2:$I$200,V67))))</f>
        <v/>
      </c>
      <c r="K67" s="1" t="str">
        <f>IF($B67="","",IF(V67="","",IF(INDEX('Input Contact Information'!$A$2:$A$200,V67)="","",INDEX('Input Contact Information'!$A$2:$A$200,V67))))</f>
        <v/>
      </c>
      <c r="L67" s="1" t="str">
        <f>IF($B67="","",IF(W67="","",IF(INDEX('Accounts Overview'!$I$2:$I$100,W67)="","",INDEX('Accounts Overview'!$I$2:$I$100,W67))))</f>
        <v/>
      </c>
      <c r="M67" s="1" t="str">
        <f>IF($B67="","",IF(V67="","",IF(INDEX('Input Contact Information'!$J$2:$J$200,V67)="","",INDEX('Input Contact Information'!$J$2:$J$200,V67))))</f>
        <v/>
      </c>
      <c r="N67" s="1" t="str">
        <f>IF($B67="","",IF(V67="","",IF(INDEX('Input Contact Information'!$K$2:$K$200,V67)="","",INDEX('Input Contact Information'!$K$2:$K$200,V67))))</f>
        <v/>
      </c>
      <c r="O67" s="1" t="str">
        <f>IF($B67="","",IF(V67="","",IF(INDEX('Input Contact Information'!$L$2:$L$200,V67)="","",INDEX('Input Contact Information'!$L$2:$L$200,V67))))</f>
        <v/>
      </c>
      <c r="P67" s="1" t="str">
        <f>IF($B67="","",IF((IF(V67="","",IF(INDEX('Input Contact Information'!$N$2:$N$200,V67)="","",INDEX('Input Contact Information'!$N$2:$N$200,V67))))&lt;&gt;"",IF(V67="","",IF(INDEX('Input Contact Information'!$N$2:$N$200,V67)="","",INDEX('Input Contact Information'!$N$2:$N$200,V67))),IF(V67="","",IF(INDEX('Input Contact Information'!$M$2:$M$200,V67)="","",INDEX('Input Contact Information'!$M$2:$M$200,V67)))))</f>
        <v/>
      </c>
      <c r="Q67" s="1" t="str">
        <f t="shared" si="5"/>
        <v/>
      </c>
      <c r="R67" s="1" t="str">
        <f>IF($B67="","",IF(X67="","",IF(INDEX('Engagements Overview'!$I$2:$I$200,X67)="","",INDEX('Engagements Overview'!$I$2:$I$200,X67))))</f>
        <v/>
      </c>
      <c r="S67" s="14" t="str">
        <f>IF($B67="","",IF(X67="","",IF(INDEX('Engagements Overview'!$K$2:$K$200,X67)="","",INDEX('Engagements Overview'!$K$2:$K$200,X67))))</f>
        <v/>
      </c>
      <c r="T67" s="1" t="str">
        <f>IF($B67="","",IF(V67="","",IF(INDEX('Input Contact Information'!$O$2:$O$200,V67)="","",INDEX('Input Contact Information'!$O$2:$O$200,V67))))</f>
        <v/>
      </c>
      <c r="U67" s="1" t="str">
        <f>IF($B67="","",IF(V67="","",IF(INDEX('Input Contact Information'!$P$2:$P$200,V67)="","",INDEX('Input Contact Information'!$P$2:$P$200,V67))))</f>
        <v/>
      </c>
      <c r="V67" s="1" t="str">
        <f>IF(B67="","",IFERROR(MATCH(B67&amp;"|"&amp;C67,'Input Contact Information'!$W$2:$W$200,0),""))</f>
        <v/>
      </c>
      <c r="W67" s="1" t="str">
        <f>IF(C67="","",IFERROR(MATCH(C67,'Accounts Overview'!$B$2:$B$100,0),""))</f>
        <v/>
      </c>
      <c r="X67" s="1" t="str">
        <f>IF(A67="","",IFERROR(MATCH(A67,'Engagements Overview'!$B$2:$B$200,0),""))</f>
        <v/>
      </c>
    </row>
    <row r="68" spans="1:24" ht="15" customHeight="1" x14ac:dyDescent="0.35">
      <c r="A68" s="13" t="str">
        <f t="shared" si="4"/>
        <v/>
      </c>
      <c r="B68" s="1" t="str">
        <f>IFERROR(INDEX('Input Contact Information'!$C$2:$C$200,MATCH(ROW()-1,'Input Contact Information'!$V$2:$V$200,0)),"")</f>
        <v/>
      </c>
      <c r="C68" s="1" t="str">
        <f>IFERROR(INDEX('Input Contact Information'!$B$2:$B$200,MATCH(ROW()-1,'Input Contact Information'!$V$2:$V$200,0)),"")</f>
        <v/>
      </c>
      <c r="D68" s="1" t="str">
        <f>IF($B68="","",IF(W68="","",INDEX('Accounts Overview'!$A$2:$A$100,W68)))</f>
        <v/>
      </c>
      <c r="E68" s="1" t="str">
        <f>IF($B68="","",IF(V68="","",IF(INDEX('Input Contact Information'!$D$2:$D$200,V68)="","",INDEX('Input Contact Information'!$D$2:$D$200,V68))))</f>
        <v/>
      </c>
      <c r="F68" s="1" t="str">
        <f>IF($B68="","",IF(V68="","",IF(INDEX('Input Contact Information'!$F$2:$F$200,V68)="","",INDEX('Input Contact Information'!$F$2:$F$200,V68))))</f>
        <v/>
      </c>
      <c r="G68" s="1" t="str">
        <f>IF($B68="","",IF(V68="","",IF(INDEX('Input Contact Information'!$E$2:$E$200,V68)="","",INDEX('Input Contact Information'!$E$2:$E$200,V68))))</f>
        <v/>
      </c>
      <c r="H68" s="1" t="str">
        <f>IF($B68="","",IF(V68="","",IF(INDEX('Input Contact Information'!$G$2:$G$200,V68)="","",INDEX('Input Contact Information'!$G$2:$G$200,V68))))</f>
        <v/>
      </c>
      <c r="I68" s="1" t="str">
        <f>IF($B68="","",IF(V68="","",IF(INDEX('Input Contact Information'!$H$2:$H$200,V68)="","",INDEX('Input Contact Information'!$H$2:$H$200,V68))))</f>
        <v/>
      </c>
      <c r="J68" s="1" t="str">
        <f>IF($B68="","",IF(V68="","",IF(INDEX('Input Contact Information'!$I$2:$I$200,V68)="","",INDEX('Input Contact Information'!$I$2:$I$200,V68))))</f>
        <v/>
      </c>
      <c r="K68" s="1" t="str">
        <f>IF($B68="","",IF(V68="","",IF(INDEX('Input Contact Information'!$A$2:$A$200,V68)="","",INDEX('Input Contact Information'!$A$2:$A$200,V68))))</f>
        <v/>
      </c>
      <c r="L68" s="1" t="str">
        <f>IF($B68="","",IF(W68="","",IF(INDEX('Accounts Overview'!$I$2:$I$100,W68)="","",INDEX('Accounts Overview'!$I$2:$I$100,W68))))</f>
        <v/>
      </c>
      <c r="M68" s="1" t="str">
        <f>IF($B68="","",IF(V68="","",IF(INDEX('Input Contact Information'!$J$2:$J$200,V68)="","",INDEX('Input Contact Information'!$J$2:$J$200,V68))))</f>
        <v/>
      </c>
      <c r="N68" s="1" t="str">
        <f>IF($B68="","",IF(V68="","",IF(INDEX('Input Contact Information'!$K$2:$K$200,V68)="","",INDEX('Input Contact Information'!$K$2:$K$200,V68))))</f>
        <v/>
      </c>
      <c r="O68" s="1" t="str">
        <f>IF($B68="","",IF(V68="","",IF(INDEX('Input Contact Information'!$L$2:$L$200,V68)="","",INDEX('Input Contact Information'!$L$2:$L$200,V68))))</f>
        <v/>
      </c>
      <c r="P68" s="1" t="str">
        <f>IF($B68="","",IF((IF(V68="","",IF(INDEX('Input Contact Information'!$N$2:$N$200,V68)="","",INDEX('Input Contact Information'!$N$2:$N$200,V68))))&lt;&gt;"",IF(V68="","",IF(INDEX('Input Contact Information'!$N$2:$N$200,V68)="","",INDEX('Input Contact Information'!$N$2:$N$200,V68))),IF(V68="","",IF(INDEX('Input Contact Information'!$M$2:$M$200,V68)="","",INDEX('Input Contact Information'!$M$2:$M$200,V68)))))</f>
        <v/>
      </c>
      <c r="Q68" s="1" t="str">
        <f t="shared" si="5"/>
        <v/>
      </c>
      <c r="R68" s="1" t="str">
        <f>IF($B68="","",IF(X68="","",IF(INDEX('Engagements Overview'!$I$2:$I$200,X68)="","",INDEX('Engagements Overview'!$I$2:$I$200,X68))))</f>
        <v/>
      </c>
      <c r="S68" s="14" t="str">
        <f>IF($B68="","",IF(X68="","",IF(INDEX('Engagements Overview'!$K$2:$K$200,X68)="","",INDEX('Engagements Overview'!$K$2:$K$200,X68))))</f>
        <v/>
      </c>
      <c r="T68" s="1" t="str">
        <f>IF($B68="","",IF(V68="","",IF(INDEX('Input Contact Information'!$O$2:$O$200,V68)="","",INDEX('Input Contact Information'!$O$2:$O$200,V68))))</f>
        <v/>
      </c>
      <c r="U68" s="1" t="str">
        <f>IF($B68="","",IF(V68="","",IF(INDEX('Input Contact Information'!$P$2:$P$200,V68)="","",INDEX('Input Contact Information'!$P$2:$P$200,V68))))</f>
        <v/>
      </c>
      <c r="V68" s="1" t="str">
        <f>IF(B68="","",IFERROR(MATCH(B68&amp;"|"&amp;C68,'Input Contact Information'!$W$2:$W$200,0),""))</f>
        <v/>
      </c>
      <c r="W68" s="1" t="str">
        <f>IF(C68="","",IFERROR(MATCH(C68,'Accounts Overview'!$B$2:$B$100,0),""))</f>
        <v/>
      </c>
      <c r="X68" s="1" t="str">
        <f>IF(A68="","",IFERROR(MATCH(A68,'Engagements Overview'!$B$2:$B$200,0),""))</f>
        <v/>
      </c>
    </row>
    <row r="69" spans="1:24" ht="15" customHeight="1" x14ac:dyDescent="0.35">
      <c r="A69" s="13" t="str">
        <f t="shared" si="4"/>
        <v/>
      </c>
      <c r="B69" s="1" t="str">
        <f>IFERROR(INDEX('Input Contact Information'!$C$2:$C$200,MATCH(ROW()-1,'Input Contact Information'!$V$2:$V$200,0)),"")</f>
        <v/>
      </c>
      <c r="C69" s="1" t="str">
        <f>IFERROR(INDEX('Input Contact Information'!$B$2:$B$200,MATCH(ROW()-1,'Input Contact Information'!$V$2:$V$200,0)),"")</f>
        <v/>
      </c>
      <c r="D69" s="1" t="str">
        <f>IF($B69="","",IF(W69="","",INDEX('Accounts Overview'!$A$2:$A$100,W69)))</f>
        <v/>
      </c>
      <c r="E69" s="1" t="str">
        <f>IF($B69="","",IF(V69="","",IF(INDEX('Input Contact Information'!$D$2:$D$200,V69)="","",INDEX('Input Contact Information'!$D$2:$D$200,V69))))</f>
        <v/>
      </c>
      <c r="F69" s="1" t="str">
        <f>IF($B69="","",IF(V69="","",IF(INDEX('Input Contact Information'!$F$2:$F$200,V69)="","",INDEX('Input Contact Information'!$F$2:$F$200,V69))))</f>
        <v/>
      </c>
      <c r="G69" s="1" t="str">
        <f>IF($B69="","",IF(V69="","",IF(INDEX('Input Contact Information'!$E$2:$E$200,V69)="","",INDEX('Input Contact Information'!$E$2:$E$200,V69))))</f>
        <v/>
      </c>
      <c r="H69" s="1" t="str">
        <f>IF($B69="","",IF(V69="","",IF(INDEX('Input Contact Information'!$G$2:$G$200,V69)="","",INDEX('Input Contact Information'!$G$2:$G$200,V69))))</f>
        <v/>
      </c>
      <c r="I69" s="1" t="str">
        <f>IF($B69="","",IF(V69="","",IF(INDEX('Input Contact Information'!$H$2:$H$200,V69)="","",INDEX('Input Contact Information'!$H$2:$H$200,V69))))</f>
        <v/>
      </c>
      <c r="J69" s="1" t="str">
        <f>IF($B69="","",IF(V69="","",IF(INDEX('Input Contact Information'!$I$2:$I$200,V69)="","",INDEX('Input Contact Information'!$I$2:$I$200,V69))))</f>
        <v/>
      </c>
      <c r="K69" s="1" t="str">
        <f>IF($B69="","",IF(V69="","",IF(INDEX('Input Contact Information'!$A$2:$A$200,V69)="","",INDEX('Input Contact Information'!$A$2:$A$200,V69))))</f>
        <v/>
      </c>
      <c r="L69" s="1" t="str">
        <f>IF($B69="","",IF(W69="","",IF(INDEX('Accounts Overview'!$I$2:$I$100,W69)="","",INDEX('Accounts Overview'!$I$2:$I$100,W69))))</f>
        <v/>
      </c>
      <c r="M69" s="1" t="str">
        <f>IF($B69="","",IF(V69="","",IF(INDEX('Input Contact Information'!$J$2:$J$200,V69)="","",INDEX('Input Contact Information'!$J$2:$J$200,V69))))</f>
        <v/>
      </c>
      <c r="N69" s="1" t="str">
        <f>IF($B69="","",IF(V69="","",IF(INDEX('Input Contact Information'!$K$2:$K$200,V69)="","",INDEX('Input Contact Information'!$K$2:$K$200,V69))))</f>
        <v/>
      </c>
      <c r="O69" s="1" t="str">
        <f>IF($B69="","",IF(V69="","",IF(INDEX('Input Contact Information'!$L$2:$L$200,V69)="","",INDEX('Input Contact Information'!$L$2:$L$200,V69))))</f>
        <v/>
      </c>
      <c r="P69" s="1" t="str">
        <f>IF($B69="","",IF((IF(V69="","",IF(INDEX('Input Contact Information'!$N$2:$N$200,V69)="","",INDEX('Input Contact Information'!$N$2:$N$200,V69))))&lt;&gt;"",IF(V69="","",IF(INDEX('Input Contact Information'!$N$2:$N$200,V69)="","",INDEX('Input Contact Information'!$N$2:$N$200,V69))),IF(V69="","",IF(INDEX('Input Contact Information'!$M$2:$M$200,V69)="","",INDEX('Input Contact Information'!$M$2:$M$200,V69)))))</f>
        <v/>
      </c>
      <c r="Q69" s="1" t="str">
        <f t="shared" si="5"/>
        <v/>
      </c>
      <c r="R69" s="1" t="str">
        <f>IF($B69="","",IF(X69="","",IF(INDEX('Engagements Overview'!$I$2:$I$200,X69)="","",INDEX('Engagements Overview'!$I$2:$I$200,X69))))</f>
        <v/>
      </c>
      <c r="S69" s="14" t="str">
        <f>IF($B69="","",IF(X69="","",IF(INDEX('Engagements Overview'!$K$2:$K$200,X69)="","",INDEX('Engagements Overview'!$K$2:$K$200,X69))))</f>
        <v/>
      </c>
      <c r="T69" s="1" t="str">
        <f>IF($B69="","",IF(V69="","",IF(INDEX('Input Contact Information'!$O$2:$O$200,V69)="","",INDEX('Input Contact Information'!$O$2:$O$200,V69))))</f>
        <v/>
      </c>
      <c r="U69" s="1" t="str">
        <f>IF($B69="","",IF(V69="","",IF(INDEX('Input Contact Information'!$P$2:$P$200,V69)="","",INDEX('Input Contact Information'!$P$2:$P$200,V69))))</f>
        <v/>
      </c>
      <c r="V69" s="1" t="str">
        <f>IF(B69="","",IFERROR(MATCH(B69&amp;"|"&amp;C69,'Input Contact Information'!$W$2:$W$200,0),""))</f>
        <v/>
      </c>
      <c r="W69" s="1" t="str">
        <f>IF(C69="","",IFERROR(MATCH(C69,'Accounts Overview'!$B$2:$B$100,0),""))</f>
        <v/>
      </c>
      <c r="X69" s="1" t="str">
        <f>IF(A69="","",IFERROR(MATCH(A69,'Engagements Overview'!$B$2:$B$200,0),""))</f>
        <v/>
      </c>
    </row>
    <row r="70" spans="1:24" ht="15" customHeight="1" x14ac:dyDescent="0.35">
      <c r="A70" s="13" t="str">
        <f t="shared" si="4"/>
        <v/>
      </c>
      <c r="B70" s="1" t="str">
        <f>IFERROR(INDEX('Input Contact Information'!$C$2:$C$200,MATCH(ROW()-1,'Input Contact Information'!$V$2:$V$200,0)),"")</f>
        <v/>
      </c>
      <c r="C70" s="1" t="str">
        <f>IFERROR(INDEX('Input Contact Information'!$B$2:$B$200,MATCH(ROW()-1,'Input Contact Information'!$V$2:$V$200,0)),"")</f>
        <v/>
      </c>
      <c r="D70" s="1" t="str">
        <f>IF($B70="","",IF(W70="","",INDEX('Accounts Overview'!$A$2:$A$100,W70)))</f>
        <v/>
      </c>
      <c r="E70" s="1" t="str">
        <f>IF($B70="","",IF(V70="","",IF(INDEX('Input Contact Information'!$D$2:$D$200,V70)="","",INDEX('Input Contact Information'!$D$2:$D$200,V70))))</f>
        <v/>
      </c>
      <c r="F70" s="1" t="str">
        <f>IF($B70="","",IF(V70="","",IF(INDEX('Input Contact Information'!$F$2:$F$200,V70)="","",INDEX('Input Contact Information'!$F$2:$F$200,V70))))</f>
        <v/>
      </c>
      <c r="G70" s="1" t="str">
        <f>IF($B70="","",IF(V70="","",IF(INDEX('Input Contact Information'!$E$2:$E$200,V70)="","",INDEX('Input Contact Information'!$E$2:$E$200,V70))))</f>
        <v/>
      </c>
      <c r="H70" s="1" t="str">
        <f>IF($B70="","",IF(V70="","",IF(INDEX('Input Contact Information'!$G$2:$G$200,V70)="","",INDEX('Input Contact Information'!$G$2:$G$200,V70))))</f>
        <v/>
      </c>
      <c r="I70" s="1" t="str">
        <f>IF($B70="","",IF(V70="","",IF(INDEX('Input Contact Information'!$H$2:$H$200,V70)="","",INDEX('Input Contact Information'!$H$2:$H$200,V70))))</f>
        <v/>
      </c>
      <c r="J70" s="1" t="str">
        <f>IF($B70="","",IF(V70="","",IF(INDEX('Input Contact Information'!$I$2:$I$200,V70)="","",INDEX('Input Contact Information'!$I$2:$I$200,V70))))</f>
        <v/>
      </c>
      <c r="K70" s="1" t="str">
        <f>IF($B70="","",IF(V70="","",IF(INDEX('Input Contact Information'!$A$2:$A$200,V70)="","",INDEX('Input Contact Information'!$A$2:$A$200,V70))))</f>
        <v/>
      </c>
      <c r="L70" s="1" t="str">
        <f>IF($B70="","",IF(W70="","",IF(INDEX('Accounts Overview'!$I$2:$I$100,W70)="","",INDEX('Accounts Overview'!$I$2:$I$100,W70))))</f>
        <v/>
      </c>
      <c r="M70" s="1" t="str">
        <f>IF($B70="","",IF(V70="","",IF(INDEX('Input Contact Information'!$J$2:$J$200,V70)="","",INDEX('Input Contact Information'!$J$2:$J$200,V70))))</f>
        <v/>
      </c>
      <c r="N70" s="1" t="str">
        <f>IF($B70="","",IF(V70="","",IF(INDEX('Input Contact Information'!$K$2:$K$200,V70)="","",INDEX('Input Contact Information'!$K$2:$K$200,V70))))</f>
        <v/>
      </c>
      <c r="O70" s="1" t="str">
        <f>IF($B70="","",IF(V70="","",IF(INDEX('Input Contact Information'!$L$2:$L$200,V70)="","",INDEX('Input Contact Information'!$L$2:$L$200,V70))))</f>
        <v/>
      </c>
      <c r="P70" s="1" t="str">
        <f>IF($B70="","",IF((IF(V70="","",IF(INDEX('Input Contact Information'!$N$2:$N$200,V70)="","",INDEX('Input Contact Information'!$N$2:$N$200,V70))))&lt;&gt;"",IF(V70="","",IF(INDEX('Input Contact Information'!$N$2:$N$200,V70)="","",INDEX('Input Contact Information'!$N$2:$N$200,V70))),IF(V70="","",IF(INDEX('Input Contact Information'!$M$2:$M$200,V70)="","",INDEX('Input Contact Information'!$M$2:$M$200,V70)))))</f>
        <v/>
      </c>
      <c r="Q70" s="1" t="str">
        <f t="shared" si="5"/>
        <v/>
      </c>
      <c r="R70" s="1" t="str">
        <f>IF($B70="","",IF(X70="","",IF(INDEX('Engagements Overview'!$I$2:$I$200,X70)="","",INDEX('Engagements Overview'!$I$2:$I$200,X70))))</f>
        <v/>
      </c>
      <c r="S70" s="14" t="str">
        <f>IF($B70="","",IF(X70="","",IF(INDEX('Engagements Overview'!$K$2:$K$200,X70)="","",INDEX('Engagements Overview'!$K$2:$K$200,X70))))</f>
        <v/>
      </c>
      <c r="T70" s="1" t="str">
        <f>IF($B70="","",IF(V70="","",IF(INDEX('Input Contact Information'!$O$2:$O$200,V70)="","",INDEX('Input Contact Information'!$O$2:$O$200,V70))))</f>
        <v/>
      </c>
      <c r="U70" s="1" t="str">
        <f>IF($B70="","",IF(V70="","",IF(INDEX('Input Contact Information'!$P$2:$P$200,V70)="","",INDEX('Input Contact Information'!$P$2:$P$200,V70))))</f>
        <v/>
      </c>
      <c r="V70" s="1" t="str">
        <f>IF(B70="","",IFERROR(MATCH(B70&amp;"|"&amp;C70,'Input Contact Information'!$W$2:$W$200,0),""))</f>
        <v/>
      </c>
      <c r="W70" s="1" t="str">
        <f>IF(C70="","",IFERROR(MATCH(C70,'Accounts Overview'!$B$2:$B$100,0),""))</f>
        <v/>
      </c>
      <c r="X70" s="1" t="str">
        <f>IF(A70="","",IFERROR(MATCH(A70,'Engagements Overview'!$B$2:$B$200,0),""))</f>
        <v/>
      </c>
    </row>
    <row r="71" spans="1:24" ht="15" customHeight="1" x14ac:dyDescent="0.35">
      <c r="A71" s="13" t="str">
        <f t="shared" si="4"/>
        <v/>
      </c>
      <c r="B71" s="1" t="str">
        <f>IFERROR(INDEX('Input Contact Information'!$C$2:$C$200,MATCH(ROW()-1,'Input Contact Information'!$V$2:$V$200,0)),"")</f>
        <v/>
      </c>
      <c r="C71" s="1" t="str">
        <f>IFERROR(INDEX('Input Contact Information'!$B$2:$B$200,MATCH(ROW()-1,'Input Contact Information'!$V$2:$V$200,0)),"")</f>
        <v/>
      </c>
      <c r="D71" s="1" t="str">
        <f>IF($B71="","",IF(W71="","",INDEX('Accounts Overview'!$A$2:$A$100,W71)))</f>
        <v/>
      </c>
      <c r="E71" s="1" t="str">
        <f>IF($B71="","",IF(V71="","",IF(INDEX('Input Contact Information'!$D$2:$D$200,V71)="","",INDEX('Input Contact Information'!$D$2:$D$200,V71))))</f>
        <v/>
      </c>
      <c r="F71" s="1" t="str">
        <f>IF($B71="","",IF(V71="","",IF(INDEX('Input Contact Information'!$F$2:$F$200,V71)="","",INDEX('Input Contact Information'!$F$2:$F$200,V71))))</f>
        <v/>
      </c>
      <c r="G71" s="1" t="str">
        <f>IF($B71="","",IF(V71="","",IF(INDEX('Input Contact Information'!$E$2:$E$200,V71)="","",INDEX('Input Contact Information'!$E$2:$E$200,V71))))</f>
        <v/>
      </c>
      <c r="H71" s="1" t="str">
        <f>IF($B71="","",IF(V71="","",IF(INDEX('Input Contact Information'!$G$2:$G$200,V71)="","",INDEX('Input Contact Information'!$G$2:$G$200,V71))))</f>
        <v/>
      </c>
      <c r="I71" s="1" t="str">
        <f>IF($B71="","",IF(V71="","",IF(INDEX('Input Contact Information'!$H$2:$H$200,V71)="","",INDEX('Input Contact Information'!$H$2:$H$200,V71))))</f>
        <v/>
      </c>
      <c r="J71" s="1" t="str">
        <f>IF($B71="","",IF(V71="","",IF(INDEX('Input Contact Information'!$I$2:$I$200,V71)="","",INDEX('Input Contact Information'!$I$2:$I$200,V71))))</f>
        <v/>
      </c>
      <c r="K71" s="1" t="str">
        <f>IF($B71="","",IF(V71="","",IF(INDEX('Input Contact Information'!$A$2:$A$200,V71)="","",INDEX('Input Contact Information'!$A$2:$A$200,V71))))</f>
        <v/>
      </c>
      <c r="L71" s="1" t="str">
        <f>IF($B71="","",IF(W71="","",IF(INDEX('Accounts Overview'!$I$2:$I$100,W71)="","",INDEX('Accounts Overview'!$I$2:$I$100,W71))))</f>
        <v/>
      </c>
      <c r="M71" s="1" t="str">
        <f>IF($B71="","",IF(V71="","",IF(INDEX('Input Contact Information'!$J$2:$J$200,V71)="","",INDEX('Input Contact Information'!$J$2:$J$200,V71))))</f>
        <v/>
      </c>
      <c r="N71" s="1" t="str">
        <f>IF($B71="","",IF(V71="","",IF(INDEX('Input Contact Information'!$K$2:$K$200,V71)="","",INDEX('Input Contact Information'!$K$2:$K$200,V71))))</f>
        <v/>
      </c>
      <c r="O71" s="1" t="str">
        <f>IF($B71="","",IF(V71="","",IF(INDEX('Input Contact Information'!$L$2:$L$200,V71)="","",INDEX('Input Contact Information'!$L$2:$L$200,V71))))</f>
        <v/>
      </c>
      <c r="P71" s="1" t="str">
        <f>IF($B71="","",IF((IF(V71="","",IF(INDEX('Input Contact Information'!$N$2:$N$200,V71)="","",INDEX('Input Contact Information'!$N$2:$N$200,V71))))&lt;&gt;"",IF(V71="","",IF(INDEX('Input Contact Information'!$N$2:$N$200,V71)="","",INDEX('Input Contact Information'!$N$2:$N$200,V71))),IF(V71="","",IF(INDEX('Input Contact Information'!$M$2:$M$200,V71)="","",INDEX('Input Contact Information'!$M$2:$M$200,V71)))))</f>
        <v/>
      </c>
      <c r="Q71" s="1" t="str">
        <f t="shared" si="5"/>
        <v/>
      </c>
      <c r="R71" s="1" t="str">
        <f>IF($B71="","",IF(X71="","",IF(INDEX('Engagements Overview'!$I$2:$I$200,X71)="","",INDEX('Engagements Overview'!$I$2:$I$200,X71))))</f>
        <v/>
      </c>
      <c r="S71" s="14" t="str">
        <f>IF($B71="","",IF(X71="","",IF(INDEX('Engagements Overview'!$K$2:$K$200,X71)="","",INDEX('Engagements Overview'!$K$2:$K$200,X71))))</f>
        <v/>
      </c>
      <c r="T71" s="1" t="str">
        <f>IF($B71="","",IF(V71="","",IF(INDEX('Input Contact Information'!$O$2:$O$200,V71)="","",INDEX('Input Contact Information'!$O$2:$O$200,V71))))</f>
        <v/>
      </c>
      <c r="U71" s="1" t="str">
        <f>IF($B71="","",IF(V71="","",IF(INDEX('Input Contact Information'!$P$2:$P$200,V71)="","",INDEX('Input Contact Information'!$P$2:$P$200,V71))))</f>
        <v/>
      </c>
      <c r="V71" s="1" t="str">
        <f>IF(B71="","",IFERROR(MATCH(B71&amp;"|"&amp;C71,'Input Contact Information'!$W$2:$W$200,0),""))</f>
        <v/>
      </c>
      <c r="W71" s="1" t="str">
        <f>IF(C71="","",IFERROR(MATCH(C71,'Accounts Overview'!$B$2:$B$100,0),""))</f>
        <v/>
      </c>
      <c r="X71" s="1" t="str">
        <f>IF(A71="","",IFERROR(MATCH(A71,'Engagements Overview'!$B$2:$B$200,0),""))</f>
        <v/>
      </c>
    </row>
    <row r="72" spans="1:24" ht="15" customHeight="1" x14ac:dyDescent="0.35">
      <c r="A72" s="13" t="str">
        <f t="shared" si="4"/>
        <v/>
      </c>
      <c r="B72" s="1" t="str">
        <f>IFERROR(INDEX('Input Contact Information'!$C$2:$C$200,MATCH(ROW()-1,'Input Contact Information'!$V$2:$V$200,0)),"")</f>
        <v/>
      </c>
      <c r="C72" s="1" t="str">
        <f>IFERROR(INDEX('Input Contact Information'!$B$2:$B$200,MATCH(ROW()-1,'Input Contact Information'!$V$2:$V$200,0)),"")</f>
        <v/>
      </c>
      <c r="D72" s="1" t="str">
        <f>IF($B72="","",IF(W72="","",INDEX('Accounts Overview'!$A$2:$A$100,W72)))</f>
        <v/>
      </c>
      <c r="E72" s="1" t="str">
        <f>IF($B72="","",IF(V72="","",IF(INDEX('Input Contact Information'!$D$2:$D$200,V72)="","",INDEX('Input Contact Information'!$D$2:$D$200,V72))))</f>
        <v/>
      </c>
      <c r="F72" s="1" t="str">
        <f>IF($B72="","",IF(V72="","",IF(INDEX('Input Contact Information'!$F$2:$F$200,V72)="","",INDEX('Input Contact Information'!$F$2:$F$200,V72))))</f>
        <v/>
      </c>
      <c r="G72" s="1" t="str">
        <f>IF($B72="","",IF(V72="","",IF(INDEX('Input Contact Information'!$E$2:$E$200,V72)="","",INDEX('Input Contact Information'!$E$2:$E$200,V72))))</f>
        <v/>
      </c>
      <c r="H72" s="1" t="str">
        <f>IF($B72="","",IF(V72="","",IF(INDEX('Input Contact Information'!$G$2:$G$200,V72)="","",INDEX('Input Contact Information'!$G$2:$G$200,V72))))</f>
        <v/>
      </c>
      <c r="I72" s="1" t="str">
        <f>IF($B72="","",IF(V72="","",IF(INDEX('Input Contact Information'!$H$2:$H$200,V72)="","",INDEX('Input Contact Information'!$H$2:$H$200,V72))))</f>
        <v/>
      </c>
      <c r="J72" s="1" t="str">
        <f>IF($B72="","",IF(V72="","",IF(INDEX('Input Contact Information'!$I$2:$I$200,V72)="","",INDEX('Input Contact Information'!$I$2:$I$200,V72))))</f>
        <v/>
      </c>
      <c r="K72" s="1" t="str">
        <f>IF($B72="","",IF(V72="","",IF(INDEX('Input Contact Information'!$A$2:$A$200,V72)="","",INDEX('Input Contact Information'!$A$2:$A$200,V72))))</f>
        <v/>
      </c>
      <c r="L72" s="1" t="str">
        <f>IF($B72="","",IF(W72="","",IF(INDEX('Accounts Overview'!$I$2:$I$100,W72)="","",INDEX('Accounts Overview'!$I$2:$I$100,W72))))</f>
        <v/>
      </c>
      <c r="M72" s="1" t="str">
        <f>IF($B72="","",IF(V72="","",IF(INDEX('Input Contact Information'!$J$2:$J$200,V72)="","",INDEX('Input Contact Information'!$J$2:$J$200,V72))))</f>
        <v/>
      </c>
      <c r="N72" s="1" t="str">
        <f>IF($B72="","",IF(V72="","",IF(INDEX('Input Contact Information'!$K$2:$K$200,V72)="","",INDEX('Input Contact Information'!$K$2:$K$200,V72))))</f>
        <v/>
      </c>
      <c r="O72" s="1" t="str">
        <f>IF($B72="","",IF(V72="","",IF(INDEX('Input Contact Information'!$L$2:$L$200,V72)="","",INDEX('Input Contact Information'!$L$2:$L$200,V72))))</f>
        <v/>
      </c>
      <c r="P72" s="1" t="str">
        <f>IF($B72="","",IF((IF(V72="","",IF(INDEX('Input Contact Information'!$N$2:$N$200,V72)="","",INDEX('Input Contact Information'!$N$2:$N$200,V72))))&lt;&gt;"",IF(V72="","",IF(INDEX('Input Contact Information'!$N$2:$N$200,V72)="","",INDEX('Input Contact Information'!$N$2:$N$200,V72))),IF(V72="","",IF(INDEX('Input Contact Information'!$M$2:$M$200,V72)="","",INDEX('Input Contact Information'!$M$2:$M$200,V72)))))</f>
        <v/>
      </c>
      <c r="Q72" s="1" t="str">
        <f t="shared" si="5"/>
        <v/>
      </c>
      <c r="R72" s="1" t="str">
        <f>IF($B72="","",IF(X72="","",IF(INDEX('Engagements Overview'!$I$2:$I$200,X72)="","",INDEX('Engagements Overview'!$I$2:$I$200,X72))))</f>
        <v/>
      </c>
      <c r="S72" s="14" t="str">
        <f>IF($B72="","",IF(X72="","",IF(INDEX('Engagements Overview'!$K$2:$K$200,X72)="","",INDEX('Engagements Overview'!$K$2:$K$200,X72))))</f>
        <v/>
      </c>
      <c r="T72" s="1" t="str">
        <f>IF($B72="","",IF(V72="","",IF(INDEX('Input Contact Information'!$O$2:$O$200,V72)="","",INDEX('Input Contact Information'!$O$2:$O$200,V72))))</f>
        <v/>
      </c>
      <c r="U72" s="1" t="str">
        <f>IF($B72="","",IF(V72="","",IF(INDEX('Input Contact Information'!$P$2:$P$200,V72)="","",INDEX('Input Contact Information'!$P$2:$P$200,V72))))</f>
        <v/>
      </c>
      <c r="V72" s="1" t="str">
        <f>IF(B72="","",IFERROR(MATCH(B72&amp;"|"&amp;C72,'Input Contact Information'!$W$2:$W$200,0),""))</f>
        <v/>
      </c>
      <c r="W72" s="1" t="str">
        <f>IF(C72="","",IFERROR(MATCH(C72,'Accounts Overview'!$B$2:$B$100,0),""))</f>
        <v/>
      </c>
      <c r="X72" s="1" t="str">
        <f>IF(A72="","",IFERROR(MATCH(A72,'Engagements Overview'!$B$2:$B$200,0),""))</f>
        <v/>
      </c>
    </row>
    <row r="73" spans="1:24" ht="15" customHeight="1" x14ac:dyDescent="0.35">
      <c r="A73" s="13" t="str">
        <f t="shared" si="4"/>
        <v/>
      </c>
      <c r="B73" s="1" t="str">
        <f>IFERROR(INDEX('Input Contact Information'!$C$2:$C$200,MATCH(ROW()-1,'Input Contact Information'!$V$2:$V$200,0)),"")</f>
        <v/>
      </c>
      <c r="C73" s="1" t="str">
        <f>IFERROR(INDEX('Input Contact Information'!$B$2:$B$200,MATCH(ROW()-1,'Input Contact Information'!$V$2:$V$200,0)),"")</f>
        <v/>
      </c>
      <c r="D73" s="1" t="str">
        <f>IF($B73="","",IF(W73="","",INDEX('Accounts Overview'!$A$2:$A$100,W73)))</f>
        <v/>
      </c>
      <c r="E73" s="1" t="str">
        <f>IF($B73="","",IF(V73="","",IF(INDEX('Input Contact Information'!$D$2:$D$200,V73)="","",INDEX('Input Contact Information'!$D$2:$D$200,V73))))</f>
        <v/>
      </c>
      <c r="F73" s="1" t="str">
        <f>IF($B73="","",IF(V73="","",IF(INDEX('Input Contact Information'!$F$2:$F$200,V73)="","",INDEX('Input Contact Information'!$F$2:$F$200,V73))))</f>
        <v/>
      </c>
      <c r="G73" s="1" t="str">
        <f>IF($B73="","",IF(V73="","",IF(INDEX('Input Contact Information'!$E$2:$E$200,V73)="","",INDEX('Input Contact Information'!$E$2:$E$200,V73))))</f>
        <v/>
      </c>
      <c r="H73" s="1" t="str">
        <f>IF($B73="","",IF(V73="","",IF(INDEX('Input Contact Information'!$G$2:$G$200,V73)="","",INDEX('Input Contact Information'!$G$2:$G$200,V73))))</f>
        <v/>
      </c>
      <c r="I73" s="1" t="str">
        <f>IF($B73="","",IF(V73="","",IF(INDEX('Input Contact Information'!$H$2:$H$200,V73)="","",INDEX('Input Contact Information'!$H$2:$H$200,V73))))</f>
        <v/>
      </c>
      <c r="J73" s="1" t="str">
        <f>IF($B73="","",IF(V73="","",IF(INDEX('Input Contact Information'!$I$2:$I$200,V73)="","",INDEX('Input Contact Information'!$I$2:$I$200,V73))))</f>
        <v/>
      </c>
      <c r="K73" s="1" t="str">
        <f>IF($B73="","",IF(V73="","",IF(INDEX('Input Contact Information'!$A$2:$A$200,V73)="","",INDEX('Input Contact Information'!$A$2:$A$200,V73))))</f>
        <v/>
      </c>
      <c r="L73" s="1" t="str">
        <f>IF($B73="","",IF(W73="","",IF(INDEX('Accounts Overview'!$I$2:$I$100,W73)="","",INDEX('Accounts Overview'!$I$2:$I$100,W73))))</f>
        <v/>
      </c>
      <c r="M73" s="1" t="str">
        <f>IF($B73="","",IF(V73="","",IF(INDEX('Input Contact Information'!$J$2:$J$200,V73)="","",INDEX('Input Contact Information'!$J$2:$J$200,V73))))</f>
        <v/>
      </c>
      <c r="N73" s="1" t="str">
        <f>IF($B73="","",IF(V73="","",IF(INDEX('Input Contact Information'!$K$2:$K$200,V73)="","",INDEX('Input Contact Information'!$K$2:$K$200,V73))))</f>
        <v/>
      </c>
      <c r="O73" s="1" t="str">
        <f>IF($B73="","",IF(V73="","",IF(INDEX('Input Contact Information'!$L$2:$L$200,V73)="","",INDEX('Input Contact Information'!$L$2:$L$200,V73))))</f>
        <v/>
      </c>
      <c r="P73" s="1" t="str">
        <f>IF($B73="","",IF((IF(V73="","",IF(INDEX('Input Contact Information'!$N$2:$N$200,V73)="","",INDEX('Input Contact Information'!$N$2:$N$200,V73))))&lt;&gt;"",IF(V73="","",IF(INDEX('Input Contact Information'!$N$2:$N$200,V73)="","",INDEX('Input Contact Information'!$N$2:$N$200,V73))),IF(V73="","",IF(INDEX('Input Contact Information'!$M$2:$M$200,V73)="","",INDEX('Input Contact Information'!$M$2:$M$200,V73)))))</f>
        <v/>
      </c>
      <c r="Q73" s="1" t="str">
        <f t="shared" si="5"/>
        <v/>
      </c>
      <c r="R73" s="1" t="str">
        <f>IF($B73="","",IF(X73="","",IF(INDEX('Engagements Overview'!$I$2:$I$200,X73)="","",INDEX('Engagements Overview'!$I$2:$I$200,X73))))</f>
        <v/>
      </c>
      <c r="S73" s="14" t="str">
        <f>IF($B73="","",IF(X73="","",IF(INDEX('Engagements Overview'!$K$2:$K$200,X73)="","",INDEX('Engagements Overview'!$K$2:$K$200,X73))))</f>
        <v/>
      </c>
      <c r="T73" s="1" t="str">
        <f>IF($B73="","",IF(V73="","",IF(INDEX('Input Contact Information'!$O$2:$O$200,V73)="","",INDEX('Input Contact Information'!$O$2:$O$200,V73))))</f>
        <v/>
      </c>
      <c r="U73" s="1" t="str">
        <f>IF($B73="","",IF(V73="","",IF(INDEX('Input Contact Information'!$P$2:$P$200,V73)="","",INDEX('Input Contact Information'!$P$2:$P$200,V73))))</f>
        <v/>
      </c>
      <c r="V73" s="1" t="str">
        <f>IF(B73="","",IFERROR(MATCH(B73&amp;"|"&amp;C73,'Input Contact Information'!$W$2:$W$200,0),""))</f>
        <v/>
      </c>
      <c r="W73" s="1" t="str">
        <f>IF(C73="","",IFERROR(MATCH(C73,'Accounts Overview'!$B$2:$B$100,0),""))</f>
        <v/>
      </c>
      <c r="X73" s="1" t="str">
        <f>IF(A73="","",IFERROR(MATCH(A73,'Engagements Overview'!$B$2:$B$200,0),""))</f>
        <v/>
      </c>
    </row>
    <row r="74" spans="1:24" ht="15" customHeight="1" x14ac:dyDescent="0.35">
      <c r="A74" s="13" t="str">
        <f t="shared" si="4"/>
        <v/>
      </c>
      <c r="B74" s="1" t="str">
        <f>IFERROR(INDEX('Input Contact Information'!$C$2:$C$200,MATCH(ROW()-1,'Input Contact Information'!$V$2:$V$200,0)),"")</f>
        <v/>
      </c>
      <c r="C74" s="1" t="str">
        <f>IFERROR(INDEX('Input Contact Information'!$B$2:$B$200,MATCH(ROW()-1,'Input Contact Information'!$V$2:$V$200,0)),"")</f>
        <v/>
      </c>
      <c r="D74" s="1" t="str">
        <f>IF($B74="","",IF(W74="","",INDEX('Accounts Overview'!$A$2:$A$100,W74)))</f>
        <v/>
      </c>
      <c r="E74" s="1" t="str">
        <f>IF($B74="","",IF(V74="","",IF(INDEX('Input Contact Information'!$D$2:$D$200,V74)="","",INDEX('Input Contact Information'!$D$2:$D$200,V74))))</f>
        <v/>
      </c>
      <c r="F74" s="1" t="str">
        <f>IF($B74="","",IF(V74="","",IF(INDEX('Input Contact Information'!$F$2:$F$200,V74)="","",INDEX('Input Contact Information'!$F$2:$F$200,V74))))</f>
        <v/>
      </c>
      <c r="G74" s="1" t="str">
        <f>IF($B74="","",IF(V74="","",IF(INDEX('Input Contact Information'!$E$2:$E$200,V74)="","",INDEX('Input Contact Information'!$E$2:$E$200,V74))))</f>
        <v/>
      </c>
      <c r="H74" s="1" t="str">
        <f>IF($B74="","",IF(V74="","",IF(INDEX('Input Contact Information'!$G$2:$G$200,V74)="","",INDEX('Input Contact Information'!$G$2:$G$200,V74))))</f>
        <v/>
      </c>
      <c r="I74" s="1" t="str">
        <f>IF($B74="","",IF(V74="","",IF(INDEX('Input Contact Information'!$H$2:$H$200,V74)="","",INDEX('Input Contact Information'!$H$2:$H$200,V74))))</f>
        <v/>
      </c>
      <c r="J74" s="1" t="str">
        <f>IF($B74="","",IF(V74="","",IF(INDEX('Input Contact Information'!$I$2:$I$200,V74)="","",INDEX('Input Contact Information'!$I$2:$I$200,V74))))</f>
        <v/>
      </c>
      <c r="K74" s="1" t="str">
        <f>IF($B74="","",IF(V74="","",IF(INDEX('Input Contact Information'!$A$2:$A$200,V74)="","",INDEX('Input Contact Information'!$A$2:$A$200,V74))))</f>
        <v/>
      </c>
      <c r="L74" s="1" t="str">
        <f>IF($B74="","",IF(W74="","",IF(INDEX('Accounts Overview'!$I$2:$I$100,W74)="","",INDEX('Accounts Overview'!$I$2:$I$100,W74))))</f>
        <v/>
      </c>
      <c r="M74" s="1" t="str">
        <f>IF($B74="","",IF(V74="","",IF(INDEX('Input Contact Information'!$J$2:$J$200,V74)="","",INDEX('Input Contact Information'!$J$2:$J$200,V74))))</f>
        <v/>
      </c>
      <c r="N74" s="1" t="str">
        <f>IF($B74="","",IF(V74="","",IF(INDEX('Input Contact Information'!$K$2:$K$200,V74)="","",INDEX('Input Contact Information'!$K$2:$K$200,V74))))</f>
        <v/>
      </c>
      <c r="O74" s="1" t="str">
        <f>IF($B74="","",IF(V74="","",IF(INDEX('Input Contact Information'!$L$2:$L$200,V74)="","",INDEX('Input Contact Information'!$L$2:$L$200,V74))))</f>
        <v/>
      </c>
      <c r="P74" s="1" t="str">
        <f>IF($B74="","",IF((IF(V74="","",IF(INDEX('Input Contact Information'!$N$2:$N$200,V74)="","",INDEX('Input Contact Information'!$N$2:$N$200,V74))))&lt;&gt;"",IF(V74="","",IF(INDEX('Input Contact Information'!$N$2:$N$200,V74)="","",INDEX('Input Contact Information'!$N$2:$N$200,V74))),IF(V74="","",IF(INDEX('Input Contact Information'!$M$2:$M$200,V74)="","",INDEX('Input Contact Information'!$M$2:$M$200,V74)))))</f>
        <v/>
      </c>
      <c r="Q74" s="1" t="str">
        <f t="shared" si="5"/>
        <v/>
      </c>
      <c r="R74" s="1" t="str">
        <f>IF($B74="","",IF(X74="","",IF(INDEX('Engagements Overview'!$I$2:$I$200,X74)="","",INDEX('Engagements Overview'!$I$2:$I$200,X74))))</f>
        <v/>
      </c>
      <c r="S74" s="14" t="str">
        <f>IF($B74="","",IF(X74="","",IF(INDEX('Engagements Overview'!$K$2:$K$200,X74)="","",INDEX('Engagements Overview'!$K$2:$K$200,X74))))</f>
        <v/>
      </c>
      <c r="T74" s="1" t="str">
        <f>IF($B74="","",IF(V74="","",IF(INDEX('Input Contact Information'!$O$2:$O$200,V74)="","",INDEX('Input Contact Information'!$O$2:$O$200,V74))))</f>
        <v/>
      </c>
      <c r="U74" s="1" t="str">
        <f>IF($B74="","",IF(V74="","",IF(INDEX('Input Contact Information'!$P$2:$P$200,V74)="","",INDEX('Input Contact Information'!$P$2:$P$200,V74))))</f>
        <v/>
      </c>
      <c r="V74" s="1" t="str">
        <f>IF(B74="","",IFERROR(MATCH(B74&amp;"|"&amp;C74,'Input Contact Information'!$W$2:$W$200,0),""))</f>
        <v/>
      </c>
      <c r="W74" s="1" t="str">
        <f>IF(C74="","",IFERROR(MATCH(C74,'Accounts Overview'!$B$2:$B$100,0),""))</f>
        <v/>
      </c>
      <c r="X74" s="1" t="str">
        <f>IF(A74="","",IFERROR(MATCH(A74,'Engagements Overview'!$B$2:$B$200,0),""))</f>
        <v/>
      </c>
    </row>
    <row r="75" spans="1:24" ht="15" customHeight="1" x14ac:dyDescent="0.35">
      <c r="A75" s="13" t="str">
        <f t="shared" si="4"/>
        <v/>
      </c>
      <c r="B75" s="1" t="str">
        <f>IFERROR(INDEX('Input Contact Information'!$C$2:$C$200,MATCH(ROW()-1,'Input Contact Information'!$V$2:$V$200,0)),"")</f>
        <v/>
      </c>
      <c r="C75" s="1" t="str">
        <f>IFERROR(INDEX('Input Contact Information'!$B$2:$B$200,MATCH(ROW()-1,'Input Contact Information'!$V$2:$V$200,0)),"")</f>
        <v/>
      </c>
      <c r="D75" s="1" t="str">
        <f>IF($B75="","",IF(W75="","",INDEX('Accounts Overview'!$A$2:$A$100,W75)))</f>
        <v/>
      </c>
      <c r="E75" s="1" t="str">
        <f>IF($B75="","",IF(V75="","",IF(INDEX('Input Contact Information'!$D$2:$D$200,V75)="","",INDEX('Input Contact Information'!$D$2:$D$200,V75))))</f>
        <v/>
      </c>
      <c r="F75" s="1" t="str">
        <f>IF($B75="","",IF(V75="","",IF(INDEX('Input Contact Information'!$F$2:$F$200,V75)="","",INDEX('Input Contact Information'!$F$2:$F$200,V75))))</f>
        <v/>
      </c>
      <c r="G75" s="1" t="str">
        <f>IF($B75="","",IF(V75="","",IF(INDEX('Input Contact Information'!$E$2:$E$200,V75)="","",INDEX('Input Contact Information'!$E$2:$E$200,V75))))</f>
        <v/>
      </c>
      <c r="H75" s="1" t="str">
        <f>IF($B75="","",IF(V75="","",IF(INDEX('Input Contact Information'!$G$2:$G$200,V75)="","",INDEX('Input Contact Information'!$G$2:$G$200,V75))))</f>
        <v/>
      </c>
      <c r="I75" s="1" t="str">
        <f>IF($B75="","",IF(V75="","",IF(INDEX('Input Contact Information'!$H$2:$H$200,V75)="","",INDEX('Input Contact Information'!$H$2:$H$200,V75))))</f>
        <v/>
      </c>
      <c r="J75" s="1" t="str">
        <f>IF($B75="","",IF(V75="","",IF(INDEX('Input Contact Information'!$I$2:$I$200,V75)="","",INDEX('Input Contact Information'!$I$2:$I$200,V75))))</f>
        <v/>
      </c>
      <c r="K75" s="1" t="str">
        <f>IF($B75="","",IF(V75="","",IF(INDEX('Input Contact Information'!$A$2:$A$200,V75)="","",INDEX('Input Contact Information'!$A$2:$A$200,V75))))</f>
        <v/>
      </c>
      <c r="L75" s="1" t="str">
        <f>IF($B75="","",IF(W75="","",IF(INDEX('Accounts Overview'!$I$2:$I$100,W75)="","",INDEX('Accounts Overview'!$I$2:$I$100,W75))))</f>
        <v/>
      </c>
      <c r="M75" s="1" t="str">
        <f>IF($B75="","",IF(V75="","",IF(INDEX('Input Contact Information'!$J$2:$J$200,V75)="","",INDEX('Input Contact Information'!$J$2:$J$200,V75))))</f>
        <v/>
      </c>
      <c r="N75" s="1" t="str">
        <f>IF($B75="","",IF(V75="","",IF(INDEX('Input Contact Information'!$K$2:$K$200,V75)="","",INDEX('Input Contact Information'!$K$2:$K$200,V75))))</f>
        <v/>
      </c>
      <c r="O75" s="1" t="str">
        <f>IF($B75="","",IF(V75="","",IF(INDEX('Input Contact Information'!$L$2:$L$200,V75)="","",INDEX('Input Contact Information'!$L$2:$L$200,V75))))</f>
        <v/>
      </c>
      <c r="P75" s="1" t="str">
        <f>IF($B75="","",IF((IF(V75="","",IF(INDEX('Input Contact Information'!$N$2:$N$200,V75)="","",INDEX('Input Contact Information'!$N$2:$N$200,V75))))&lt;&gt;"",IF(V75="","",IF(INDEX('Input Contact Information'!$N$2:$N$200,V75)="","",INDEX('Input Contact Information'!$N$2:$N$200,V75))),IF(V75="","",IF(INDEX('Input Contact Information'!$M$2:$M$200,V75)="","",INDEX('Input Contact Information'!$M$2:$M$200,V75)))))</f>
        <v/>
      </c>
      <c r="Q75" s="1" t="str">
        <f t="shared" si="5"/>
        <v/>
      </c>
      <c r="R75" s="1" t="str">
        <f>IF($B75="","",IF(X75="","",IF(INDEX('Engagements Overview'!$I$2:$I$200,X75)="","",INDEX('Engagements Overview'!$I$2:$I$200,X75))))</f>
        <v/>
      </c>
      <c r="S75" s="14" t="str">
        <f>IF($B75="","",IF(X75="","",IF(INDEX('Engagements Overview'!$K$2:$K$200,X75)="","",INDEX('Engagements Overview'!$K$2:$K$200,X75))))</f>
        <v/>
      </c>
      <c r="T75" s="1" t="str">
        <f>IF($B75="","",IF(V75="","",IF(INDEX('Input Contact Information'!$O$2:$O$200,V75)="","",INDEX('Input Contact Information'!$O$2:$O$200,V75))))</f>
        <v/>
      </c>
      <c r="U75" s="1" t="str">
        <f>IF($B75="","",IF(V75="","",IF(INDEX('Input Contact Information'!$P$2:$P$200,V75)="","",INDEX('Input Contact Information'!$P$2:$P$200,V75))))</f>
        <v/>
      </c>
      <c r="V75" s="1" t="str">
        <f>IF(B75="","",IFERROR(MATCH(B75&amp;"|"&amp;C75,'Input Contact Information'!$W$2:$W$200,0),""))</f>
        <v/>
      </c>
      <c r="W75" s="1" t="str">
        <f>IF(C75="","",IFERROR(MATCH(C75,'Accounts Overview'!$B$2:$B$100,0),""))</f>
        <v/>
      </c>
      <c r="X75" s="1" t="str">
        <f>IF(A75="","",IFERROR(MATCH(A75,'Engagements Overview'!$B$2:$B$200,0),""))</f>
        <v/>
      </c>
    </row>
    <row r="76" spans="1:24" ht="15" customHeight="1" x14ac:dyDescent="0.35">
      <c r="A76" s="13" t="str">
        <f t="shared" si="4"/>
        <v/>
      </c>
      <c r="B76" s="1" t="str">
        <f>IFERROR(INDEX('Input Contact Information'!$C$2:$C$200,MATCH(ROW()-1,'Input Contact Information'!$V$2:$V$200,0)),"")</f>
        <v/>
      </c>
      <c r="C76" s="1" t="str">
        <f>IFERROR(INDEX('Input Contact Information'!$B$2:$B$200,MATCH(ROW()-1,'Input Contact Information'!$V$2:$V$200,0)),"")</f>
        <v/>
      </c>
      <c r="D76" s="1" t="str">
        <f>IF($B76="","",IF(W76="","",INDEX('Accounts Overview'!$A$2:$A$100,W76)))</f>
        <v/>
      </c>
      <c r="E76" s="1" t="str">
        <f>IF($B76="","",IF(V76="","",IF(INDEX('Input Contact Information'!$D$2:$D$200,V76)="","",INDEX('Input Contact Information'!$D$2:$D$200,V76))))</f>
        <v/>
      </c>
      <c r="F76" s="1" t="str">
        <f>IF($B76="","",IF(V76="","",IF(INDEX('Input Contact Information'!$F$2:$F$200,V76)="","",INDEX('Input Contact Information'!$F$2:$F$200,V76))))</f>
        <v/>
      </c>
      <c r="G76" s="1" t="str">
        <f>IF($B76="","",IF(V76="","",IF(INDEX('Input Contact Information'!$E$2:$E$200,V76)="","",INDEX('Input Contact Information'!$E$2:$E$200,V76))))</f>
        <v/>
      </c>
      <c r="H76" s="1" t="str">
        <f>IF($B76="","",IF(V76="","",IF(INDEX('Input Contact Information'!$G$2:$G$200,V76)="","",INDEX('Input Contact Information'!$G$2:$G$200,V76))))</f>
        <v/>
      </c>
      <c r="I76" s="1" t="str">
        <f>IF($B76="","",IF(V76="","",IF(INDEX('Input Contact Information'!$H$2:$H$200,V76)="","",INDEX('Input Contact Information'!$H$2:$H$200,V76))))</f>
        <v/>
      </c>
      <c r="J76" s="1" t="str">
        <f>IF($B76="","",IF(V76="","",IF(INDEX('Input Contact Information'!$I$2:$I$200,V76)="","",INDEX('Input Contact Information'!$I$2:$I$200,V76))))</f>
        <v/>
      </c>
      <c r="K76" s="1" t="str">
        <f>IF($B76="","",IF(V76="","",IF(INDEX('Input Contact Information'!$A$2:$A$200,V76)="","",INDEX('Input Contact Information'!$A$2:$A$200,V76))))</f>
        <v/>
      </c>
      <c r="L76" s="1" t="str">
        <f>IF($B76="","",IF(W76="","",IF(INDEX('Accounts Overview'!$I$2:$I$100,W76)="","",INDEX('Accounts Overview'!$I$2:$I$100,W76))))</f>
        <v/>
      </c>
      <c r="M76" s="1" t="str">
        <f>IF($B76="","",IF(V76="","",IF(INDEX('Input Contact Information'!$J$2:$J$200,V76)="","",INDEX('Input Contact Information'!$J$2:$J$200,V76))))</f>
        <v/>
      </c>
      <c r="N76" s="1" t="str">
        <f>IF($B76="","",IF(V76="","",IF(INDEX('Input Contact Information'!$K$2:$K$200,V76)="","",INDEX('Input Contact Information'!$K$2:$K$200,V76))))</f>
        <v/>
      </c>
      <c r="O76" s="1" t="str">
        <f>IF($B76="","",IF(V76="","",IF(INDEX('Input Contact Information'!$L$2:$L$200,V76)="","",INDEX('Input Contact Information'!$L$2:$L$200,V76))))</f>
        <v/>
      </c>
      <c r="P76" s="1" t="str">
        <f>IF($B76="","",IF((IF(V76="","",IF(INDEX('Input Contact Information'!$N$2:$N$200,V76)="","",INDEX('Input Contact Information'!$N$2:$N$200,V76))))&lt;&gt;"",IF(V76="","",IF(INDEX('Input Contact Information'!$N$2:$N$200,V76)="","",INDEX('Input Contact Information'!$N$2:$N$200,V76))),IF(V76="","",IF(INDEX('Input Contact Information'!$M$2:$M$200,V76)="","",INDEX('Input Contact Information'!$M$2:$M$200,V76)))))</f>
        <v/>
      </c>
      <c r="Q76" s="1" t="str">
        <f t="shared" si="5"/>
        <v/>
      </c>
      <c r="R76" s="1" t="str">
        <f>IF($B76="","",IF(X76="","",IF(INDEX('Engagements Overview'!$I$2:$I$200,X76)="","",INDEX('Engagements Overview'!$I$2:$I$200,X76))))</f>
        <v/>
      </c>
      <c r="S76" s="14" t="str">
        <f>IF($B76="","",IF(X76="","",IF(INDEX('Engagements Overview'!$K$2:$K$200,X76)="","",INDEX('Engagements Overview'!$K$2:$K$200,X76))))</f>
        <v/>
      </c>
      <c r="T76" s="1" t="str">
        <f>IF($B76="","",IF(V76="","",IF(INDEX('Input Contact Information'!$O$2:$O$200,V76)="","",INDEX('Input Contact Information'!$O$2:$O$200,V76))))</f>
        <v/>
      </c>
      <c r="U76" s="1" t="str">
        <f>IF($B76="","",IF(V76="","",IF(INDEX('Input Contact Information'!$P$2:$P$200,V76)="","",INDEX('Input Contact Information'!$P$2:$P$200,V76))))</f>
        <v/>
      </c>
      <c r="V76" s="1" t="str">
        <f>IF(B76="","",IFERROR(MATCH(B76&amp;"|"&amp;C76,'Input Contact Information'!$W$2:$W$200,0),""))</f>
        <v/>
      </c>
      <c r="W76" s="1" t="str">
        <f>IF(C76="","",IFERROR(MATCH(C76,'Accounts Overview'!$B$2:$B$100,0),""))</f>
        <v/>
      </c>
      <c r="X76" s="1" t="str">
        <f>IF(A76="","",IFERROR(MATCH(A76,'Engagements Overview'!$B$2:$B$200,0),""))</f>
        <v/>
      </c>
    </row>
    <row r="77" spans="1:24" ht="15" customHeight="1" x14ac:dyDescent="0.35">
      <c r="A77" s="13" t="str">
        <f t="shared" si="4"/>
        <v/>
      </c>
      <c r="B77" s="1" t="str">
        <f>IFERROR(INDEX('Input Contact Information'!$C$2:$C$200,MATCH(ROW()-1,'Input Contact Information'!$V$2:$V$200,0)),"")</f>
        <v/>
      </c>
      <c r="C77" s="1" t="str">
        <f>IFERROR(INDEX('Input Contact Information'!$B$2:$B$200,MATCH(ROW()-1,'Input Contact Information'!$V$2:$V$200,0)),"")</f>
        <v/>
      </c>
      <c r="D77" s="1" t="str">
        <f>IF($B77="","",IF(W77="","",INDEX('Accounts Overview'!$A$2:$A$100,W77)))</f>
        <v/>
      </c>
      <c r="E77" s="1" t="str">
        <f>IF($B77="","",IF(V77="","",IF(INDEX('Input Contact Information'!$D$2:$D$200,V77)="","",INDEX('Input Contact Information'!$D$2:$D$200,V77))))</f>
        <v/>
      </c>
      <c r="F77" s="1" t="str">
        <f>IF($B77="","",IF(V77="","",IF(INDEX('Input Contact Information'!$F$2:$F$200,V77)="","",INDEX('Input Contact Information'!$F$2:$F$200,V77))))</f>
        <v/>
      </c>
      <c r="G77" s="1" t="str">
        <f>IF($B77="","",IF(V77="","",IF(INDEX('Input Contact Information'!$E$2:$E$200,V77)="","",INDEX('Input Contact Information'!$E$2:$E$200,V77))))</f>
        <v/>
      </c>
      <c r="H77" s="1" t="str">
        <f>IF($B77="","",IF(V77="","",IF(INDEX('Input Contact Information'!$G$2:$G$200,V77)="","",INDEX('Input Contact Information'!$G$2:$G$200,V77))))</f>
        <v/>
      </c>
      <c r="I77" s="1" t="str">
        <f>IF($B77="","",IF(V77="","",IF(INDEX('Input Contact Information'!$H$2:$H$200,V77)="","",INDEX('Input Contact Information'!$H$2:$H$200,V77))))</f>
        <v/>
      </c>
      <c r="J77" s="1" t="str">
        <f>IF($B77="","",IF(V77="","",IF(INDEX('Input Contact Information'!$I$2:$I$200,V77)="","",INDEX('Input Contact Information'!$I$2:$I$200,V77))))</f>
        <v/>
      </c>
      <c r="K77" s="1" t="str">
        <f>IF($B77="","",IF(V77="","",IF(INDEX('Input Contact Information'!$A$2:$A$200,V77)="","",INDEX('Input Contact Information'!$A$2:$A$200,V77))))</f>
        <v/>
      </c>
      <c r="L77" s="1" t="str">
        <f>IF($B77="","",IF(W77="","",IF(INDEX('Accounts Overview'!$I$2:$I$100,W77)="","",INDEX('Accounts Overview'!$I$2:$I$100,W77))))</f>
        <v/>
      </c>
      <c r="M77" s="1" t="str">
        <f>IF($B77="","",IF(V77="","",IF(INDEX('Input Contact Information'!$J$2:$J$200,V77)="","",INDEX('Input Contact Information'!$J$2:$J$200,V77))))</f>
        <v/>
      </c>
      <c r="N77" s="1" t="str">
        <f>IF($B77="","",IF(V77="","",IF(INDEX('Input Contact Information'!$K$2:$K$200,V77)="","",INDEX('Input Contact Information'!$K$2:$K$200,V77))))</f>
        <v/>
      </c>
      <c r="O77" s="1" t="str">
        <f>IF($B77="","",IF(V77="","",IF(INDEX('Input Contact Information'!$L$2:$L$200,V77)="","",INDEX('Input Contact Information'!$L$2:$L$200,V77))))</f>
        <v/>
      </c>
      <c r="P77" s="1" t="str">
        <f>IF($B77="","",IF((IF(V77="","",IF(INDEX('Input Contact Information'!$N$2:$N$200,V77)="","",INDEX('Input Contact Information'!$N$2:$N$200,V77))))&lt;&gt;"",IF(V77="","",IF(INDEX('Input Contact Information'!$N$2:$N$200,V77)="","",INDEX('Input Contact Information'!$N$2:$N$200,V77))),IF(V77="","",IF(INDEX('Input Contact Information'!$M$2:$M$200,V77)="","",INDEX('Input Contact Information'!$M$2:$M$200,V77)))))</f>
        <v/>
      </c>
      <c r="Q77" s="1" t="str">
        <f t="shared" si="5"/>
        <v/>
      </c>
      <c r="R77" s="1" t="str">
        <f>IF($B77="","",IF(X77="","",IF(INDEX('Engagements Overview'!$I$2:$I$200,X77)="","",INDEX('Engagements Overview'!$I$2:$I$200,X77))))</f>
        <v/>
      </c>
      <c r="S77" s="14" t="str">
        <f>IF($B77="","",IF(X77="","",IF(INDEX('Engagements Overview'!$K$2:$K$200,X77)="","",INDEX('Engagements Overview'!$K$2:$K$200,X77))))</f>
        <v/>
      </c>
      <c r="T77" s="1" t="str">
        <f>IF($B77="","",IF(V77="","",IF(INDEX('Input Contact Information'!$O$2:$O$200,V77)="","",INDEX('Input Contact Information'!$O$2:$O$200,V77))))</f>
        <v/>
      </c>
      <c r="U77" s="1" t="str">
        <f>IF($B77="","",IF(V77="","",IF(INDEX('Input Contact Information'!$P$2:$P$200,V77)="","",INDEX('Input Contact Information'!$P$2:$P$200,V77))))</f>
        <v/>
      </c>
      <c r="V77" s="1" t="str">
        <f>IF(B77="","",IFERROR(MATCH(B77&amp;"|"&amp;C77,'Input Contact Information'!$W$2:$W$200,0),""))</f>
        <v/>
      </c>
      <c r="W77" s="1" t="str">
        <f>IF(C77="","",IFERROR(MATCH(C77,'Accounts Overview'!$B$2:$B$100,0),""))</f>
        <v/>
      </c>
      <c r="X77" s="1" t="str">
        <f>IF(A77="","",IFERROR(MATCH(A77,'Engagements Overview'!$B$2:$B$200,0),""))</f>
        <v/>
      </c>
    </row>
    <row r="78" spans="1:24" ht="15" customHeight="1" x14ac:dyDescent="0.35">
      <c r="A78" s="13" t="str">
        <f t="shared" si="4"/>
        <v/>
      </c>
      <c r="B78" s="1" t="str">
        <f>IFERROR(INDEX('Input Contact Information'!$C$2:$C$200,MATCH(ROW()-1,'Input Contact Information'!$V$2:$V$200,0)),"")</f>
        <v/>
      </c>
      <c r="C78" s="1" t="str">
        <f>IFERROR(INDEX('Input Contact Information'!$B$2:$B$200,MATCH(ROW()-1,'Input Contact Information'!$V$2:$V$200,0)),"")</f>
        <v/>
      </c>
      <c r="D78" s="1" t="str">
        <f>IF($B78="","",IF(W78="","",INDEX('Accounts Overview'!$A$2:$A$100,W78)))</f>
        <v/>
      </c>
      <c r="E78" s="1" t="str">
        <f>IF($B78="","",IF(V78="","",IF(INDEX('Input Contact Information'!$D$2:$D$200,V78)="","",INDEX('Input Contact Information'!$D$2:$D$200,V78))))</f>
        <v/>
      </c>
      <c r="F78" s="1" t="str">
        <f>IF($B78="","",IF(V78="","",IF(INDEX('Input Contact Information'!$F$2:$F$200,V78)="","",INDEX('Input Contact Information'!$F$2:$F$200,V78))))</f>
        <v/>
      </c>
      <c r="G78" s="1" t="str">
        <f>IF($B78="","",IF(V78="","",IF(INDEX('Input Contact Information'!$E$2:$E$200,V78)="","",INDEX('Input Contact Information'!$E$2:$E$200,V78))))</f>
        <v/>
      </c>
      <c r="H78" s="1" t="str">
        <f>IF($B78="","",IF(V78="","",IF(INDEX('Input Contact Information'!$G$2:$G$200,V78)="","",INDEX('Input Contact Information'!$G$2:$G$200,V78))))</f>
        <v/>
      </c>
      <c r="I78" s="1" t="str">
        <f>IF($B78="","",IF(V78="","",IF(INDEX('Input Contact Information'!$H$2:$H$200,V78)="","",INDEX('Input Contact Information'!$H$2:$H$200,V78))))</f>
        <v/>
      </c>
      <c r="J78" s="1" t="str">
        <f>IF($B78="","",IF(V78="","",IF(INDEX('Input Contact Information'!$I$2:$I$200,V78)="","",INDEX('Input Contact Information'!$I$2:$I$200,V78))))</f>
        <v/>
      </c>
      <c r="K78" s="1" t="str">
        <f>IF($B78="","",IF(V78="","",IF(INDEX('Input Contact Information'!$A$2:$A$200,V78)="","",INDEX('Input Contact Information'!$A$2:$A$200,V78))))</f>
        <v/>
      </c>
      <c r="L78" s="1" t="str">
        <f>IF($B78="","",IF(W78="","",IF(INDEX('Accounts Overview'!$I$2:$I$100,W78)="","",INDEX('Accounts Overview'!$I$2:$I$100,W78))))</f>
        <v/>
      </c>
      <c r="M78" s="1" t="str">
        <f>IF($B78="","",IF(V78="","",IF(INDEX('Input Contact Information'!$J$2:$J$200,V78)="","",INDEX('Input Contact Information'!$J$2:$J$200,V78))))</f>
        <v/>
      </c>
      <c r="N78" s="1" t="str">
        <f>IF($B78="","",IF(V78="","",IF(INDEX('Input Contact Information'!$K$2:$K$200,V78)="","",INDEX('Input Contact Information'!$K$2:$K$200,V78))))</f>
        <v/>
      </c>
      <c r="O78" s="1" t="str">
        <f>IF($B78="","",IF(V78="","",IF(INDEX('Input Contact Information'!$L$2:$L$200,V78)="","",INDEX('Input Contact Information'!$L$2:$L$200,V78))))</f>
        <v/>
      </c>
      <c r="P78" s="1" t="str">
        <f>IF($B78="","",IF((IF(V78="","",IF(INDEX('Input Contact Information'!$N$2:$N$200,V78)="","",INDEX('Input Contact Information'!$N$2:$N$200,V78))))&lt;&gt;"",IF(V78="","",IF(INDEX('Input Contact Information'!$N$2:$N$200,V78)="","",INDEX('Input Contact Information'!$N$2:$N$200,V78))),IF(V78="","",IF(INDEX('Input Contact Information'!$M$2:$M$200,V78)="","",INDEX('Input Contact Information'!$M$2:$M$200,V78)))))</f>
        <v/>
      </c>
      <c r="Q78" s="1" t="str">
        <f t="shared" si="5"/>
        <v/>
      </c>
      <c r="R78" s="1" t="str">
        <f>IF($B78="","",IF(X78="","",IF(INDEX('Engagements Overview'!$I$2:$I$200,X78)="","",INDEX('Engagements Overview'!$I$2:$I$200,X78))))</f>
        <v/>
      </c>
      <c r="S78" s="14" t="str">
        <f>IF($B78="","",IF(X78="","",IF(INDEX('Engagements Overview'!$K$2:$K$200,X78)="","",INDEX('Engagements Overview'!$K$2:$K$200,X78))))</f>
        <v/>
      </c>
      <c r="T78" s="1" t="str">
        <f>IF($B78="","",IF(V78="","",IF(INDEX('Input Contact Information'!$O$2:$O$200,V78)="","",INDEX('Input Contact Information'!$O$2:$O$200,V78))))</f>
        <v/>
      </c>
      <c r="U78" s="1" t="str">
        <f>IF($B78="","",IF(V78="","",IF(INDEX('Input Contact Information'!$P$2:$P$200,V78)="","",INDEX('Input Contact Information'!$P$2:$P$200,V78))))</f>
        <v/>
      </c>
      <c r="V78" s="1" t="str">
        <f>IF(B78="","",IFERROR(MATCH(B78&amp;"|"&amp;C78,'Input Contact Information'!$W$2:$W$200,0),""))</f>
        <v/>
      </c>
      <c r="W78" s="1" t="str">
        <f>IF(C78="","",IFERROR(MATCH(C78,'Accounts Overview'!$B$2:$B$100,0),""))</f>
        <v/>
      </c>
      <c r="X78" s="1" t="str">
        <f>IF(A78="","",IFERROR(MATCH(A78,'Engagements Overview'!$B$2:$B$200,0),""))</f>
        <v/>
      </c>
    </row>
    <row r="79" spans="1:24" ht="15" customHeight="1" x14ac:dyDescent="0.35">
      <c r="A79" s="13" t="str">
        <f t="shared" si="4"/>
        <v/>
      </c>
      <c r="B79" s="1" t="str">
        <f>IFERROR(INDEX('Input Contact Information'!$C$2:$C$200,MATCH(ROW()-1,'Input Contact Information'!$V$2:$V$200,0)),"")</f>
        <v/>
      </c>
      <c r="C79" s="1" t="str">
        <f>IFERROR(INDEX('Input Contact Information'!$B$2:$B$200,MATCH(ROW()-1,'Input Contact Information'!$V$2:$V$200,0)),"")</f>
        <v/>
      </c>
      <c r="D79" s="1" t="str">
        <f>IF($B79="","",IF(W79="","",INDEX('Accounts Overview'!$A$2:$A$100,W79)))</f>
        <v/>
      </c>
      <c r="E79" s="1" t="str">
        <f>IF($B79="","",IF(V79="","",IF(INDEX('Input Contact Information'!$D$2:$D$200,V79)="","",INDEX('Input Contact Information'!$D$2:$D$200,V79))))</f>
        <v/>
      </c>
      <c r="F79" s="1" t="str">
        <f>IF($B79="","",IF(V79="","",IF(INDEX('Input Contact Information'!$F$2:$F$200,V79)="","",INDEX('Input Contact Information'!$F$2:$F$200,V79))))</f>
        <v/>
      </c>
      <c r="G79" s="1" t="str">
        <f>IF($B79="","",IF(V79="","",IF(INDEX('Input Contact Information'!$E$2:$E$200,V79)="","",INDEX('Input Contact Information'!$E$2:$E$200,V79))))</f>
        <v/>
      </c>
      <c r="H79" s="1" t="str">
        <f>IF($B79="","",IF(V79="","",IF(INDEX('Input Contact Information'!$G$2:$G$200,V79)="","",INDEX('Input Contact Information'!$G$2:$G$200,V79))))</f>
        <v/>
      </c>
      <c r="I79" s="1" t="str">
        <f>IF($B79="","",IF(V79="","",IF(INDEX('Input Contact Information'!$H$2:$H$200,V79)="","",INDEX('Input Contact Information'!$H$2:$H$200,V79))))</f>
        <v/>
      </c>
      <c r="J79" s="1" t="str">
        <f>IF($B79="","",IF(V79="","",IF(INDEX('Input Contact Information'!$I$2:$I$200,V79)="","",INDEX('Input Contact Information'!$I$2:$I$200,V79))))</f>
        <v/>
      </c>
      <c r="K79" s="1" t="str">
        <f>IF($B79="","",IF(V79="","",IF(INDEX('Input Contact Information'!$A$2:$A$200,V79)="","",INDEX('Input Contact Information'!$A$2:$A$200,V79))))</f>
        <v/>
      </c>
      <c r="L79" s="1" t="str">
        <f>IF($B79="","",IF(W79="","",IF(INDEX('Accounts Overview'!$I$2:$I$100,W79)="","",INDEX('Accounts Overview'!$I$2:$I$100,W79))))</f>
        <v/>
      </c>
      <c r="M79" s="1" t="str">
        <f>IF($B79="","",IF(V79="","",IF(INDEX('Input Contact Information'!$J$2:$J$200,V79)="","",INDEX('Input Contact Information'!$J$2:$J$200,V79))))</f>
        <v/>
      </c>
      <c r="N79" s="1" t="str">
        <f>IF($B79="","",IF(V79="","",IF(INDEX('Input Contact Information'!$K$2:$K$200,V79)="","",INDEX('Input Contact Information'!$K$2:$K$200,V79))))</f>
        <v/>
      </c>
      <c r="O79" s="1" t="str">
        <f>IF($B79="","",IF(V79="","",IF(INDEX('Input Contact Information'!$L$2:$L$200,V79)="","",INDEX('Input Contact Information'!$L$2:$L$200,V79))))</f>
        <v/>
      </c>
      <c r="P79" s="1" t="str">
        <f>IF($B79="","",IF((IF(V79="","",IF(INDEX('Input Contact Information'!$N$2:$N$200,V79)="","",INDEX('Input Contact Information'!$N$2:$N$200,V79))))&lt;&gt;"",IF(V79="","",IF(INDEX('Input Contact Information'!$N$2:$N$200,V79)="","",INDEX('Input Contact Information'!$N$2:$N$200,V79))),IF(V79="","",IF(INDEX('Input Contact Information'!$M$2:$M$200,V79)="","",INDEX('Input Contact Information'!$M$2:$M$200,V79)))))</f>
        <v/>
      </c>
      <c r="Q79" s="1" t="str">
        <f t="shared" si="5"/>
        <v/>
      </c>
      <c r="R79" s="1" t="str">
        <f>IF($B79="","",IF(X79="","",IF(INDEX('Engagements Overview'!$I$2:$I$200,X79)="","",INDEX('Engagements Overview'!$I$2:$I$200,X79))))</f>
        <v/>
      </c>
      <c r="S79" s="14" t="str">
        <f>IF($B79="","",IF(X79="","",IF(INDEX('Engagements Overview'!$K$2:$K$200,X79)="","",INDEX('Engagements Overview'!$K$2:$K$200,X79))))</f>
        <v/>
      </c>
      <c r="T79" s="1" t="str">
        <f>IF($B79="","",IF(V79="","",IF(INDEX('Input Contact Information'!$O$2:$O$200,V79)="","",INDEX('Input Contact Information'!$O$2:$O$200,V79))))</f>
        <v/>
      </c>
      <c r="U79" s="1" t="str">
        <f>IF($B79="","",IF(V79="","",IF(INDEX('Input Contact Information'!$P$2:$P$200,V79)="","",INDEX('Input Contact Information'!$P$2:$P$200,V79))))</f>
        <v/>
      </c>
      <c r="V79" s="1" t="str">
        <f>IF(B79="","",IFERROR(MATCH(B79&amp;"|"&amp;C79,'Input Contact Information'!$W$2:$W$200,0),""))</f>
        <v/>
      </c>
      <c r="W79" s="1" t="str">
        <f>IF(C79="","",IFERROR(MATCH(C79,'Accounts Overview'!$B$2:$B$100,0),""))</f>
        <v/>
      </c>
      <c r="X79" s="1" t="str">
        <f>IF(A79="","",IFERROR(MATCH(A79,'Engagements Overview'!$B$2:$B$200,0),""))</f>
        <v/>
      </c>
    </row>
    <row r="80" spans="1:24" ht="15" customHeight="1" x14ac:dyDescent="0.35">
      <c r="A80" s="13" t="str">
        <f t="shared" si="4"/>
        <v/>
      </c>
      <c r="B80" s="1" t="str">
        <f>IFERROR(INDEX('Input Contact Information'!$C$2:$C$200,MATCH(ROW()-1,'Input Contact Information'!$V$2:$V$200,0)),"")</f>
        <v/>
      </c>
      <c r="C80" s="1" t="str">
        <f>IFERROR(INDEX('Input Contact Information'!$B$2:$B$200,MATCH(ROW()-1,'Input Contact Information'!$V$2:$V$200,0)),"")</f>
        <v/>
      </c>
      <c r="D80" s="1" t="str">
        <f>IF($B80="","",IF(W80="","",INDEX('Accounts Overview'!$A$2:$A$100,W80)))</f>
        <v/>
      </c>
      <c r="E80" s="1" t="str">
        <f>IF($B80="","",IF(V80="","",IF(INDEX('Input Contact Information'!$D$2:$D$200,V80)="","",INDEX('Input Contact Information'!$D$2:$D$200,V80))))</f>
        <v/>
      </c>
      <c r="F80" s="1" t="str">
        <f>IF($B80="","",IF(V80="","",IF(INDEX('Input Contact Information'!$F$2:$F$200,V80)="","",INDEX('Input Contact Information'!$F$2:$F$200,V80))))</f>
        <v/>
      </c>
      <c r="G80" s="1" t="str">
        <f>IF($B80="","",IF(V80="","",IF(INDEX('Input Contact Information'!$E$2:$E$200,V80)="","",INDEX('Input Contact Information'!$E$2:$E$200,V80))))</f>
        <v/>
      </c>
      <c r="H80" s="1" t="str">
        <f>IF($B80="","",IF(V80="","",IF(INDEX('Input Contact Information'!$G$2:$G$200,V80)="","",INDEX('Input Contact Information'!$G$2:$G$200,V80))))</f>
        <v/>
      </c>
      <c r="I80" s="1" t="str">
        <f>IF($B80="","",IF(V80="","",IF(INDEX('Input Contact Information'!$H$2:$H$200,V80)="","",INDEX('Input Contact Information'!$H$2:$H$200,V80))))</f>
        <v/>
      </c>
      <c r="J80" s="1" t="str">
        <f>IF($B80="","",IF(V80="","",IF(INDEX('Input Contact Information'!$I$2:$I$200,V80)="","",INDEX('Input Contact Information'!$I$2:$I$200,V80))))</f>
        <v/>
      </c>
      <c r="K80" s="1" t="str">
        <f>IF($B80="","",IF(V80="","",IF(INDEX('Input Contact Information'!$A$2:$A$200,V80)="","",INDEX('Input Contact Information'!$A$2:$A$200,V80))))</f>
        <v/>
      </c>
      <c r="L80" s="1" t="str">
        <f>IF($B80="","",IF(W80="","",IF(INDEX('Accounts Overview'!$I$2:$I$100,W80)="","",INDEX('Accounts Overview'!$I$2:$I$100,W80))))</f>
        <v/>
      </c>
      <c r="M80" s="1" t="str">
        <f>IF($B80="","",IF(V80="","",IF(INDEX('Input Contact Information'!$J$2:$J$200,V80)="","",INDEX('Input Contact Information'!$J$2:$J$200,V80))))</f>
        <v/>
      </c>
      <c r="N80" s="1" t="str">
        <f>IF($B80="","",IF(V80="","",IF(INDEX('Input Contact Information'!$K$2:$K$200,V80)="","",INDEX('Input Contact Information'!$K$2:$K$200,V80))))</f>
        <v/>
      </c>
      <c r="O80" s="1" t="str">
        <f>IF($B80="","",IF(V80="","",IF(INDEX('Input Contact Information'!$L$2:$L$200,V80)="","",INDEX('Input Contact Information'!$L$2:$L$200,V80))))</f>
        <v/>
      </c>
      <c r="P80" s="1" t="str">
        <f>IF($B80="","",IF((IF(V80="","",IF(INDEX('Input Contact Information'!$N$2:$N$200,V80)="","",INDEX('Input Contact Information'!$N$2:$N$200,V80))))&lt;&gt;"",IF(V80="","",IF(INDEX('Input Contact Information'!$N$2:$N$200,V80)="","",INDEX('Input Contact Information'!$N$2:$N$200,V80))),IF(V80="","",IF(INDEX('Input Contact Information'!$M$2:$M$200,V80)="","",INDEX('Input Contact Information'!$M$2:$M$200,V80)))))</f>
        <v/>
      </c>
      <c r="Q80" s="1" t="str">
        <f t="shared" si="5"/>
        <v/>
      </c>
      <c r="R80" s="1" t="str">
        <f>IF($B80="","",IF(X80="","",IF(INDEX('Engagements Overview'!$I$2:$I$200,X80)="","",INDEX('Engagements Overview'!$I$2:$I$200,X80))))</f>
        <v/>
      </c>
      <c r="S80" s="14" t="str">
        <f>IF($B80="","",IF(X80="","",IF(INDEX('Engagements Overview'!$K$2:$K$200,X80)="","",INDEX('Engagements Overview'!$K$2:$K$200,X80))))</f>
        <v/>
      </c>
      <c r="T80" s="1" t="str">
        <f>IF($B80="","",IF(V80="","",IF(INDEX('Input Contact Information'!$O$2:$O$200,V80)="","",INDEX('Input Contact Information'!$O$2:$O$200,V80))))</f>
        <v/>
      </c>
      <c r="U80" s="1" t="str">
        <f>IF($B80="","",IF(V80="","",IF(INDEX('Input Contact Information'!$P$2:$P$200,V80)="","",INDEX('Input Contact Information'!$P$2:$P$200,V80))))</f>
        <v/>
      </c>
      <c r="V80" s="1" t="str">
        <f>IF(B80="","",IFERROR(MATCH(B80&amp;"|"&amp;C80,'Input Contact Information'!$W$2:$W$200,0),""))</f>
        <v/>
      </c>
      <c r="W80" s="1" t="str">
        <f>IF(C80="","",IFERROR(MATCH(C80,'Accounts Overview'!$B$2:$B$100,0),""))</f>
        <v/>
      </c>
      <c r="X80" s="1" t="str">
        <f>IF(A80="","",IFERROR(MATCH(A80,'Engagements Overview'!$B$2:$B$200,0),""))</f>
        <v/>
      </c>
    </row>
    <row r="81" spans="1:24" ht="15" customHeight="1" x14ac:dyDescent="0.35">
      <c r="A81" s="13" t="str">
        <f t="shared" si="4"/>
        <v/>
      </c>
      <c r="B81" s="1" t="str">
        <f>IFERROR(INDEX('Input Contact Information'!$C$2:$C$200,MATCH(ROW()-1,'Input Contact Information'!$V$2:$V$200,0)),"")</f>
        <v/>
      </c>
      <c r="C81" s="1" t="str">
        <f>IFERROR(INDEX('Input Contact Information'!$B$2:$B$200,MATCH(ROW()-1,'Input Contact Information'!$V$2:$V$200,0)),"")</f>
        <v/>
      </c>
      <c r="D81" s="1" t="str">
        <f>IF($B81="","",IF(W81="","",INDEX('Accounts Overview'!$A$2:$A$100,W81)))</f>
        <v/>
      </c>
      <c r="E81" s="1" t="str">
        <f>IF($B81="","",IF(V81="","",IF(INDEX('Input Contact Information'!$D$2:$D$200,V81)="","",INDEX('Input Contact Information'!$D$2:$D$200,V81))))</f>
        <v/>
      </c>
      <c r="F81" s="1" t="str">
        <f>IF($B81="","",IF(V81="","",IF(INDEX('Input Contact Information'!$F$2:$F$200,V81)="","",INDEX('Input Contact Information'!$F$2:$F$200,V81))))</f>
        <v/>
      </c>
      <c r="G81" s="1" t="str">
        <f>IF($B81="","",IF(V81="","",IF(INDEX('Input Contact Information'!$E$2:$E$200,V81)="","",INDEX('Input Contact Information'!$E$2:$E$200,V81))))</f>
        <v/>
      </c>
      <c r="H81" s="1" t="str">
        <f>IF($B81="","",IF(V81="","",IF(INDEX('Input Contact Information'!$G$2:$G$200,V81)="","",INDEX('Input Contact Information'!$G$2:$G$200,V81))))</f>
        <v/>
      </c>
      <c r="I81" s="1" t="str">
        <f>IF($B81="","",IF(V81="","",IF(INDEX('Input Contact Information'!$H$2:$H$200,V81)="","",INDEX('Input Contact Information'!$H$2:$H$200,V81))))</f>
        <v/>
      </c>
      <c r="J81" s="1" t="str">
        <f>IF($B81="","",IF(V81="","",IF(INDEX('Input Contact Information'!$I$2:$I$200,V81)="","",INDEX('Input Contact Information'!$I$2:$I$200,V81))))</f>
        <v/>
      </c>
      <c r="K81" s="1" t="str">
        <f>IF($B81="","",IF(V81="","",IF(INDEX('Input Contact Information'!$A$2:$A$200,V81)="","",INDEX('Input Contact Information'!$A$2:$A$200,V81))))</f>
        <v/>
      </c>
      <c r="L81" s="1" t="str">
        <f>IF($B81="","",IF(W81="","",IF(INDEX('Accounts Overview'!$I$2:$I$100,W81)="","",INDEX('Accounts Overview'!$I$2:$I$100,W81))))</f>
        <v/>
      </c>
      <c r="M81" s="1" t="str">
        <f>IF($B81="","",IF(V81="","",IF(INDEX('Input Contact Information'!$J$2:$J$200,V81)="","",INDEX('Input Contact Information'!$J$2:$J$200,V81))))</f>
        <v/>
      </c>
      <c r="N81" s="1" t="str">
        <f>IF($B81="","",IF(V81="","",IF(INDEX('Input Contact Information'!$K$2:$K$200,V81)="","",INDEX('Input Contact Information'!$K$2:$K$200,V81))))</f>
        <v/>
      </c>
      <c r="O81" s="1" t="str">
        <f>IF($B81="","",IF(V81="","",IF(INDEX('Input Contact Information'!$L$2:$L$200,V81)="","",INDEX('Input Contact Information'!$L$2:$L$200,V81))))</f>
        <v/>
      </c>
      <c r="P81" s="1" t="str">
        <f>IF($B81="","",IF((IF(V81="","",IF(INDEX('Input Contact Information'!$N$2:$N$200,V81)="","",INDEX('Input Contact Information'!$N$2:$N$200,V81))))&lt;&gt;"",IF(V81="","",IF(INDEX('Input Contact Information'!$N$2:$N$200,V81)="","",INDEX('Input Contact Information'!$N$2:$N$200,V81))),IF(V81="","",IF(INDEX('Input Contact Information'!$M$2:$M$200,V81)="","",INDEX('Input Contact Information'!$M$2:$M$200,V81)))))</f>
        <v/>
      </c>
      <c r="Q81" s="1" t="str">
        <f t="shared" si="5"/>
        <v/>
      </c>
      <c r="R81" s="1" t="str">
        <f>IF($B81="","",IF(X81="","",IF(INDEX('Engagements Overview'!$I$2:$I$200,X81)="","",INDEX('Engagements Overview'!$I$2:$I$200,X81))))</f>
        <v/>
      </c>
      <c r="S81" s="14" t="str">
        <f>IF($B81="","",IF(X81="","",IF(INDEX('Engagements Overview'!$K$2:$K$200,X81)="","",INDEX('Engagements Overview'!$K$2:$K$200,X81))))</f>
        <v/>
      </c>
      <c r="T81" s="1" t="str">
        <f>IF($B81="","",IF(V81="","",IF(INDEX('Input Contact Information'!$O$2:$O$200,V81)="","",INDEX('Input Contact Information'!$O$2:$O$200,V81))))</f>
        <v/>
      </c>
      <c r="U81" s="1" t="str">
        <f>IF($B81="","",IF(V81="","",IF(INDEX('Input Contact Information'!$P$2:$P$200,V81)="","",INDEX('Input Contact Information'!$P$2:$P$200,V81))))</f>
        <v/>
      </c>
      <c r="V81" s="1" t="str">
        <f>IF(B81="","",IFERROR(MATCH(B81&amp;"|"&amp;C81,'Input Contact Information'!$W$2:$W$200,0),""))</f>
        <v/>
      </c>
      <c r="W81" s="1" t="str">
        <f>IF(C81="","",IFERROR(MATCH(C81,'Accounts Overview'!$B$2:$B$100,0),""))</f>
        <v/>
      </c>
      <c r="X81" s="1" t="str">
        <f>IF(A81="","",IFERROR(MATCH(A81,'Engagements Overview'!$B$2:$B$200,0),""))</f>
        <v/>
      </c>
    </row>
    <row r="82" spans="1:24" ht="15" customHeight="1" x14ac:dyDescent="0.35">
      <c r="A82" s="13" t="str">
        <f t="shared" si="4"/>
        <v/>
      </c>
      <c r="B82" s="1" t="str">
        <f>IFERROR(INDEX('Input Contact Information'!$C$2:$C$200,MATCH(ROW()-1,'Input Contact Information'!$V$2:$V$200,0)),"")</f>
        <v/>
      </c>
      <c r="C82" s="1" t="str">
        <f>IFERROR(INDEX('Input Contact Information'!$B$2:$B$200,MATCH(ROW()-1,'Input Contact Information'!$V$2:$V$200,0)),"")</f>
        <v/>
      </c>
      <c r="D82" s="1" t="str">
        <f>IF($B82="","",IF(W82="","",INDEX('Accounts Overview'!$A$2:$A$100,W82)))</f>
        <v/>
      </c>
      <c r="E82" s="1" t="str">
        <f>IF($B82="","",IF(V82="","",IF(INDEX('Input Contact Information'!$D$2:$D$200,V82)="","",INDEX('Input Contact Information'!$D$2:$D$200,V82))))</f>
        <v/>
      </c>
      <c r="F82" s="1" t="str">
        <f>IF($B82="","",IF(V82="","",IF(INDEX('Input Contact Information'!$F$2:$F$200,V82)="","",INDEX('Input Contact Information'!$F$2:$F$200,V82))))</f>
        <v/>
      </c>
      <c r="G82" s="1" t="str">
        <f>IF($B82="","",IF(V82="","",IF(INDEX('Input Contact Information'!$E$2:$E$200,V82)="","",INDEX('Input Contact Information'!$E$2:$E$200,V82))))</f>
        <v/>
      </c>
      <c r="H82" s="1" t="str">
        <f>IF($B82="","",IF(V82="","",IF(INDEX('Input Contact Information'!$G$2:$G$200,V82)="","",INDEX('Input Contact Information'!$G$2:$G$200,V82))))</f>
        <v/>
      </c>
      <c r="I82" s="1" t="str">
        <f>IF($B82="","",IF(V82="","",IF(INDEX('Input Contact Information'!$H$2:$H$200,V82)="","",INDEX('Input Contact Information'!$H$2:$H$200,V82))))</f>
        <v/>
      </c>
      <c r="J82" s="1" t="str">
        <f>IF($B82="","",IF(V82="","",IF(INDEX('Input Contact Information'!$I$2:$I$200,V82)="","",INDEX('Input Contact Information'!$I$2:$I$200,V82))))</f>
        <v/>
      </c>
      <c r="K82" s="1" t="str">
        <f>IF($B82="","",IF(V82="","",IF(INDEX('Input Contact Information'!$A$2:$A$200,V82)="","",INDEX('Input Contact Information'!$A$2:$A$200,V82))))</f>
        <v/>
      </c>
      <c r="L82" s="1" t="str">
        <f>IF($B82="","",IF(W82="","",IF(INDEX('Accounts Overview'!$I$2:$I$100,W82)="","",INDEX('Accounts Overview'!$I$2:$I$100,W82))))</f>
        <v/>
      </c>
      <c r="M82" s="1" t="str">
        <f>IF($B82="","",IF(V82="","",IF(INDEX('Input Contact Information'!$J$2:$J$200,V82)="","",INDEX('Input Contact Information'!$J$2:$J$200,V82))))</f>
        <v/>
      </c>
      <c r="N82" s="1" t="str">
        <f>IF($B82="","",IF(V82="","",IF(INDEX('Input Contact Information'!$K$2:$K$200,V82)="","",INDEX('Input Contact Information'!$K$2:$K$200,V82))))</f>
        <v/>
      </c>
      <c r="O82" s="1" t="str">
        <f>IF($B82="","",IF(V82="","",IF(INDEX('Input Contact Information'!$L$2:$L$200,V82)="","",INDEX('Input Contact Information'!$L$2:$L$200,V82))))</f>
        <v/>
      </c>
      <c r="P82" s="1" t="str">
        <f>IF($B82="","",IF((IF(V82="","",IF(INDEX('Input Contact Information'!$N$2:$N$200,V82)="","",INDEX('Input Contact Information'!$N$2:$N$200,V82))))&lt;&gt;"",IF(V82="","",IF(INDEX('Input Contact Information'!$N$2:$N$200,V82)="","",INDEX('Input Contact Information'!$N$2:$N$200,V82))),IF(V82="","",IF(INDEX('Input Contact Information'!$M$2:$M$200,V82)="","",INDEX('Input Contact Information'!$M$2:$M$200,V82)))))</f>
        <v/>
      </c>
      <c r="Q82" s="1" t="str">
        <f t="shared" si="5"/>
        <v/>
      </c>
      <c r="R82" s="1" t="str">
        <f>IF($B82="","",IF(X82="","",IF(INDEX('Engagements Overview'!$I$2:$I$200,X82)="","",INDEX('Engagements Overview'!$I$2:$I$200,X82))))</f>
        <v/>
      </c>
      <c r="S82" s="14" t="str">
        <f>IF($B82="","",IF(X82="","",IF(INDEX('Engagements Overview'!$K$2:$K$200,X82)="","",INDEX('Engagements Overview'!$K$2:$K$200,X82))))</f>
        <v/>
      </c>
      <c r="T82" s="1" t="str">
        <f>IF($B82="","",IF(V82="","",IF(INDEX('Input Contact Information'!$O$2:$O$200,V82)="","",INDEX('Input Contact Information'!$O$2:$O$200,V82))))</f>
        <v/>
      </c>
      <c r="U82" s="1" t="str">
        <f>IF($B82="","",IF(V82="","",IF(INDEX('Input Contact Information'!$P$2:$P$200,V82)="","",INDEX('Input Contact Information'!$P$2:$P$200,V82))))</f>
        <v/>
      </c>
      <c r="V82" s="1" t="str">
        <f>IF(B82="","",IFERROR(MATCH(B82&amp;"|"&amp;C82,'Input Contact Information'!$W$2:$W$200,0),""))</f>
        <v/>
      </c>
      <c r="W82" s="1" t="str">
        <f>IF(C82="","",IFERROR(MATCH(C82,'Accounts Overview'!$B$2:$B$100,0),""))</f>
        <v/>
      </c>
      <c r="X82" s="1" t="str">
        <f>IF(A82="","",IFERROR(MATCH(A82,'Engagements Overview'!$B$2:$B$200,0),""))</f>
        <v/>
      </c>
    </row>
    <row r="83" spans="1:24" ht="15" customHeight="1" x14ac:dyDescent="0.35">
      <c r="A83" s="13" t="str">
        <f t="shared" si="4"/>
        <v/>
      </c>
      <c r="B83" s="1" t="str">
        <f>IFERROR(INDEX('Input Contact Information'!$C$2:$C$200,MATCH(ROW()-1,'Input Contact Information'!$V$2:$V$200,0)),"")</f>
        <v/>
      </c>
      <c r="C83" s="1" t="str">
        <f>IFERROR(INDEX('Input Contact Information'!$B$2:$B$200,MATCH(ROW()-1,'Input Contact Information'!$V$2:$V$200,0)),"")</f>
        <v/>
      </c>
      <c r="D83" s="1" t="str">
        <f>IF($B83="","",IF(W83="","",INDEX('Accounts Overview'!$A$2:$A$100,W83)))</f>
        <v/>
      </c>
      <c r="E83" s="1" t="str">
        <f>IF($B83="","",IF(V83="","",IF(INDEX('Input Contact Information'!$D$2:$D$200,V83)="","",INDEX('Input Contact Information'!$D$2:$D$200,V83))))</f>
        <v/>
      </c>
      <c r="F83" s="1" t="str">
        <f>IF($B83="","",IF(V83="","",IF(INDEX('Input Contact Information'!$F$2:$F$200,V83)="","",INDEX('Input Contact Information'!$F$2:$F$200,V83))))</f>
        <v/>
      </c>
      <c r="G83" s="1" t="str">
        <f>IF($B83="","",IF(V83="","",IF(INDEX('Input Contact Information'!$E$2:$E$200,V83)="","",INDEX('Input Contact Information'!$E$2:$E$200,V83))))</f>
        <v/>
      </c>
      <c r="H83" s="1" t="str">
        <f>IF($B83="","",IF(V83="","",IF(INDEX('Input Contact Information'!$G$2:$G$200,V83)="","",INDEX('Input Contact Information'!$G$2:$G$200,V83))))</f>
        <v/>
      </c>
      <c r="I83" s="1" t="str">
        <f>IF($B83="","",IF(V83="","",IF(INDEX('Input Contact Information'!$H$2:$H$200,V83)="","",INDEX('Input Contact Information'!$H$2:$H$200,V83))))</f>
        <v/>
      </c>
      <c r="J83" s="1" t="str">
        <f>IF($B83="","",IF(V83="","",IF(INDEX('Input Contact Information'!$I$2:$I$200,V83)="","",INDEX('Input Contact Information'!$I$2:$I$200,V83))))</f>
        <v/>
      </c>
      <c r="K83" s="1" t="str">
        <f>IF($B83="","",IF(V83="","",IF(INDEX('Input Contact Information'!$A$2:$A$200,V83)="","",INDEX('Input Contact Information'!$A$2:$A$200,V83))))</f>
        <v/>
      </c>
      <c r="L83" s="1" t="str">
        <f>IF($B83="","",IF(W83="","",IF(INDEX('Accounts Overview'!$I$2:$I$100,W83)="","",INDEX('Accounts Overview'!$I$2:$I$100,W83))))</f>
        <v/>
      </c>
      <c r="M83" s="1" t="str">
        <f>IF($B83="","",IF(V83="","",IF(INDEX('Input Contact Information'!$J$2:$J$200,V83)="","",INDEX('Input Contact Information'!$J$2:$J$200,V83))))</f>
        <v/>
      </c>
      <c r="N83" s="1" t="str">
        <f>IF($B83="","",IF(V83="","",IF(INDEX('Input Contact Information'!$K$2:$K$200,V83)="","",INDEX('Input Contact Information'!$K$2:$K$200,V83))))</f>
        <v/>
      </c>
      <c r="O83" s="1" t="str">
        <f>IF($B83="","",IF(V83="","",IF(INDEX('Input Contact Information'!$L$2:$L$200,V83)="","",INDEX('Input Contact Information'!$L$2:$L$200,V83))))</f>
        <v/>
      </c>
      <c r="P83" s="1" t="str">
        <f>IF($B83="","",IF((IF(V83="","",IF(INDEX('Input Contact Information'!$N$2:$N$200,V83)="","",INDEX('Input Contact Information'!$N$2:$N$200,V83))))&lt;&gt;"",IF(V83="","",IF(INDEX('Input Contact Information'!$N$2:$N$200,V83)="","",INDEX('Input Contact Information'!$N$2:$N$200,V83))),IF(V83="","",IF(INDEX('Input Contact Information'!$M$2:$M$200,V83)="","",INDEX('Input Contact Information'!$M$2:$M$200,V83)))))</f>
        <v/>
      </c>
      <c r="Q83" s="1" t="str">
        <f t="shared" si="5"/>
        <v/>
      </c>
      <c r="R83" s="1" t="str">
        <f>IF($B83="","",IF(X83="","",IF(INDEX('Engagements Overview'!$I$2:$I$200,X83)="","",INDEX('Engagements Overview'!$I$2:$I$200,X83))))</f>
        <v/>
      </c>
      <c r="S83" s="14" t="str">
        <f>IF($B83="","",IF(X83="","",IF(INDEX('Engagements Overview'!$K$2:$K$200,X83)="","",INDEX('Engagements Overview'!$K$2:$K$200,X83))))</f>
        <v/>
      </c>
      <c r="T83" s="1" t="str">
        <f>IF($B83="","",IF(V83="","",IF(INDEX('Input Contact Information'!$O$2:$O$200,V83)="","",INDEX('Input Contact Information'!$O$2:$O$200,V83))))</f>
        <v/>
      </c>
      <c r="U83" s="1" t="str">
        <f>IF($B83="","",IF(V83="","",IF(INDEX('Input Contact Information'!$P$2:$P$200,V83)="","",INDEX('Input Contact Information'!$P$2:$P$200,V83))))</f>
        <v/>
      </c>
      <c r="V83" s="1" t="str">
        <f>IF(B83="","",IFERROR(MATCH(B83&amp;"|"&amp;C83,'Input Contact Information'!$W$2:$W$200,0),""))</f>
        <v/>
      </c>
      <c r="W83" s="1" t="str">
        <f>IF(C83="","",IFERROR(MATCH(C83,'Accounts Overview'!$B$2:$B$100,0),""))</f>
        <v/>
      </c>
      <c r="X83" s="1" t="str">
        <f>IF(A83="","",IFERROR(MATCH(A83,'Engagements Overview'!$B$2:$B$200,0),""))</f>
        <v/>
      </c>
    </row>
    <row r="84" spans="1:24" ht="15" customHeight="1" x14ac:dyDescent="0.35">
      <c r="A84" s="13" t="str">
        <f t="shared" si="4"/>
        <v/>
      </c>
      <c r="B84" s="1" t="str">
        <f>IFERROR(INDEX('Input Contact Information'!$C$2:$C$200,MATCH(ROW()-1,'Input Contact Information'!$V$2:$V$200,0)),"")</f>
        <v/>
      </c>
      <c r="C84" s="1" t="str">
        <f>IFERROR(INDEX('Input Contact Information'!$B$2:$B$200,MATCH(ROW()-1,'Input Contact Information'!$V$2:$V$200,0)),"")</f>
        <v/>
      </c>
      <c r="D84" s="1" t="str">
        <f>IF($B84="","",IF(W84="","",INDEX('Accounts Overview'!$A$2:$A$100,W84)))</f>
        <v/>
      </c>
      <c r="E84" s="1" t="str">
        <f>IF($B84="","",IF(V84="","",IF(INDEX('Input Contact Information'!$D$2:$D$200,V84)="","",INDEX('Input Contact Information'!$D$2:$D$200,V84))))</f>
        <v/>
      </c>
      <c r="F84" s="1" t="str">
        <f>IF($B84="","",IF(V84="","",IF(INDEX('Input Contact Information'!$F$2:$F$200,V84)="","",INDEX('Input Contact Information'!$F$2:$F$200,V84))))</f>
        <v/>
      </c>
      <c r="G84" s="1" t="str">
        <f>IF($B84="","",IF(V84="","",IF(INDEX('Input Contact Information'!$E$2:$E$200,V84)="","",INDEX('Input Contact Information'!$E$2:$E$200,V84))))</f>
        <v/>
      </c>
      <c r="H84" s="1" t="str">
        <f>IF($B84="","",IF(V84="","",IF(INDEX('Input Contact Information'!$G$2:$G$200,V84)="","",INDEX('Input Contact Information'!$G$2:$G$200,V84))))</f>
        <v/>
      </c>
      <c r="I84" s="1" t="str">
        <f>IF($B84="","",IF(V84="","",IF(INDEX('Input Contact Information'!$H$2:$H$200,V84)="","",INDEX('Input Contact Information'!$H$2:$H$200,V84))))</f>
        <v/>
      </c>
      <c r="J84" s="1" t="str">
        <f>IF($B84="","",IF(V84="","",IF(INDEX('Input Contact Information'!$I$2:$I$200,V84)="","",INDEX('Input Contact Information'!$I$2:$I$200,V84))))</f>
        <v/>
      </c>
      <c r="K84" s="1" t="str">
        <f>IF($B84="","",IF(V84="","",IF(INDEX('Input Contact Information'!$A$2:$A$200,V84)="","",INDEX('Input Contact Information'!$A$2:$A$200,V84))))</f>
        <v/>
      </c>
      <c r="L84" s="1" t="str">
        <f>IF($B84="","",IF(W84="","",IF(INDEX('Accounts Overview'!$I$2:$I$100,W84)="","",INDEX('Accounts Overview'!$I$2:$I$100,W84))))</f>
        <v/>
      </c>
      <c r="M84" s="1" t="str">
        <f>IF($B84="","",IF(V84="","",IF(INDEX('Input Contact Information'!$J$2:$J$200,V84)="","",INDEX('Input Contact Information'!$J$2:$J$200,V84))))</f>
        <v/>
      </c>
      <c r="N84" s="1" t="str">
        <f>IF($B84="","",IF(V84="","",IF(INDEX('Input Contact Information'!$K$2:$K$200,V84)="","",INDEX('Input Contact Information'!$K$2:$K$200,V84))))</f>
        <v/>
      </c>
      <c r="O84" s="1" t="str">
        <f>IF($B84="","",IF(V84="","",IF(INDEX('Input Contact Information'!$L$2:$L$200,V84)="","",INDEX('Input Contact Information'!$L$2:$L$200,V84))))</f>
        <v/>
      </c>
      <c r="P84" s="1" t="str">
        <f>IF($B84="","",IF((IF(V84="","",IF(INDEX('Input Contact Information'!$N$2:$N$200,V84)="","",INDEX('Input Contact Information'!$N$2:$N$200,V84))))&lt;&gt;"",IF(V84="","",IF(INDEX('Input Contact Information'!$N$2:$N$200,V84)="","",INDEX('Input Contact Information'!$N$2:$N$200,V84))),IF(V84="","",IF(INDEX('Input Contact Information'!$M$2:$M$200,V84)="","",INDEX('Input Contact Information'!$M$2:$M$200,V84)))))</f>
        <v/>
      </c>
      <c r="Q84" s="1" t="str">
        <f t="shared" si="5"/>
        <v/>
      </c>
      <c r="R84" s="1" t="str">
        <f>IF($B84="","",IF(X84="","",IF(INDEX('Engagements Overview'!$I$2:$I$200,X84)="","",INDEX('Engagements Overview'!$I$2:$I$200,X84))))</f>
        <v/>
      </c>
      <c r="S84" s="14" t="str">
        <f>IF($B84="","",IF(X84="","",IF(INDEX('Engagements Overview'!$K$2:$K$200,X84)="","",INDEX('Engagements Overview'!$K$2:$K$200,X84))))</f>
        <v/>
      </c>
      <c r="T84" s="1" t="str">
        <f>IF($B84="","",IF(V84="","",IF(INDEX('Input Contact Information'!$O$2:$O$200,V84)="","",INDEX('Input Contact Information'!$O$2:$O$200,V84))))</f>
        <v/>
      </c>
      <c r="U84" s="1" t="str">
        <f>IF($B84="","",IF(V84="","",IF(INDEX('Input Contact Information'!$P$2:$P$200,V84)="","",INDEX('Input Contact Information'!$P$2:$P$200,V84))))</f>
        <v/>
      </c>
      <c r="V84" s="1" t="str">
        <f>IF(B84="","",IFERROR(MATCH(B84&amp;"|"&amp;C84,'Input Contact Information'!$W$2:$W$200,0),""))</f>
        <v/>
      </c>
      <c r="W84" s="1" t="str">
        <f>IF(C84="","",IFERROR(MATCH(C84,'Accounts Overview'!$B$2:$B$100,0),""))</f>
        <v/>
      </c>
      <c r="X84" s="1" t="str">
        <f>IF(A84="","",IFERROR(MATCH(A84,'Engagements Overview'!$B$2:$B$200,0),""))</f>
        <v/>
      </c>
    </row>
    <row r="85" spans="1:24" ht="15" customHeight="1" x14ac:dyDescent="0.35">
      <c r="A85" s="13" t="str">
        <f t="shared" si="4"/>
        <v/>
      </c>
      <c r="B85" s="1" t="str">
        <f>IFERROR(INDEX('Input Contact Information'!$C$2:$C$200,MATCH(ROW()-1,'Input Contact Information'!$V$2:$V$200,0)),"")</f>
        <v/>
      </c>
      <c r="C85" s="1" t="str">
        <f>IFERROR(INDEX('Input Contact Information'!$B$2:$B$200,MATCH(ROW()-1,'Input Contact Information'!$V$2:$V$200,0)),"")</f>
        <v/>
      </c>
      <c r="D85" s="1" t="str">
        <f>IF($B85="","",IF(W85="","",INDEX('Accounts Overview'!$A$2:$A$100,W85)))</f>
        <v/>
      </c>
      <c r="E85" s="1" t="str">
        <f>IF($B85="","",IF(V85="","",IF(INDEX('Input Contact Information'!$D$2:$D$200,V85)="","",INDEX('Input Contact Information'!$D$2:$D$200,V85))))</f>
        <v/>
      </c>
      <c r="F85" s="1" t="str">
        <f>IF($B85="","",IF(V85="","",IF(INDEX('Input Contact Information'!$F$2:$F$200,V85)="","",INDEX('Input Contact Information'!$F$2:$F$200,V85))))</f>
        <v/>
      </c>
      <c r="G85" s="1" t="str">
        <f>IF($B85="","",IF(V85="","",IF(INDEX('Input Contact Information'!$E$2:$E$200,V85)="","",INDEX('Input Contact Information'!$E$2:$E$200,V85))))</f>
        <v/>
      </c>
      <c r="H85" s="1" t="str">
        <f>IF($B85="","",IF(V85="","",IF(INDEX('Input Contact Information'!$G$2:$G$200,V85)="","",INDEX('Input Contact Information'!$G$2:$G$200,V85))))</f>
        <v/>
      </c>
      <c r="I85" s="1" t="str">
        <f>IF($B85="","",IF(V85="","",IF(INDEX('Input Contact Information'!$H$2:$H$200,V85)="","",INDEX('Input Contact Information'!$H$2:$H$200,V85))))</f>
        <v/>
      </c>
      <c r="J85" s="1" t="str">
        <f>IF($B85="","",IF(V85="","",IF(INDEX('Input Contact Information'!$I$2:$I$200,V85)="","",INDEX('Input Contact Information'!$I$2:$I$200,V85))))</f>
        <v/>
      </c>
      <c r="K85" s="1" t="str">
        <f>IF($B85="","",IF(V85="","",IF(INDEX('Input Contact Information'!$A$2:$A$200,V85)="","",INDEX('Input Contact Information'!$A$2:$A$200,V85))))</f>
        <v/>
      </c>
      <c r="L85" s="1" t="str">
        <f>IF($B85="","",IF(W85="","",IF(INDEX('Accounts Overview'!$I$2:$I$100,W85)="","",INDEX('Accounts Overview'!$I$2:$I$100,W85))))</f>
        <v/>
      </c>
      <c r="M85" s="1" t="str">
        <f>IF($B85="","",IF(V85="","",IF(INDEX('Input Contact Information'!$J$2:$J$200,V85)="","",INDEX('Input Contact Information'!$J$2:$J$200,V85))))</f>
        <v/>
      </c>
      <c r="N85" s="1" t="str">
        <f>IF($B85="","",IF(V85="","",IF(INDEX('Input Contact Information'!$K$2:$K$200,V85)="","",INDEX('Input Contact Information'!$K$2:$K$200,V85))))</f>
        <v/>
      </c>
      <c r="O85" s="1" t="str">
        <f>IF($B85="","",IF(V85="","",IF(INDEX('Input Contact Information'!$L$2:$L$200,V85)="","",INDEX('Input Contact Information'!$L$2:$L$200,V85))))</f>
        <v/>
      </c>
      <c r="P85" s="1" t="str">
        <f>IF($B85="","",IF((IF(V85="","",IF(INDEX('Input Contact Information'!$N$2:$N$200,V85)="","",INDEX('Input Contact Information'!$N$2:$N$200,V85))))&lt;&gt;"",IF(V85="","",IF(INDEX('Input Contact Information'!$N$2:$N$200,V85)="","",INDEX('Input Contact Information'!$N$2:$N$200,V85))),IF(V85="","",IF(INDEX('Input Contact Information'!$M$2:$M$200,V85)="","",INDEX('Input Contact Information'!$M$2:$M$200,V85)))))</f>
        <v/>
      </c>
      <c r="Q85" s="1" t="str">
        <f t="shared" si="5"/>
        <v/>
      </c>
      <c r="R85" s="1" t="str">
        <f>IF($B85="","",IF(X85="","",IF(INDEX('Engagements Overview'!$I$2:$I$200,X85)="","",INDEX('Engagements Overview'!$I$2:$I$200,X85))))</f>
        <v/>
      </c>
      <c r="S85" s="14" t="str">
        <f>IF($B85="","",IF(X85="","",IF(INDEX('Engagements Overview'!$K$2:$K$200,X85)="","",INDEX('Engagements Overview'!$K$2:$K$200,X85))))</f>
        <v/>
      </c>
      <c r="T85" s="1" t="str">
        <f>IF($B85="","",IF(V85="","",IF(INDEX('Input Contact Information'!$O$2:$O$200,V85)="","",INDEX('Input Contact Information'!$O$2:$O$200,V85))))</f>
        <v/>
      </c>
      <c r="U85" s="1" t="str">
        <f>IF($B85="","",IF(V85="","",IF(INDEX('Input Contact Information'!$P$2:$P$200,V85)="","",INDEX('Input Contact Information'!$P$2:$P$200,V85))))</f>
        <v/>
      </c>
      <c r="V85" s="1" t="str">
        <f>IF(B85="","",IFERROR(MATCH(B85&amp;"|"&amp;C85,'Input Contact Information'!$W$2:$W$200,0),""))</f>
        <v/>
      </c>
      <c r="W85" s="1" t="str">
        <f>IF(C85="","",IFERROR(MATCH(C85,'Accounts Overview'!$B$2:$B$100,0),""))</f>
        <v/>
      </c>
      <c r="X85" s="1" t="str">
        <f>IF(A85="","",IFERROR(MATCH(A85,'Engagements Overview'!$B$2:$B$200,0),""))</f>
        <v/>
      </c>
    </row>
    <row r="86" spans="1:24" ht="15" customHeight="1" x14ac:dyDescent="0.35">
      <c r="A86" s="13" t="str">
        <f t="shared" si="4"/>
        <v/>
      </c>
      <c r="B86" s="1" t="str">
        <f>IFERROR(INDEX('Input Contact Information'!$C$2:$C$200,MATCH(ROW()-1,'Input Contact Information'!$V$2:$V$200,0)),"")</f>
        <v/>
      </c>
      <c r="C86" s="1" t="str">
        <f>IFERROR(INDEX('Input Contact Information'!$B$2:$B$200,MATCH(ROW()-1,'Input Contact Information'!$V$2:$V$200,0)),"")</f>
        <v/>
      </c>
      <c r="D86" s="1" t="str">
        <f>IF($B86="","",IF(W86="","",INDEX('Accounts Overview'!$A$2:$A$100,W86)))</f>
        <v/>
      </c>
      <c r="E86" s="1" t="str">
        <f>IF($B86="","",IF(V86="","",IF(INDEX('Input Contact Information'!$D$2:$D$200,V86)="","",INDEX('Input Contact Information'!$D$2:$D$200,V86))))</f>
        <v/>
      </c>
      <c r="F86" s="1" t="str">
        <f>IF($B86="","",IF(V86="","",IF(INDEX('Input Contact Information'!$F$2:$F$200,V86)="","",INDEX('Input Contact Information'!$F$2:$F$200,V86))))</f>
        <v/>
      </c>
      <c r="G86" s="1" t="str">
        <f>IF($B86="","",IF(V86="","",IF(INDEX('Input Contact Information'!$E$2:$E$200,V86)="","",INDEX('Input Contact Information'!$E$2:$E$200,V86))))</f>
        <v/>
      </c>
      <c r="H86" s="1" t="str">
        <f>IF($B86="","",IF(V86="","",IF(INDEX('Input Contact Information'!$G$2:$G$200,V86)="","",INDEX('Input Contact Information'!$G$2:$G$200,V86))))</f>
        <v/>
      </c>
      <c r="I86" s="1" t="str">
        <f>IF($B86="","",IF(V86="","",IF(INDEX('Input Contact Information'!$H$2:$H$200,V86)="","",INDEX('Input Contact Information'!$H$2:$H$200,V86))))</f>
        <v/>
      </c>
      <c r="J86" s="1" t="str">
        <f>IF($B86="","",IF(V86="","",IF(INDEX('Input Contact Information'!$I$2:$I$200,V86)="","",INDEX('Input Contact Information'!$I$2:$I$200,V86))))</f>
        <v/>
      </c>
      <c r="K86" s="1" t="str">
        <f>IF($B86="","",IF(V86="","",IF(INDEX('Input Contact Information'!$A$2:$A$200,V86)="","",INDEX('Input Contact Information'!$A$2:$A$200,V86))))</f>
        <v/>
      </c>
      <c r="L86" s="1" t="str">
        <f>IF($B86="","",IF(W86="","",IF(INDEX('Accounts Overview'!$I$2:$I$100,W86)="","",INDEX('Accounts Overview'!$I$2:$I$100,W86))))</f>
        <v/>
      </c>
      <c r="M86" s="1" t="str">
        <f>IF($B86="","",IF(V86="","",IF(INDEX('Input Contact Information'!$J$2:$J$200,V86)="","",INDEX('Input Contact Information'!$J$2:$J$200,V86))))</f>
        <v/>
      </c>
      <c r="N86" s="1" t="str">
        <f>IF($B86="","",IF(V86="","",IF(INDEX('Input Contact Information'!$K$2:$K$200,V86)="","",INDEX('Input Contact Information'!$K$2:$K$200,V86))))</f>
        <v/>
      </c>
      <c r="O86" s="1" t="str">
        <f>IF($B86="","",IF(V86="","",IF(INDEX('Input Contact Information'!$L$2:$L$200,V86)="","",INDEX('Input Contact Information'!$L$2:$L$200,V86))))</f>
        <v/>
      </c>
      <c r="P86" s="1" t="str">
        <f>IF($B86="","",IF((IF(V86="","",IF(INDEX('Input Contact Information'!$N$2:$N$200,V86)="","",INDEX('Input Contact Information'!$N$2:$N$200,V86))))&lt;&gt;"",IF(V86="","",IF(INDEX('Input Contact Information'!$N$2:$N$200,V86)="","",INDEX('Input Contact Information'!$N$2:$N$200,V86))),IF(V86="","",IF(INDEX('Input Contact Information'!$M$2:$M$200,V86)="","",INDEX('Input Contact Information'!$M$2:$M$200,V86)))))</f>
        <v/>
      </c>
      <c r="Q86" s="1" t="str">
        <f t="shared" si="5"/>
        <v/>
      </c>
      <c r="R86" s="1" t="str">
        <f>IF($B86="","",IF(X86="","",IF(INDEX('Engagements Overview'!$I$2:$I$200,X86)="","",INDEX('Engagements Overview'!$I$2:$I$200,X86))))</f>
        <v/>
      </c>
      <c r="S86" s="14" t="str">
        <f>IF($B86="","",IF(X86="","",IF(INDEX('Engagements Overview'!$K$2:$K$200,X86)="","",INDEX('Engagements Overview'!$K$2:$K$200,X86))))</f>
        <v/>
      </c>
      <c r="T86" s="1" t="str">
        <f>IF($B86="","",IF(V86="","",IF(INDEX('Input Contact Information'!$O$2:$O$200,V86)="","",INDEX('Input Contact Information'!$O$2:$O$200,V86))))</f>
        <v/>
      </c>
      <c r="U86" s="1" t="str">
        <f>IF($B86="","",IF(V86="","",IF(INDEX('Input Contact Information'!$P$2:$P$200,V86)="","",INDEX('Input Contact Information'!$P$2:$P$200,V86))))</f>
        <v/>
      </c>
      <c r="V86" s="1" t="str">
        <f>IF(B86="","",IFERROR(MATCH(B86&amp;"|"&amp;C86,'Input Contact Information'!$W$2:$W$200,0),""))</f>
        <v/>
      </c>
      <c r="W86" s="1" t="str">
        <f>IF(C86="","",IFERROR(MATCH(C86,'Accounts Overview'!$B$2:$B$100,0),""))</f>
        <v/>
      </c>
      <c r="X86" s="1" t="str">
        <f>IF(A86="","",IFERROR(MATCH(A86,'Engagements Overview'!$B$2:$B$200,0),""))</f>
        <v/>
      </c>
    </row>
    <row r="87" spans="1:24" ht="15" customHeight="1" x14ac:dyDescent="0.35">
      <c r="A87" s="13" t="str">
        <f t="shared" si="4"/>
        <v/>
      </c>
      <c r="B87" s="1" t="str">
        <f>IFERROR(INDEX('Input Contact Information'!$C$2:$C$200,MATCH(ROW()-1,'Input Contact Information'!$V$2:$V$200,0)),"")</f>
        <v/>
      </c>
      <c r="C87" s="1" t="str">
        <f>IFERROR(INDEX('Input Contact Information'!$B$2:$B$200,MATCH(ROW()-1,'Input Contact Information'!$V$2:$V$200,0)),"")</f>
        <v/>
      </c>
      <c r="D87" s="1" t="str">
        <f>IF($B87="","",IF(W87="","",INDEX('Accounts Overview'!$A$2:$A$100,W87)))</f>
        <v/>
      </c>
      <c r="E87" s="1" t="str">
        <f>IF($B87="","",IF(V87="","",IF(INDEX('Input Contact Information'!$D$2:$D$200,V87)="","",INDEX('Input Contact Information'!$D$2:$D$200,V87))))</f>
        <v/>
      </c>
      <c r="F87" s="1" t="str">
        <f>IF($B87="","",IF(V87="","",IF(INDEX('Input Contact Information'!$F$2:$F$200,V87)="","",INDEX('Input Contact Information'!$F$2:$F$200,V87))))</f>
        <v/>
      </c>
      <c r="G87" s="1" t="str">
        <f>IF($B87="","",IF(V87="","",IF(INDEX('Input Contact Information'!$E$2:$E$200,V87)="","",INDEX('Input Contact Information'!$E$2:$E$200,V87))))</f>
        <v/>
      </c>
      <c r="H87" s="1" t="str">
        <f>IF($B87="","",IF(V87="","",IF(INDEX('Input Contact Information'!$G$2:$G$200,V87)="","",INDEX('Input Contact Information'!$G$2:$G$200,V87))))</f>
        <v/>
      </c>
      <c r="I87" s="1" t="str">
        <f>IF($B87="","",IF(V87="","",IF(INDEX('Input Contact Information'!$H$2:$H$200,V87)="","",INDEX('Input Contact Information'!$H$2:$H$200,V87))))</f>
        <v/>
      </c>
      <c r="J87" s="1" t="str">
        <f>IF($B87="","",IF(V87="","",IF(INDEX('Input Contact Information'!$I$2:$I$200,V87)="","",INDEX('Input Contact Information'!$I$2:$I$200,V87))))</f>
        <v/>
      </c>
      <c r="K87" s="1" t="str">
        <f>IF($B87="","",IF(V87="","",IF(INDEX('Input Contact Information'!$A$2:$A$200,V87)="","",INDEX('Input Contact Information'!$A$2:$A$200,V87))))</f>
        <v/>
      </c>
      <c r="L87" s="1" t="str">
        <f>IF($B87="","",IF(W87="","",IF(INDEX('Accounts Overview'!$I$2:$I$100,W87)="","",INDEX('Accounts Overview'!$I$2:$I$100,W87))))</f>
        <v/>
      </c>
      <c r="M87" s="1" t="str">
        <f>IF($B87="","",IF(V87="","",IF(INDEX('Input Contact Information'!$J$2:$J$200,V87)="","",INDEX('Input Contact Information'!$J$2:$J$200,V87))))</f>
        <v/>
      </c>
      <c r="N87" s="1" t="str">
        <f>IF($B87="","",IF(V87="","",IF(INDEX('Input Contact Information'!$K$2:$K$200,V87)="","",INDEX('Input Contact Information'!$K$2:$K$200,V87))))</f>
        <v/>
      </c>
      <c r="O87" s="1" t="str">
        <f>IF($B87="","",IF(V87="","",IF(INDEX('Input Contact Information'!$L$2:$L$200,V87)="","",INDEX('Input Contact Information'!$L$2:$L$200,V87))))</f>
        <v/>
      </c>
      <c r="P87" s="1" t="str">
        <f>IF($B87="","",IF((IF(V87="","",IF(INDEX('Input Contact Information'!$N$2:$N$200,V87)="","",INDEX('Input Contact Information'!$N$2:$N$200,V87))))&lt;&gt;"",IF(V87="","",IF(INDEX('Input Contact Information'!$N$2:$N$200,V87)="","",INDEX('Input Contact Information'!$N$2:$N$200,V87))),IF(V87="","",IF(INDEX('Input Contact Information'!$M$2:$M$200,V87)="","",INDEX('Input Contact Information'!$M$2:$M$200,V87)))))</f>
        <v/>
      </c>
      <c r="Q87" s="1" t="str">
        <f t="shared" si="5"/>
        <v/>
      </c>
      <c r="R87" s="1" t="str">
        <f>IF($B87="","",IF(X87="","",IF(INDEX('Engagements Overview'!$I$2:$I$200,X87)="","",INDEX('Engagements Overview'!$I$2:$I$200,X87))))</f>
        <v/>
      </c>
      <c r="S87" s="14" t="str">
        <f>IF($B87="","",IF(X87="","",IF(INDEX('Engagements Overview'!$K$2:$K$200,X87)="","",INDEX('Engagements Overview'!$K$2:$K$200,X87))))</f>
        <v/>
      </c>
      <c r="T87" s="1" t="str">
        <f>IF($B87="","",IF(V87="","",IF(INDEX('Input Contact Information'!$O$2:$O$200,V87)="","",INDEX('Input Contact Information'!$O$2:$O$200,V87))))</f>
        <v/>
      </c>
      <c r="U87" s="1" t="str">
        <f>IF($B87="","",IF(V87="","",IF(INDEX('Input Contact Information'!$P$2:$P$200,V87)="","",INDEX('Input Contact Information'!$P$2:$P$200,V87))))</f>
        <v/>
      </c>
      <c r="V87" s="1" t="str">
        <f>IF(B87="","",IFERROR(MATCH(B87&amp;"|"&amp;C87,'Input Contact Information'!$W$2:$W$200,0),""))</f>
        <v/>
      </c>
      <c r="W87" s="1" t="str">
        <f>IF(C87="","",IFERROR(MATCH(C87,'Accounts Overview'!$B$2:$B$100,0),""))</f>
        <v/>
      </c>
      <c r="X87" s="1" t="str">
        <f>IF(A87="","",IFERROR(MATCH(A87,'Engagements Overview'!$B$2:$B$200,0),""))</f>
        <v/>
      </c>
    </row>
    <row r="88" spans="1:24" ht="15" customHeight="1" x14ac:dyDescent="0.35">
      <c r="A88" s="13" t="str">
        <f t="shared" si="4"/>
        <v/>
      </c>
      <c r="B88" s="1" t="str">
        <f>IFERROR(INDEX('Input Contact Information'!$C$2:$C$200,MATCH(ROW()-1,'Input Contact Information'!$V$2:$V$200,0)),"")</f>
        <v/>
      </c>
      <c r="C88" s="1" t="str">
        <f>IFERROR(INDEX('Input Contact Information'!$B$2:$B$200,MATCH(ROW()-1,'Input Contact Information'!$V$2:$V$200,0)),"")</f>
        <v/>
      </c>
      <c r="D88" s="1" t="str">
        <f>IF($B88="","",IF(W88="","",INDEX('Accounts Overview'!$A$2:$A$100,W88)))</f>
        <v/>
      </c>
      <c r="E88" s="1" t="str">
        <f>IF($B88="","",IF(V88="","",IF(INDEX('Input Contact Information'!$D$2:$D$200,V88)="","",INDEX('Input Contact Information'!$D$2:$D$200,V88))))</f>
        <v/>
      </c>
      <c r="F88" s="1" t="str">
        <f>IF($B88="","",IF(V88="","",IF(INDEX('Input Contact Information'!$F$2:$F$200,V88)="","",INDEX('Input Contact Information'!$F$2:$F$200,V88))))</f>
        <v/>
      </c>
      <c r="G88" s="1" t="str">
        <f>IF($B88="","",IF(V88="","",IF(INDEX('Input Contact Information'!$E$2:$E$200,V88)="","",INDEX('Input Contact Information'!$E$2:$E$200,V88))))</f>
        <v/>
      </c>
      <c r="H88" s="1" t="str">
        <f>IF($B88="","",IF(V88="","",IF(INDEX('Input Contact Information'!$G$2:$G$200,V88)="","",INDEX('Input Contact Information'!$G$2:$G$200,V88))))</f>
        <v/>
      </c>
      <c r="I88" s="1" t="str">
        <f>IF($B88="","",IF(V88="","",IF(INDEX('Input Contact Information'!$H$2:$H$200,V88)="","",INDEX('Input Contact Information'!$H$2:$H$200,V88))))</f>
        <v/>
      </c>
      <c r="J88" s="1" t="str">
        <f>IF($B88="","",IF(V88="","",IF(INDEX('Input Contact Information'!$I$2:$I$200,V88)="","",INDEX('Input Contact Information'!$I$2:$I$200,V88))))</f>
        <v/>
      </c>
      <c r="K88" s="1" t="str">
        <f>IF($B88="","",IF(V88="","",IF(INDEX('Input Contact Information'!$A$2:$A$200,V88)="","",INDEX('Input Contact Information'!$A$2:$A$200,V88))))</f>
        <v/>
      </c>
      <c r="L88" s="1" t="str">
        <f>IF($B88="","",IF(W88="","",IF(INDEX('Accounts Overview'!$I$2:$I$100,W88)="","",INDEX('Accounts Overview'!$I$2:$I$100,W88))))</f>
        <v/>
      </c>
      <c r="M88" s="1" t="str">
        <f>IF($B88="","",IF(V88="","",IF(INDEX('Input Contact Information'!$J$2:$J$200,V88)="","",INDEX('Input Contact Information'!$J$2:$J$200,V88))))</f>
        <v/>
      </c>
      <c r="N88" s="1" t="str">
        <f>IF($B88="","",IF(V88="","",IF(INDEX('Input Contact Information'!$K$2:$K$200,V88)="","",INDEX('Input Contact Information'!$K$2:$K$200,V88))))</f>
        <v/>
      </c>
      <c r="O88" s="1" t="str">
        <f>IF($B88="","",IF(V88="","",IF(INDEX('Input Contact Information'!$L$2:$L$200,V88)="","",INDEX('Input Contact Information'!$L$2:$L$200,V88))))</f>
        <v/>
      </c>
      <c r="P88" s="1" t="str">
        <f>IF($B88="","",IF((IF(V88="","",IF(INDEX('Input Contact Information'!$N$2:$N$200,V88)="","",INDEX('Input Contact Information'!$N$2:$N$200,V88))))&lt;&gt;"",IF(V88="","",IF(INDEX('Input Contact Information'!$N$2:$N$200,V88)="","",INDEX('Input Contact Information'!$N$2:$N$200,V88))),IF(V88="","",IF(INDEX('Input Contact Information'!$M$2:$M$200,V88)="","",INDEX('Input Contact Information'!$M$2:$M$200,V88)))))</f>
        <v/>
      </c>
      <c r="Q88" s="1" t="str">
        <f t="shared" si="5"/>
        <v/>
      </c>
      <c r="R88" s="1" t="str">
        <f>IF($B88="","",IF(X88="","",IF(INDEX('Engagements Overview'!$I$2:$I$200,X88)="","",INDEX('Engagements Overview'!$I$2:$I$200,X88))))</f>
        <v/>
      </c>
      <c r="S88" s="14" t="str">
        <f>IF($B88="","",IF(X88="","",IF(INDEX('Engagements Overview'!$K$2:$K$200,X88)="","",INDEX('Engagements Overview'!$K$2:$K$200,X88))))</f>
        <v/>
      </c>
      <c r="T88" s="1" t="str">
        <f>IF($B88="","",IF(V88="","",IF(INDEX('Input Contact Information'!$O$2:$O$200,V88)="","",INDEX('Input Contact Information'!$O$2:$O$200,V88))))</f>
        <v/>
      </c>
      <c r="U88" s="1" t="str">
        <f>IF($B88="","",IF(V88="","",IF(INDEX('Input Contact Information'!$P$2:$P$200,V88)="","",INDEX('Input Contact Information'!$P$2:$P$200,V88))))</f>
        <v/>
      </c>
      <c r="V88" s="1" t="str">
        <f>IF(B88="","",IFERROR(MATCH(B88&amp;"|"&amp;C88,'Input Contact Information'!$W$2:$W$200,0),""))</f>
        <v/>
      </c>
      <c r="W88" s="1" t="str">
        <f>IF(C88="","",IFERROR(MATCH(C88,'Accounts Overview'!$B$2:$B$100,0),""))</f>
        <v/>
      </c>
      <c r="X88" s="1" t="str">
        <f>IF(A88="","",IFERROR(MATCH(A88,'Engagements Overview'!$B$2:$B$200,0),""))</f>
        <v/>
      </c>
    </row>
    <row r="89" spans="1:24" ht="15" customHeight="1" x14ac:dyDescent="0.35">
      <c r="A89" s="13" t="str">
        <f t="shared" si="4"/>
        <v/>
      </c>
      <c r="B89" s="1" t="str">
        <f>IFERROR(INDEX('Input Contact Information'!$C$2:$C$200,MATCH(ROW()-1,'Input Contact Information'!$V$2:$V$200,0)),"")</f>
        <v/>
      </c>
      <c r="C89" s="1" t="str">
        <f>IFERROR(INDEX('Input Contact Information'!$B$2:$B$200,MATCH(ROW()-1,'Input Contact Information'!$V$2:$V$200,0)),"")</f>
        <v/>
      </c>
      <c r="D89" s="1" t="str">
        <f>IF($B89="","",IF(W89="","",INDEX('Accounts Overview'!$A$2:$A$100,W89)))</f>
        <v/>
      </c>
      <c r="E89" s="1" t="str">
        <f>IF($B89="","",IF(V89="","",IF(INDEX('Input Contact Information'!$D$2:$D$200,V89)="","",INDEX('Input Contact Information'!$D$2:$D$200,V89))))</f>
        <v/>
      </c>
      <c r="F89" s="1" t="str">
        <f>IF($B89="","",IF(V89="","",IF(INDEX('Input Contact Information'!$F$2:$F$200,V89)="","",INDEX('Input Contact Information'!$F$2:$F$200,V89))))</f>
        <v/>
      </c>
      <c r="G89" s="1" t="str">
        <f>IF($B89="","",IF(V89="","",IF(INDEX('Input Contact Information'!$E$2:$E$200,V89)="","",INDEX('Input Contact Information'!$E$2:$E$200,V89))))</f>
        <v/>
      </c>
      <c r="H89" s="1" t="str">
        <f>IF($B89="","",IF(V89="","",IF(INDEX('Input Contact Information'!$G$2:$G$200,V89)="","",INDEX('Input Contact Information'!$G$2:$G$200,V89))))</f>
        <v/>
      </c>
      <c r="I89" s="1" t="str">
        <f>IF($B89="","",IF(V89="","",IF(INDEX('Input Contact Information'!$H$2:$H$200,V89)="","",INDEX('Input Contact Information'!$H$2:$H$200,V89))))</f>
        <v/>
      </c>
      <c r="J89" s="1" t="str">
        <f>IF($B89="","",IF(V89="","",IF(INDEX('Input Contact Information'!$I$2:$I$200,V89)="","",INDEX('Input Contact Information'!$I$2:$I$200,V89))))</f>
        <v/>
      </c>
      <c r="K89" s="1" t="str">
        <f>IF($B89="","",IF(V89="","",IF(INDEX('Input Contact Information'!$A$2:$A$200,V89)="","",INDEX('Input Contact Information'!$A$2:$A$200,V89))))</f>
        <v/>
      </c>
      <c r="L89" s="1" t="str">
        <f>IF($B89="","",IF(W89="","",IF(INDEX('Accounts Overview'!$I$2:$I$100,W89)="","",INDEX('Accounts Overview'!$I$2:$I$100,W89))))</f>
        <v/>
      </c>
      <c r="M89" s="1" t="str">
        <f>IF($B89="","",IF(V89="","",IF(INDEX('Input Contact Information'!$J$2:$J$200,V89)="","",INDEX('Input Contact Information'!$J$2:$J$200,V89))))</f>
        <v/>
      </c>
      <c r="N89" s="1" t="str">
        <f>IF($B89="","",IF(V89="","",IF(INDEX('Input Contact Information'!$K$2:$K$200,V89)="","",INDEX('Input Contact Information'!$K$2:$K$200,V89))))</f>
        <v/>
      </c>
      <c r="O89" s="1" t="str">
        <f>IF($B89="","",IF(V89="","",IF(INDEX('Input Contact Information'!$L$2:$L$200,V89)="","",INDEX('Input Contact Information'!$L$2:$L$200,V89))))</f>
        <v/>
      </c>
      <c r="P89" s="1" t="str">
        <f>IF($B89="","",IF((IF(V89="","",IF(INDEX('Input Contact Information'!$N$2:$N$200,V89)="","",INDEX('Input Contact Information'!$N$2:$N$200,V89))))&lt;&gt;"",IF(V89="","",IF(INDEX('Input Contact Information'!$N$2:$N$200,V89)="","",INDEX('Input Contact Information'!$N$2:$N$200,V89))),IF(V89="","",IF(INDEX('Input Contact Information'!$M$2:$M$200,V89)="","",INDEX('Input Contact Information'!$M$2:$M$200,V89)))))</f>
        <v/>
      </c>
      <c r="Q89" s="1" t="str">
        <f t="shared" si="5"/>
        <v/>
      </c>
      <c r="R89" s="1" t="str">
        <f>IF($B89="","",IF(X89="","",IF(INDEX('Engagements Overview'!$I$2:$I$200,X89)="","",INDEX('Engagements Overview'!$I$2:$I$200,X89))))</f>
        <v/>
      </c>
      <c r="S89" s="14" t="str">
        <f>IF($B89="","",IF(X89="","",IF(INDEX('Engagements Overview'!$K$2:$K$200,X89)="","",INDEX('Engagements Overview'!$K$2:$K$200,X89))))</f>
        <v/>
      </c>
      <c r="T89" s="1" t="str">
        <f>IF($B89="","",IF(V89="","",IF(INDEX('Input Contact Information'!$O$2:$O$200,V89)="","",INDEX('Input Contact Information'!$O$2:$O$200,V89))))</f>
        <v/>
      </c>
      <c r="U89" s="1" t="str">
        <f>IF($B89="","",IF(V89="","",IF(INDEX('Input Contact Information'!$P$2:$P$200,V89)="","",INDEX('Input Contact Information'!$P$2:$P$200,V89))))</f>
        <v/>
      </c>
      <c r="V89" s="1" t="str">
        <f>IF(B89="","",IFERROR(MATCH(B89&amp;"|"&amp;C89,'Input Contact Information'!$W$2:$W$200,0),""))</f>
        <v/>
      </c>
      <c r="W89" s="1" t="str">
        <f>IF(C89="","",IFERROR(MATCH(C89,'Accounts Overview'!$B$2:$B$100,0),""))</f>
        <v/>
      </c>
      <c r="X89" s="1" t="str">
        <f>IF(A89="","",IFERROR(MATCH(A89,'Engagements Overview'!$B$2:$B$200,0),""))</f>
        <v/>
      </c>
    </row>
    <row r="90" spans="1:24" ht="15" customHeight="1" x14ac:dyDescent="0.35">
      <c r="A90" s="13" t="str">
        <f t="shared" si="4"/>
        <v/>
      </c>
      <c r="B90" s="1" t="str">
        <f>IFERROR(INDEX('Input Contact Information'!$C$2:$C$200,MATCH(ROW()-1,'Input Contact Information'!$V$2:$V$200,0)),"")</f>
        <v/>
      </c>
      <c r="C90" s="1" t="str">
        <f>IFERROR(INDEX('Input Contact Information'!$B$2:$B$200,MATCH(ROW()-1,'Input Contact Information'!$V$2:$V$200,0)),"")</f>
        <v/>
      </c>
      <c r="D90" s="1" t="str">
        <f>IF($B90="","",IF(W90="","",INDEX('Accounts Overview'!$A$2:$A$100,W90)))</f>
        <v/>
      </c>
      <c r="E90" s="1" t="str">
        <f>IF($B90="","",IF(V90="","",IF(INDEX('Input Contact Information'!$D$2:$D$200,V90)="","",INDEX('Input Contact Information'!$D$2:$D$200,V90))))</f>
        <v/>
      </c>
      <c r="F90" s="1" t="str">
        <f>IF($B90="","",IF(V90="","",IF(INDEX('Input Contact Information'!$F$2:$F$200,V90)="","",INDEX('Input Contact Information'!$F$2:$F$200,V90))))</f>
        <v/>
      </c>
      <c r="G90" s="1" t="str">
        <f>IF($B90="","",IF(V90="","",IF(INDEX('Input Contact Information'!$E$2:$E$200,V90)="","",INDEX('Input Contact Information'!$E$2:$E$200,V90))))</f>
        <v/>
      </c>
      <c r="H90" s="1" t="str">
        <f>IF($B90="","",IF(V90="","",IF(INDEX('Input Contact Information'!$G$2:$G$200,V90)="","",INDEX('Input Contact Information'!$G$2:$G$200,V90))))</f>
        <v/>
      </c>
      <c r="I90" s="1" t="str">
        <f>IF($B90="","",IF(V90="","",IF(INDEX('Input Contact Information'!$H$2:$H$200,V90)="","",INDEX('Input Contact Information'!$H$2:$H$200,V90))))</f>
        <v/>
      </c>
      <c r="J90" s="1" t="str">
        <f>IF($B90="","",IF(V90="","",IF(INDEX('Input Contact Information'!$I$2:$I$200,V90)="","",INDEX('Input Contact Information'!$I$2:$I$200,V90))))</f>
        <v/>
      </c>
      <c r="K90" s="1" t="str">
        <f>IF($B90="","",IF(V90="","",IF(INDEX('Input Contact Information'!$A$2:$A$200,V90)="","",INDEX('Input Contact Information'!$A$2:$A$200,V90))))</f>
        <v/>
      </c>
      <c r="L90" s="1" t="str">
        <f>IF($B90="","",IF(W90="","",IF(INDEX('Accounts Overview'!$I$2:$I$100,W90)="","",INDEX('Accounts Overview'!$I$2:$I$100,W90))))</f>
        <v/>
      </c>
      <c r="M90" s="1" t="str">
        <f>IF($B90="","",IF(V90="","",IF(INDEX('Input Contact Information'!$J$2:$J$200,V90)="","",INDEX('Input Contact Information'!$J$2:$J$200,V90))))</f>
        <v/>
      </c>
      <c r="N90" s="1" t="str">
        <f>IF($B90="","",IF(V90="","",IF(INDEX('Input Contact Information'!$K$2:$K$200,V90)="","",INDEX('Input Contact Information'!$K$2:$K$200,V90))))</f>
        <v/>
      </c>
      <c r="O90" s="1" t="str">
        <f>IF($B90="","",IF(V90="","",IF(INDEX('Input Contact Information'!$L$2:$L$200,V90)="","",INDEX('Input Contact Information'!$L$2:$L$200,V90))))</f>
        <v/>
      </c>
      <c r="P90" s="1" t="str">
        <f>IF($B90="","",IF((IF(V90="","",IF(INDEX('Input Contact Information'!$N$2:$N$200,V90)="","",INDEX('Input Contact Information'!$N$2:$N$200,V90))))&lt;&gt;"",IF(V90="","",IF(INDEX('Input Contact Information'!$N$2:$N$200,V90)="","",INDEX('Input Contact Information'!$N$2:$N$200,V90))),IF(V90="","",IF(INDEX('Input Contact Information'!$M$2:$M$200,V90)="","",INDEX('Input Contact Information'!$M$2:$M$200,V90)))))</f>
        <v/>
      </c>
      <c r="Q90" s="1" t="str">
        <f t="shared" si="5"/>
        <v/>
      </c>
      <c r="R90" s="1" t="str">
        <f>IF($B90="","",IF(X90="","",IF(INDEX('Engagements Overview'!$I$2:$I$200,X90)="","",INDEX('Engagements Overview'!$I$2:$I$200,X90))))</f>
        <v/>
      </c>
      <c r="S90" s="14" t="str">
        <f>IF($B90="","",IF(X90="","",IF(INDEX('Engagements Overview'!$K$2:$K$200,X90)="","",INDEX('Engagements Overview'!$K$2:$K$200,X90))))</f>
        <v/>
      </c>
      <c r="T90" s="1" t="str">
        <f>IF($B90="","",IF(V90="","",IF(INDEX('Input Contact Information'!$O$2:$O$200,V90)="","",INDEX('Input Contact Information'!$O$2:$O$200,V90))))</f>
        <v/>
      </c>
      <c r="U90" s="1" t="str">
        <f>IF($B90="","",IF(V90="","",IF(INDEX('Input Contact Information'!$P$2:$P$200,V90)="","",INDEX('Input Contact Information'!$P$2:$P$200,V90))))</f>
        <v/>
      </c>
      <c r="V90" s="1" t="str">
        <f>IF(B90="","",IFERROR(MATCH(B90&amp;"|"&amp;C90,'Input Contact Information'!$W$2:$W$200,0),""))</f>
        <v/>
      </c>
      <c r="W90" s="1" t="str">
        <f>IF(C90="","",IFERROR(MATCH(C90,'Accounts Overview'!$B$2:$B$100,0),""))</f>
        <v/>
      </c>
      <c r="X90" s="1" t="str">
        <f>IF(A90="","",IFERROR(MATCH(A90,'Engagements Overview'!$B$2:$B$200,0),""))</f>
        <v/>
      </c>
    </row>
    <row r="91" spans="1:24" ht="15" customHeight="1" x14ac:dyDescent="0.35">
      <c r="A91" s="13" t="str">
        <f t="shared" si="4"/>
        <v/>
      </c>
      <c r="B91" s="1" t="str">
        <f>IFERROR(INDEX('Input Contact Information'!$C$2:$C$200,MATCH(ROW()-1,'Input Contact Information'!$V$2:$V$200,0)),"")</f>
        <v/>
      </c>
      <c r="C91" s="1" t="str">
        <f>IFERROR(INDEX('Input Contact Information'!$B$2:$B$200,MATCH(ROW()-1,'Input Contact Information'!$V$2:$V$200,0)),"")</f>
        <v/>
      </c>
      <c r="D91" s="1" t="str">
        <f>IF($B91="","",IF(W91="","",INDEX('Accounts Overview'!$A$2:$A$100,W91)))</f>
        <v/>
      </c>
      <c r="E91" s="1" t="str">
        <f>IF($B91="","",IF(V91="","",IF(INDEX('Input Contact Information'!$D$2:$D$200,V91)="","",INDEX('Input Contact Information'!$D$2:$D$200,V91))))</f>
        <v/>
      </c>
      <c r="F91" s="1" t="str">
        <f>IF($B91="","",IF(V91="","",IF(INDEX('Input Contact Information'!$F$2:$F$200,V91)="","",INDEX('Input Contact Information'!$F$2:$F$200,V91))))</f>
        <v/>
      </c>
      <c r="G91" s="1" t="str">
        <f>IF($B91="","",IF(V91="","",IF(INDEX('Input Contact Information'!$E$2:$E$200,V91)="","",INDEX('Input Contact Information'!$E$2:$E$200,V91))))</f>
        <v/>
      </c>
      <c r="H91" s="1" t="str">
        <f>IF($B91="","",IF(V91="","",IF(INDEX('Input Contact Information'!$G$2:$G$200,V91)="","",INDEX('Input Contact Information'!$G$2:$G$200,V91))))</f>
        <v/>
      </c>
      <c r="I91" s="1" t="str">
        <f>IF($B91="","",IF(V91="","",IF(INDEX('Input Contact Information'!$H$2:$H$200,V91)="","",INDEX('Input Contact Information'!$H$2:$H$200,V91))))</f>
        <v/>
      </c>
      <c r="J91" s="1" t="str">
        <f>IF($B91="","",IF(V91="","",IF(INDEX('Input Contact Information'!$I$2:$I$200,V91)="","",INDEX('Input Contact Information'!$I$2:$I$200,V91))))</f>
        <v/>
      </c>
      <c r="K91" s="1" t="str">
        <f>IF($B91="","",IF(V91="","",IF(INDEX('Input Contact Information'!$A$2:$A$200,V91)="","",INDEX('Input Contact Information'!$A$2:$A$200,V91))))</f>
        <v/>
      </c>
      <c r="L91" s="1" t="str">
        <f>IF($B91="","",IF(W91="","",IF(INDEX('Accounts Overview'!$I$2:$I$100,W91)="","",INDEX('Accounts Overview'!$I$2:$I$100,W91))))</f>
        <v/>
      </c>
      <c r="M91" s="1" t="str">
        <f>IF($B91="","",IF(V91="","",IF(INDEX('Input Contact Information'!$J$2:$J$200,V91)="","",INDEX('Input Contact Information'!$J$2:$J$200,V91))))</f>
        <v/>
      </c>
      <c r="N91" s="1" t="str">
        <f>IF($B91="","",IF(V91="","",IF(INDEX('Input Contact Information'!$K$2:$K$200,V91)="","",INDEX('Input Contact Information'!$K$2:$K$200,V91))))</f>
        <v/>
      </c>
      <c r="O91" s="1" t="str">
        <f>IF($B91="","",IF(V91="","",IF(INDEX('Input Contact Information'!$L$2:$L$200,V91)="","",INDEX('Input Contact Information'!$L$2:$L$200,V91))))</f>
        <v/>
      </c>
      <c r="P91" s="1" t="str">
        <f>IF($B91="","",IF((IF(V91="","",IF(INDEX('Input Contact Information'!$N$2:$N$200,V91)="","",INDEX('Input Contact Information'!$N$2:$N$200,V91))))&lt;&gt;"",IF(V91="","",IF(INDEX('Input Contact Information'!$N$2:$N$200,V91)="","",INDEX('Input Contact Information'!$N$2:$N$200,V91))),IF(V91="","",IF(INDEX('Input Contact Information'!$M$2:$M$200,V91)="","",INDEX('Input Contact Information'!$M$2:$M$200,V91)))))</f>
        <v/>
      </c>
      <c r="Q91" s="1" t="str">
        <f t="shared" si="5"/>
        <v/>
      </c>
      <c r="R91" s="1" t="str">
        <f>IF($B91="","",IF(X91="","",IF(INDEX('Engagements Overview'!$I$2:$I$200,X91)="","",INDEX('Engagements Overview'!$I$2:$I$200,X91))))</f>
        <v/>
      </c>
      <c r="S91" s="14" t="str">
        <f>IF($B91="","",IF(X91="","",IF(INDEX('Engagements Overview'!$K$2:$K$200,X91)="","",INDEX('Engagements Overview'!$K$2:$K$200,X91))))</f>
        <v/>
      </c>
      <c r="T91" s="1" t="str">
        <f>IF($B91="","",IF(V91="","",IF(INDEX('Input Contact Information'!$O$2:$O$200,V91)="","",INDEX('Input Contact Information'!$O$2:$O$200,V91))))</f>
        <v/>
      </c>
      <c r="U91" s="1" t="str">
        <f>IF($B91="","",IF(V91="","",IF(INDEX('Input Contact Information'!$P$2:$P$200,V91)="","",INDEX('Input Contact Information'!$P$2:$P$200,V91))))</f>
        <v/>
      </c>
      <c r="V91" s="1" t="str">
        <f>IF(B91="","",IFERROR(MATCH(B91&amp;"|"&amp;C91,'Input Contact Information'!$W$2:$W$200,0),""))</f>
        <v/>
      </c>
      <c r="W91" s="1" t="str">
        <f>IF(C91="","",IFERROR(MATCH(C91,'Accounts Overview'!$B$2:$B$100,0),""))</f>
        <v/>
      </c>
      <c r="X91" s="1" t="str">
        <f>IF(A91="","",IFERROR(MATCH(A91,'Engagements Overview'!$B$2:$B$200,0),""))</f>
        <v/>
      </c>
    </row>
    <row r="92" spans="1:24" ht="15" customHeight="1" x14ac:dyDescent="0.35">
      <c r="A92" s="13" t="str">
        <f t="shared" si="4"/>
        <v/>
      </c>
      <c r="B92" s="1" t="str">
        <f>IFERROR(INDEX('Input Contact Information'!$C$2:$C$200,MATCH(ROW()-1,'Input Contact Information'!$V$2:$V$200,0)),"")</f>
        <v/>
      </c>
      <c r="C92" s="1" t="str">
        <f>IFERROR(INDEX('Input Contact Information'!$B$2:$B$200,MATCH(ROW()-1,'Input Contact Information'!$V$2:$V$200,0)),"")</f>
        <v/>
      </c>
      <c r="D92" s="1" t="str">
        <f>IF($B92="","",IF(W92="","",INDEX('Accounts Overview'!$A$2:$A$100,W92)))</f>
        <v/>
      </c>
      <c r="E92" s="1" t="str">
        <f>IF($B92="","",IF(V92="","",IF(INDEX('Input Contact Information'!$D$2:$D$200,V92)="","",INDEX('Input Contact Information'!$D$2:$D$200,V92))))</f>
        <v/>
      </c>
      <c r="F92" s="1" t="str">
        <f>IF($B92="","",IF(V92="","",IF(INDEX('Input Contact Information'!$F$2:$F$200,V92)="","",INDEX('Input Contact Information'!$F$2:$F$200,V92))))</f>
        <v/>
      </c>
      <c r="G92" s="1" t="str">
        <f>IF($B92="","",IF(V92="","",IF(INDEX('Input Contact Information'!$E$2:$E$200,V92)="","",INDEX('Input Contact Information'!$E$2:$E$200,V92))))</f>
        <v/>
      </c>
      <c r="H92" s="1" t="str">
        <f>IF($B92="","",IF(V92="","",IF(INDEX('Input Contact Information'!$G$2:$G$200,V92)="","",INDEX('Input Contact Information'!$G$2:$G$200,V92))))</f>
        <v/>
      </c>
      <c r="I92" s="1" t="str">
        <f>IF($B92="","",IF(V92="","",IF(INDEX('Input Contact Information'!$H$2:$H$200,V92)="","",INDEX('Input Contact Information'!$H$2:$H$200,V92))))</f>
        <v/>
      </c>
      <c r="J92" s="1" t="str">
        <f>IF($B92="","",IF(V92="","",IF(INDEX('Input Contact Information'!$I$2:$I$200,V92)="","",INDEX('Input Contact Information'!$I$2:$I$200,V92))))</f>
        <v/>
      </c>
      <c r="K92" s="1" t="str">
        <f>IF($B92="","",IF(V92="","",IF(INDEX('Input Contact Information'!$A$2:$A$200,V92)="","",INDEX('Input Contact Information'!$A$2:$A$200,V92))))</f>
        <v/>
      </c>
      <c r="L92" s="1" t="str">
        <f>IF($B92="","",IF(W92="","",IF(INDEX('Accounts Overview'!$I$2:$I$100,W92)="","",INDEX('Accounts Overview'!$I$2:$I$100,W92))))</f>
        <v/>
      </c>
      <c r="M92" s="1" t="str">
        <f>IF($B92="","",IF(V92="","",IF(INDEX('Input Contact Information'!$J$2:$J$200,V92)="","",INDEX('Input Contact Information'!$J$2:$J$200,V92))))</f>
        <v/>
      </c>
      <c r="N92" s="1" t="str">
        <f>IF($B92="","",IF(V92="","",IF(INDEX('Input Contact Information'!$K$2:$K$200,V92)="","",INDEX('Input Contact Information'!$K$2:$K$200,V92))))</f>
        <v/>
      </c>
      <c r="O92" s="1" t="str">
        <f>IF($B92="","",IF(V92="","",IF(INDEX('Input Contact Information'!$L$2:$L$200,V92)="","",INDEX('Input Contact Information'!$L$2:$L$200,V92))))</f>
        <v/>
      </c>
      <c r="P92" s="1" t="str">
        <f>IF($B92="","",IF((IF(V92="","",IF(INDEX('Input Contact Information'!$N$2:$N$200,V92)="","",INDEX('Input Contact Information'!$N$2:$N$200,V92))))&lt;&gt;"",IF(V92="","",IF(INDEX('Input Contact Information'!$N$2:$N$200,V92)="","",INDEX('Input Contact Information'!$N$2:$N$200,V92))),IF(V92="","",IF(INDEX('Input Contact Information'!$M$2:$M$200,V92)="","",INDEX('Input Contact Information'!$M$2:$M$200,V92)))))</f>
        <v/>
      </c>
      <c r="Q92" s="1" t="str">
        <f t="shared" si="5"/>
        <v/>
      </c>
      <c r="R92" s="1" t="str">
        <f>IF($B92="","",IF(X92="","",IF(INDEX('Engagements Overview'!$I$2:$I$200,X92)="","",INDEX('Engagements Overview'!$I$2:$I$200,X92))))</f>
        <v/>
      </c>
      <c r="S92" s="14" t="str">
        <f>IF($B92="","",IF(X92="","",IF(INDEX('Engagements Overview'!$K$2:$K$200,X92)="","",INDEX('Engagements Overview'!$K$2:$K$200,X92))))</f>
        <v/>
      </c>
      <c r="T92" s="1" t="str">
        <f>IF($B92="","",IF(V92="","",IF(INDEX('Input Contact Information'!$O$2:$O$200,V92)="","",INDEX('Input Contact Information'!$O$2:$O$200,V92))))</f>
        <v/>
      </c>
      <c r="U92" s="1" t="str">
        <f>IF($B92="","",IF(V92="","",IF(INDEX('Input Contact Information'!$P$2:$P$200,V92)="","",INDEX('Input Contact Information'!$P$2:$P$200,V92))))</f>
        <v/>
      </c>
      <c r="V92" s="1" t="str">
        <f>IF(B92="","",IFERROR(MATCH(B92&amp;"|"&amp;C92,'Input Contact Information'!$W$2:$W$200,0),""))</f>
        <v/>
      </c>
      <c r="W92" s="1" t="str">
        <f>IF(C92="","",IFERROR(MATCH(C92,'Accounts Overview'!$B$2:$B$100,0),""))</f>
        <v/>
      </c>
      <c r="X92" s="1" t="str">
        <f>IF(A92="","",IFERROR(MATCH(A92,'Engagements Overview'!$B$2:$B$200,0),""))</f>
        <v/>
      </c>
    </row>
    <row r="93" spans="1:24" ht="15" customHeight="1" x14ac:dyDescent="0.35">
      <c r="A93" s="13" t="str">
        <f t="shared" si="4"/>
        <v/>
      </c>
      <c r="B93" s="1" t="str">
        <f>IFERROR(INDEX('Input Contact Information'!$C$2:$C$200,MATCH(ROW()-1,'Input Contact Information'!$V$2:$V$200,0)),"")</f>
        <v/>
      </c>
      <c r="C93" s="1" t="str">
        <f>IFERROR(INDEX('Input Contact Information'!$B$2:$B$200,MATCH(ROW()-1,'Input Contact Information'!$V$2:$V$200,0)),"")</f>
        <v/>
      </c>
      <c r="D93" s="1" t="str">
        <f>IF($B93="","",IF(W93="","",INDEX('Accounts Overview'!$A$2:$A$100,W93)))</f>
        <v/>
      </c>
      <c r="E93" s="1" t="str">
        <f>IF($B93="","",IF(V93="","",IF(INDEX('Input Contact Information'!$D$2:$D$200,V93)="","",INDEX('Input Contact Information'!$D$2:$D$200,V93))))</f>
        <v/>
      </c>
      <c r="F93" s="1" t="str">
        <f>IF($B93="","",IF(V93="","",IF(INDEX('Input Contact Information'!$F$2:$F$200,V93)="","",INDEX('Input Contact Information'!$F$2:$F$200,V93))))</f>
        <v/>
      </c>
      <c r="G93" s="1" t="str">
        <f>IF($B93="","",IF(V93="","",IF(INDEX('Input Contact Information'!$E$2:$E$200,V93)="","",INDEX('Input Contact Information'!$E$2:$E$200,V93))))</f>
        <v/>
      </c>
      <c r="H93" s="1" t="str">
        <f>IF($B93="","",IF(V93="","",IF(INDEX('Input Contact Information'!$G$2:$G$200,V93)="","",INDEX('Input Contact Information'!$G$2:$G$200,V93))))</f>
        <v/>
      </c>
      <c r="I93" s="1" t="str">
        <f>IF($B93="","",IF(V93="","",IF(INDEX('Input Contact Information'!$H$2:$H$200,V93)="","",INDEX('Input Contact Information'!$H$2:$H$200,V93))))</f>
        <v/>
      </c>
      <c r="J93" s="1" t="str">
        <f>IF($B93="","",IF(V93="","",IF(INDEX('Input Contact Information'!$I$2:$I$200,V93)="","",INDEX('Input Contact Information'!$I$2:$I$200,V93))))</f>
        <v/>
      </c>
      <c r="K93" s="1" t="str">
        <f>IF($B93="","",IF(V93="","",IF(INDEX('Input Contact Information'!$A$2:$A$200,V93)="","",INDEX('Input Contact Information'!$A$2:$A$200,V93))))</f>
        <v/>
      </c>
      <c r="L93" s="1" t="str">
        <f>IF($B93="","",IF(W93="","",IF(INDEX('Accounts Overview'!$I$2:$I$100,W93)="","",INDEX('Accounts Overview'!$I$2:$I$100,W93))))</f>
        <v/>
      </c>
      <c r="M93" s="1" t="str">
        <f>IF($B93="","",IF(V93="","",IF(INDEX('Input Contact Information'!$J$2:$J$200,V93)="","",INDEX('Input Contact Information'!$J$2:$J$200,V93))))</f>
        <v/>
      </c>
      <c r="N93" s="1" t="str">
        <f>IF($B93="","",IF(V93="","",IF(INDEX('Input Contact Information'!$K$2:$K$200,V93)="","",INDEX('Input Contact Information'!$K$2:$K$200,V93))))</f>
        <v/>
      </c>
      <c r="O93" s="1" t="str">
        <f>IF($B93="","",IF(V93="","",IF(INDEX('Input Contact Information'!$L$2:$L$200,V93)="","",INDEX('Input Contact Information'!$L$2:$L$200,V93))))</f>
        <v/>
      </c>
      <c r="P93" s="1" t="str">
        <f>IF($B93="","",IF((IF(V93="","",IF(INDEX('Input Contact Information'!$N$2:$N$200,V93)="","",INDEX('Input Contact Information'!$N$2:$N$200,V93))))&lt;&gt;"",IF(V93="","",IF(INDEX('Input Contact Information'!$N$2:$N$200,V93)="","",INDEX('Input Contact Information'!$N$2:$N$200,V93))),IF(V93="","",IF(INDEX('Input Contact Information'!$M$2:$M$200,V93)="","",INDEX('Input Contact Information'!$M$2:$M$200,V93)))))</f>
        <v/>
      </c>
      <c r="Q93" s="1" t="str">
        <f t="shared" si="5"/>
        <v/>
      </c>
      <c r="R93" s="1" t="str">
        <f>IF($B93="","",IF(X93="","",IF(INDEX('Engagements Overview'!$I$2:$I$200,X93)="","",INDEX('Engagements Overview'!$I$2:$I$200,X93))))</f>
        <v/>
      </c>
      <c r="S93" s="14" t="str">
        <f>IF($B93="","",IF(X93="","",IF(INDEX('Engagements Overview'!$K$2:$K$200,X93)="","",INDEX('Engagements Overview'!$K$2:$K$200,X93))))</f>
        <v/>
      </c>
      <c r="T93" s="1" t="str">
        <f>IF($B93="","",IF(V93="","",IF(INDEX('Input Contact Information'!$O$2:$O$200,V93)="","",INDEX('Input Contact Information'!$O$2:$O$200,V93))))</f>
        <v/>
      </c>
      <c r="U93" s="1" t="str">
        <f>IF($B93="","",IF(V93="","",IF(INDEX('Input Contact Information'!$P$2:$P$200,V93)="","",INDEX('Input Contact Information'!$P$2:$P$200,V93))))</f>
        <v/>
      </c>
      <c r="V93" s="1" t="str">
        <f>IF(B93="","",IFERROR(MATCH(B93&amp;"|"&amp;C93,'Input Contact Information'!$W$2:$W$200,0),""))</f>
        <v/>
      </c>
      <c r="W93" s="1" t="str">
        <f>IF(C93="","",IFERROR(MATCH(C93,'Accounts Overview'!$B$2:$B$100,0),""))</f>
        <v/>
      </c>
      <c r="X93" s="1" t="str">
        <f>IF(A93="","",IFERROR(MATCH(A93,'Engagements Overview'!$B$2:$B$200,0),""))</f>
        <v/>
      </c>
    </row>
    <row r="94" spans="1:24" ht="15" customHeight="1" x14ac:dyDescent="0.35">
      <c r="A94" s="13" t="str">
        <f t="shared" si="4"/>
        <v/>
      </c>
      <c r="B94" s="1" t="str">
        <f>IFERROR(INDEX('Input Contact Information'!$C$2:$C$200,MATCH(ROW()-1,'Input Contact Information'!$V$2:$V$200,0)),"")</f>
        <v/>
      </c>
      <c r="C94" s="1" t="str">
        <f>IFERROR(INDEX('Input Contact Information'!$B$2:$B$200,MATCH(ROW()-1,'Input Contact Information'!$V$2:$V$200,0)),"")</f>
        <v/>
      </c>
      <c r="D94" s="1" t="str">
        <f>IF($B94="","",IF(W94="","",INDEX('Accounts Overview'!$A$2:$A$100,W94)))</f>
        <v/>
      </c>
      <c r="E94" s="1" t="str">
        <f>IF($B94="","",IF(V94="","",IF(INDEX('Input Contact Information'!$D$2:$D$200,V94)="","",INDEX('Input Contact Information'!$D$2:$D$200,V94))))</f>
        <v/>
      </c>
      <c r="F94" s="1" t="str">
        <f>IF($B94="","",IF(V94="","",IF(INDEX('Input Contact Information'!$F$2:$F$200,V94)="","",INDEX('Input Contact Information'!$F$2:$F$200,V94))))</f>
        <v/>
      </c>
      <c r="G94" s="1" t="str">
        <f>IF($B94="","",IF(V94="","",IF(INDEX('Input Contact Information'!$E$2:$E$200,V94)="","",INDEX('Input Contact Information'!$E$2:$E$200,V94))))</f>
        <v/>
      </c>
      <c r="H94" s="1" t="str">
        <f>IF($B94="","",IF(V94="","",IF(INDEX('Input Contact Information'!$G$2:$G$200,V94)="","",INDEX('Input Contact Information'!$G$2:$G$200,V94))))</f>
        <v/>
      </c>
      <c r="I94" s="1" t="str">
        <f>IF($B94="","",IF(V94="","",IF(INDEX('Input Contact Information'!$H$2:$H$200,V94)="","",INDEX('Input Contact Information'!$H$2:$H$200,V94))))</f>
        <v/>
      </c>
      <c r="J94" s="1" t="str">
        <f>IF($B94="","",IF(V94="","",IF(INDEX('Input Contact Information'!$I$2:$I$200,V94)="","",INDEX('Input Contact Information'!$I$2:$I$200,V94))))</f>
        <v/>
      </c>
      <c r="K94" s="1" t="str">
        <f>IF($B94="","",IF(V94="","",IF(INDEX('Input Contact Information'!$A$2:$A$200,V94)="","",INDEX('Input Contact Information'!$A$2:$A$200,V94))))</f>
        <v/>
      </c>
      <c r="L94" s="1" t="str">
        <f>IF($B94="","",IF(W94="","",IF(INDEX('Accounts Overview'!$I$2:$I$100,W94)="","",INDEX('Accounts Overview'!$I$2:$I$100,W94))))</f>
        <v/>
      </c>
      <c r="M94" s="1" t="str">
        <f>IF($B94="","",IF(V94="","",IF(INDEX('Input Contact Information'!$J$2:$J$200,V94)="","",INDEX('Input Contact Information'!$J$2:$J$200,V94))))</f>
        <v/>
      </c>
      <c r="N94" s="1" t="str">
        <f>IF($B94="","",IF(V94="","",IF(INDEX('Input Contact Information'!$K$2:$K$200,V94)="","",INDEX('Input Contact Information'!$K$2:$K$200,V94))))</f>
        <v/>
      </c>
      <c r="O94" s="1" t="str">
        <f>IF($B94="","",IF(V94="","",IF(INDEX('Input Contact Information'!$L$2:$L$200,V94)="","",INDEX('Input Contact Information'!$L$2:$L$200,V94))))</f>
        <v/>
      </c>
      <c r="P94" s="1" t="str">
        <f>IF($B94="","",IF((IF(V94="","",IF(INDEX('Input Contact Information'!$N$2:$N$200,V94)="","",INDEX('Input Contact Information'!$N$2:$N$200,V94))))&lt;&gt;"",IF(V94="","",IF(INDEX('Input Contact Information'!$N$2:$N$200,V94)="","",INDEX('Input Contact Information'!$N$2:$N$200,V94))),IF(V94="","",IF(INDEX('Input Contact Information'!$M$2:$M$200,V94)="","",INDEX('Input Contact Information'!$M$2:$M$200,V94)))))</f>
        <v/>
      </c>
      <c r="Q94" s="1" t="str">
        <f t="shared" si="5"/>
        <v/>
      </c>
      <c r="R94" s="1" t="str">
        <f>IF($B94="","",IF(X94="","",IF(INDEX('Engagements Overview'!$I$2:$I$200,X94)="","",INDEX('Engagements Overview'!$I$2:$I$200,X94))))</f>
        <v/>
      </c>
      <c r="S94" s="14" t="str">
        <f>IF($B94="","",IF(X94="","",IF(INDEX('Engagements Overview'!$K$2:$K$200,X94)="","",INDEX('Engagements Overview'!$K$2:$K$200,X94))))</f>
        <v/>
      </c>
      <c r="T94" s="1" t="str">
        <f>IF($B94="","",IF(V94="","",IF(INDEX('Input Contact Information'!$O$2:$O$200,V94)="","",INDEX('Input Contact Information'!$O$2:$O$200,V94))))</f>
        <v/>
      </c>
      <c r="U94" s="1" t="str">
        <f>IF($B94="","",IF(V94="","",IF(INDEX('Input Contact Information'!$P$2:$P$200,V94)="","",INDEX('Input Contact Information'!$P$2:$P$200,V94))))</f>
        <v/>
      </c>
      <c r="V94" s="1" t="str">
        <f>IF(B94="","",IFERROR(MATCH(B94&amp;"|"&amp;C94,'Input Contact Information'!$W$2:$W$200,0),""))</f>
        <v/>
      </c>
      <c r="W94" s="1" t="str">
        <f>IF(C94="","",IFERROR(MATCH(C94,'Accounts Overview'!$B$2:$B$100,0),""))</f>
        <v/>
      </c>
      <c r="X94" s="1" t="str">
        <f>IF(A94="","",IFERROR(MATCH(A94,'Engagements Overview'!$B$2:$B$200,0),""))</f>
        <v/>
      </c>
    </row>
    <row r="95" spans="1:24" ht="15" customHeight="1" x14ac:dyDescent="0.35">
      <c r="A95" s="13" t="str">
        <f t="shared" si="4"/>
        <v/>
      </c>
      <c r="B95" s="1" t="str">
        <f>IFERROR(INDEX('Input Contact Information'!$C$2:$C$200,MATCH(ROW()-1,'Input Contact Information'!$V$2:$V$200,0)),"")</f>
        <v/>
      </c>
      <c r="C95" s="1" t="str">
        <f>IFERROR(INDEX('Input Contact Information'!$B$2:$B$200,MATCH(ROW()-1,'Input Contact Information'!$V$2:$V$200,0)),"")</f>
        <v/>
      </c>
      <c r="D95" s="1" t="str">
        <f>IF($B95="","",IF(W95="","",INDEX('Accounts Overview'!$A$2:$A$100,W95)))</f>
        <v/>
      </c>
      <c r="E95" s="1" t="str">
        <f>IF($B95="","",IF(V95="","",IF(INDEX('Input Contact Information'!$D$2:$D$200,V95)="","",INDEX('Input Contact Information'!$D$2:$D$200,V95))))</f>
        <v/>
      </c>
      <c r="F95" s="1" t="str">
        <f>IF($B95="","",IF(V95="","",IF(INDEX('Input Contact Information'!$F$2:$F$200,V95)="","",INDEX('Input Contact Information'!$F$2:$F$200,V95))))</f>
        <v/>
      </c>
      <c r="G95" s="1" t="str">
        <f>IF($B95="","",IF(V95="","",IF(INDEX('Input Contact Information'!$E$2:$E$200,V95)="","",INDEX('Input Contact Information'!$E$2:$E$200,V95))))</f>
        <v/>
      </c>
      <c r="H95" s="1" t="str">
        <f>IF($B95="","",IF(V95="","",IF(INDEX('Input Contact Information'!$G$2:$G$200,V95)="","",INDEX('Input Contact Information'!$G$2:$G$200,V95))))</f>
        <v/>
      </c>
      <c r="I95" s="1" t="str">
        <f>IF($B95="","",IF(V95="","",IF(INDEX('Input Contact Information'!$H$2:$H$200,V95)="","",INDEX('Input Contact Information'!$H$2:$H$200,V95))))</f>
        <v/>
      </c>
      <c r="J95" s="1" t="str">
        <f>IF($B95="","",IF(V95="","",IF(INDEX('Input Contact Information'!$I$2:$I$200,V95)="","",INDEX('Input Contact Information'!$I$2:$I$200,V95))))</f>
        <v/>
      </c>
      <c r="K95" s="1" t="str">
        <f>IF($B95="","",IF(V95="","",IF(INDEX('Input Contact Information'!$A$2:$A$200,V95)="","",INDEX('Input Contact Information'!$A$2:$A$200,V95))))</f>
        <v/>
      </c>
      <c r="L95" s="1" t="str">
        <f>IF($B95="","",IF(W95="","",IF(INDEX('Accounts Overview'!$I$2:$I$100,W95)="","",INDEX('Accounts Overview'!$I$2:$I$100,W95))))</f>
        <v/>
      </c>
      <c r="M95" s="1" t="str">
        <f>IF($B95="","",IF(V95="","",IF(INDEX('Input Contact Information'!$J$2:$J$200,V95)="","",INDEX('Input Contact Information'!$J$2:$J$200,V95))))</f>
        <v/>
      </c>
      <c r="N95" s="1" t="str">
        <f>IF($B95="","",IF(V95="","",IF(INDEX('Input Contact Information'!$K$2:$K$200,V95)="","",INDEX('Input Contact Information'!$K$2:$K$200,V95))))</f>
        <v/>
      </c>
      <c r="O95" s="1" t="str">
        <f>IF($B95="","",IF(V95="","",IF(INDEX('Input Contact Information'!$L$2:$L$200,V95)="","",INDEX('Input Contact Information'!$L$2:$L$200,V95))))</f>
        <v/>
      </c>
      <c r="P95" s="1" t="str">
        <f>IF($B95="","",IF((IF(V95="","",IF(INDEX('Input Contact Information'!$N$2:$N$200,V95)="","",INDEX('Input Contact Information'!$N$2:$N$200,V95))))&lt;&gt;"",IF(V95="","",IF(INDEX('Input Contact Information'!$N$2:$N$200,V95)="","",INDEX('Input Contact Information'!$N$2:$N$200,V95))),IF(V95="","",IF(INDEX('Input Contact Information'!$M$2:$M$200,V95)="","",INDEX('Input Contact Information'!$M$2:$M$200,V95)))))</f>
        <v/>
      </c>
      <c r="Q95" s="1" t="str">
        <f t="shared" si="5"/>
        <v/>
      </c>
      <c r="R95" s="1" t="str">
        <f>IF($B95="","",IF(X95="","",IF(INDEX('Engagements Overview'!$I$2:$I$200,X95)="","",INDEX('Engagements Overview'!$I$2:$I$200,X95))))</f>
        <v/>
      </c>
      <c r="S95" s="14" t="str">
        <f>IF($B95="","",IF(X95="","",IF(INDEX('Engagements Overview'!$K$2:$K$200,X95)="","",INDEX('Engagements Overview'!$K$2:$K$200,X95))))</f>
        <v/>
      </c>
      <c r="T95" s="1" t="str">
        <f>IF($B95="","",IF(V95="","",IF(INDEX('Input Contact Information'!$O$2:$O$200,V95)="","",INDEX('Input Contact Information'!$O$2:$O$200,V95))))</f>
        <v/>
      </c>
      <c r="U95" s="1" t="str">
        <f>IF($B95="","",IF(V95="","",IF(INDEX('Input Contact Information'!$P$2:$P$200,V95)="","",INDEX('Input Contact Information'!$P$2:$P$200,V95))))</f>
        <v/>
      </c>
      <c r="V95" s="1" t="str">
        <f>IF(B95="","",IFERROR(MATCH(B95&amp;"|"&amp;C95,'Input Contact Information'!$W$2:$W$200,0),""))</f>
        <v/>
      </c>
      <c r="W95" s="1" t="str">
        <f>IF(C95="","",IFERROR(MATCH(C95,'Accounts Overview'!$B$2:$B$100,0),""))</f>
        <v/>
      </c>
      <c r="X95" s="1" t="str">
        <f>IF(A95="","",IFERROR(MATCH(A95,'Engagements Overview'!$B$2:$B$200,0),""))</f>
        <v/>
      </c>
    </row>
    <row r="96" spans="1:24" ht="15" customHeight="1" x14ac:dyDescent="0.35">
      <c r="A96" s="13" t="str">
        <f t="shared" si="4"/>
        <v/>
      </c>
      <c r="B96" s="1" t="str">
        <f>IFERROR(INDEX('Input Contact Information'!$C$2:$C$200,MATCH(ROW()-1,'Input Contact Information'!$V$2:$V$200,0)),"")</f>
        <v/>
      </c>
      <c r="C96" s="1" t="str">
        <f>IFERROR(INDEX('Input Contact Information'!$B$2:$B$200,MATCH(ROW()-1,'Input Contact Information'!$V$2:$V$200,0)),"")</f>
        <v/>
      </c>
      <c r="D96" s="1" t="str">
        <f>IF($B96="","",IF(W96="","",INDEX('Accounts Overview'!$A$2:$A$100,W96)))</f>
        <v/>
      </c>
      <c r="E96" s="1" t="str">
        <f>IF($B96="","",IF(V96="","",IF(INDEX('Input Contact Information'!$D$2:$D$200,V96)="","",INDEX('Input Contact Information'!$D$2:$D$200,V96))))</f>
        <v/>
      </c>
      <c r="F96" s="1" t="str">
        <f>IF($B96="","",IF(V96="","",IF(INDEX('Input Contact Information'!$F$2:$F$200,V96)="","",INDEX('Input Contact Information'!$F$2:$F$200,V96))))</f>
        <v/>
      </c>
      <c r="G96" s="1" t="str">
        <f>IF($B96="","",IF(V96="","",IF(INDEX('Input Contact Information'!$E$2:$E$200,V96)="","",INDEX('Input Contact Information'!$E$2:$E$200,V96))))</f>
        <v/>
      </c>
      <c r="H96" s="1" t="str">
        <f>IF($B96="","",IF(V96="","",IF(INDEX('Input Contact Information'!$G$2:$G$200,V96)="","",INDEX('Input Contact Information'!$G$2:$G$200,V96))))</f>
        <v/>
      </c>
      <c r="I96" s="1" t="str">
        <f>IF($B96="","",IF(V96="","",IF(INDEX('Input Contact Information'!$H$2:$H$200,V96)="","",INDEX('Input Contact Information'!$H$2:$H$200,V96))))</f>
        <v/>
      </c>
      <c r="J96" s="1" t="str">
        <f>IF($B96="","",IF(V96="","",IF(INDEX('Input Contact Information'!$I$2:$I$200,V96)="","",INDEX('Input Contact Information'!$I$2:$I$200,V96))))</f>
        <v/>
      </c>
      <c r="K96" s="1" t="str">
        <f>IF($B96="","",IF(V96="","",IF(INDEX('Input Contact Information'!$A$2:$A$200,V96)="","",INDEX('Input Contact Information'!$A$2:$A$200,V96))))</f>
        <v/>
      </c>
      <c r="L96" s="1" t="str">
        <f>IF($B96="","",IF(W96="","",IF(INDEX('Accounts Overview'!$I$2:$I$100,W96)="","",INDEX('Accounts Overview'!$I$2:$I$100,W96))))</f>
        <v/>
      </c>
      <c r="M96" s="1" t="str">
        <f>IF($B96="","",IF(V96="","",IF(INDEX('Input Contact Information'!$J$2:$J$200,V96)="","",INDEX('Input Contact Information'!$J$2:$J$200,V96))))</f>
        <v/>
      </c>
      <c r="N96" s="1" t="str">
        <f>IF($B96="","",IF(V96="","",IF(INDEX('Input Contact Information'!$K$2:$K$200,V96)="","",INDEX('Input Contact Information'!$K$2:$K$200,V96))))</f>
        <v/>
      </c>
      <c r="O96" s="1" t="str">
        <f>IF($B96="","",IF(V96="","",IF(INDEX('Input Contact Information'!$L$2:$L$200,V96)="","",INDEX('Input Contact Information'!$L$2:$L$200,V96))))</f>
        <v/>
      </c>
      <c r="P96" s="1" t="str">
        <f>IF($B96="","",IF((IF(V96="","",IF(INDEX('Input Contact Information'!$N$2:$N$200,V96)="","",INDEX('Input Contact Information'!$N$2:$N$200,V96))))&lt;&gt;"",IF(V96="","",IF(INDEX('Input Contact Information'!$N$2:$N$200,V96)="","",INDEX('Input Contact Information'!$N$2:$N$200,V96))),IF(V96="","",IF(INDEX('Input Contact Information'!$M$2:$M$200,V96)="","",INDEX('Input Contact Information'!$M$2:$M$200,V96)))))</f>
        <v/>
      </c>
      <c r="Q96" s="1" t="str">
        <f t="shared" si="5"/>
        <v/>
      </c>
      <c r="R96" s="1" t="str">
        <f>IF($B96="","",IF(X96="","",IF(INDEX('Engagements Overview'!$I$2:$I$200,X96)="","",INDEX('Engagements Overview'!$I$2:$I$200,X96))))</f>
        <v/>
      </c>
      <c r="S96" s="14" t="str">
        <f>IF($B96="","",IF(X96="","",IF(INDEX('Engagements Overview'!$K$2:$K$200,X96)="","",INDEX('Engagements Overview'!$K$2:$K$200,X96))))</f>
        <v/>
      </c>
      <c r="T96" s="1" t="str">
        <f>IF($B96="","",IF(V96="","",IF(INDEX('Input Contact Information'!$O$2:$O$200,V96)="","",INDEX('Input Contact Information'!$O$2:$O$200,V96))))</f>
        <v/>
      </c>
      <c r="U96" s="1" t="str">
        <f>IF($B96="","",IF(V96="","",IF(INDEX('Input Contact Information'!$P$2:$P$200,V96)="","",INDEX('Input Contact Information'!$P$2:$P$200,V96))))</f>
        <v/>
      </c>
      <c r="V96" s="1" t="str">
        <f>IF(B96="","",IFERROR(MATCH(B96&amp;"|"&amp;C96,'Input Contact Information'!$W$2:$W$200,0),""))</f>
        <v/>
      </c>
      <c r="W96" s="1" t="str">
        <f>IF(C96="","",IFERROR(MATCH(C96,'Accounts Overview'!$B$2:$B$100,0),""))</f>
        <v/>
      </c>
      <c r="X96" s="1" t="str">
        <f>IF(A96="","",IFERROR(MATCH(A96,'Engagements Overview'!$B$2:$B$200,0),""))</f>
        <v/>
      </c>
    </row>
    <row r="97" spans="1:24" ht="15" customHeight="1" x14ac:dyDescent="0.35">
      <c r="A97" s="13" t="str">
        <f t="shared" si="4"/>
        <v/>
      </c>
      <c r="B97" s="1" t="str">
        <f>IFERROR(INDEX('Input Contact Information'!$C$2:$C$200,MATCH(ROW()-1,'Input Contact Information'!$V$2:$V$200,0)),"")</f>
        <v/>
      </c>
      <c r="C97" s="1" t="str">
        <f>IFERROR(INDEX('Input Contact Information'!$B$2:$B$200,MATCH(ROW()-1,'Input Contact Information'!$V$2:$V$200,0)),"")</f>
        <v/>
      </c>
      <c r="D97" s="1" t="str">
        <f>IF($B97="","",IF(W97="","",INDEX('Accounts Overview'!$A$2:$A$100,W97)))</f>
        <v/>
      </c>
      <c r="E97" s="1" t="str">
        <f>IF($B97="","",IF(V97="","",IF(INDEX('Input Contact Information'!$D$2:$D$200,V97)="","",INDEX('Input Contact Information'!$D$2:$D$200,V97))))</f>
        <v/>
      </c>
      <c r="F97" s="1" t="str">
        <f>IF($B97="","",IF(V97="","",IF(INDEX('Input Contact Information'!$F$2:$F$200,V97)="","",INDEX('Input Contact Information'!$F$2:$F$200,V97))))</f>
        <v/>
      </c>
      <c r="G97" s="1" t="str">
        <f>IF($B97="","",IF(V97="","",IF(INDEX('Input Contact Information'!$E$2:$E$200,V97)="","",INDEX('Input Contact Information'!$E$2:$E$200,V97))))</f>
        <v/>
      </c>
      <c r="H97" s="1" t="str">
        <f>IF($B97="","",IF(V97="","",IF(INDEX('Input Contact Information'!$G$2:$G$200,V97)="","",INDEX('Input Contact Information'!$G$2:$G$200,V97))))</f>
        <v/>
      </c>
      <c r="I97" s="1" t="str">
        <f>IF($B97="","",IF(V97="","",IF(INDEX('Input Contact Information'!$H$2:$H$200,V97)="","",INDEX('Input Contact Information'!$H$2:$H$200,V97))))</f>
        <v/>
      </c>
      <c r="J97" s="1" t="str">
        <f>IF($B97="","",IF(V97="","",IF(INDEX('Input Contact Information'!$I$2:$I$200,V97)="","",INDEX('Input Contact Information'!$I$2:$I$200,V97))))</f>
        <v/>
      </c>
      <c r="K97" s="1" t="str">
        <f>IF($B97="","",IF(V97="","",IF(INDEX('Input Contact Information'!$A$2:$A$200,V97)="","",INDEX('Input Contact Information'!$A$2:$A$200,V97))))</f>
        <v/>
      </c>
      <c r="L97" s="1" t="str">
        <f>IF($B97="","",IF(W97="","",IF(INDEX('Accounts Overview'!$I$2:$I$100,W97)="","",INDEX('Accounts Overview'!$I$2:$I$100,W97))))</f>
        <v/>
      </c>
      <c r="M97" s="1" t="str">
        <f>IF($B97="","",IF(V97="","",IF(INDEX('Input Contact Information'!$J$2:$J$200,V97)="","",INDEX('Input Contact Information'!$J$2:$J$200,V97))))</f>
        <v/>
      </c>
      <c r="N97" s="1" t="str">
        <f>IF($B97="","",IF(V97="","",IF(INDEX('Input Contact Information'!$K$2:$K$200,V97)="","",INDEX('Input Contact Information'!$K$2:$K$200,V97))))</f>
        <v/>
      </c>
      <c r="O97" s="1" t="str">
        <f>IF($B97="","",IF(V97="","",IF(INDEX('Input Contact Information'!$L$2:$L$200,V97)="","",INDEX('Input Contact Information'!$L$2:$L$200,V97))))</f>
        <v/>
      </c>
      <c r="P97" s="1" t="str">
        <f>IF($B97="","",IF((IF(V97="","",IF(INDEX('Input Contact Information'!$N$2:$N$200,V97)="","",INDEX('Input Contact Information'!$N$2:$N$200,V97))))&lt;&gt;"",IF(V97="","",IF(INDEX('Input Contact Information'!$N$2:$N$200,V97)="","",INDEX('Input Contact Information'!$N$2:$N$200,V97))),IF(V97="","",IF(INDEX('Input Contact Information'!$M$2:$M$200,V97)="","",INDEX('Input Contact Information'!$M$2:$M$200,V97)))))</f>
        <v/>
      </c>
      <c r="Q97" s="1" t="str">
        <f t="shared" si="5"/>
        <v/>
      </c>
      <c r="R97" s="1" t="str">
        <f>IF($B97="","",IF(X97="","",IF(INDEX('Engagements Overview'!$I$2:$I$200,X97)="","",INDEX('Engagements Overview'!$I$2:$I$200,X97))))</f>
        <v/>
      </c>
      <c r="S97" s="14" t="str">
        <f>IF($B97="","",IF(X97="","",IF(INDEX('Engagements Overview'!$K$2:$K$200,X97)="","",INDEX('Engagements Overview'!$K$2:$K$200,X97))))</f>
        <v/>
      </c>
      <c r="T97" s="1" t="str">
        <f>IF($B97="","",IF(V97="","",IF(INDEX('Input Contact Information'!$O$2:$O$200,V97)="","",INDEX('Input Contact Information'!$O$2:$O$200,V97))))</f>
        <v/>
      </c>
      <c r="U97" s="1" t="str">
        <f>IF($B97="","",IF(V97="","",IF(INDEX('Input Contact Information'!$P$2:$P$200,V97)="","",INDEX('Input Contact Information'!$P$2:$P$200,V97))))</f>
        <v/>
      </c>
      <c r="V97" s="1" t="str">
        <f>IF(B97="","",IFERROR(MATCH(B97&amp;"|"&amp;C97,'Input Contact Information'!$W$2:$W$200,0),""))</f>
        <v/>
      </c>
      <c r="W97" s="1" t="str">
        <f>IF(C97="","",IFERROR(MATCH(C97,'Accounts Overview'!$B$2:$B$100,0),""))</f>
        <v/>
      </c>
      <c r="X97" s="1" t="str">
        <f>IF(A97="","",IFERROR(MATCH(A97,'Engagements Overview'!$B$2:$B$200,0),""))</f>
        <v/>
      </c>
    </row>
    <row r="98" spans="1:24" ht="15" customHeight="1" x14ac:dyDescent="0.35">
      <c r="A98" s="13" t="str">
        <f t="shared" ref="A98:A129" si="6">IF(B98="","","CON"&amp;TEXT(ROW()-1,"0000"))</f>
        <v/>
      </c>
      <c r="B98" s="1" t="str">
        <f>IFERROR(INDEX('Input Contact Information'!$C$2:$C$200,MATCH(ROW()-1,'Input Contact Information'!$V$2:$V$200,0)),"")</f>
        <v/>
      </c>
      <c r="C98" s="1" t="str">
        <f>IFERROR(INDEX('Input Contact Information'!$B$2:$B$200,MATCH(ROW()-1,'Input Contact Information'!$V$2:$V$200,0)),"")</f>
        <v/>
      </c>
      <c r="D98" s="1" t="str">
        <f>IF($B98="","",IF(W98="","",INDEX('Accounts Overview'!$A$2:$A$100,W98)))</f>
        <v/>
      </c>
      <c r="E98" s="1" t="str">
        <f>IF($B98="","",IF(V98="","",IF(INDEX('Input Contact Information'!$D$2:$D$200,V98)="","",INDEX('Input Contact Information'!$D$2:$D$200,V98))))</f>
        <v/>
      </c>
      <c r="F98" s="1" t="str">
        <f>IF($B98="","",IF(V98="","",IF(INDEX('Input Contact Information'!$F$2:$F$200,V98)="","",INDEX('Input Contact Information'!$F$2:$F$200,V98))))</f>
        <v/>
      </c>
      <c r="G98" s="1" t="str">
        <f>IF($B98="","",IF(V98="","",IF(INDEX('Input Contact Information'!$E$2:$E$200,V98)="","",INDEX('Input Contact Information'!$E$2:$E$200,V98))))</f>
        <v/>
      </c>
      <c r="H98" s="1" t="str">
        <f>IF($B98="","",IF(V98="","",IF(INDEX('Input Contact Information'!$G$2:$G$200,V98)="","",INDEX('Input Contact Information'!$G$2:$G$200,V98))))</f>
        <v/>
      </c>
      <c r="I98" s="1" t="str">
        <f>IF($B98="","",IF(V98="","",IF(INDEX('Input Contact Information'!$H$2:$H$200,V98)="","",INDEX('Input Contact Information'!$H$2:$H$200,V98))))</f>
        <v/>
      </c>
      <c r="J98" s="1" t="str">
        <f>IF($B98="","",IF(V98="","",IF(INDEX('Input Contact Information'!$I$2:$I$200,V98)="","",INDEX('Input Contact Information'!$I$2:$I$200,V98))))</f>
        <v/>
      </c>
      <c r="K98" s="1" t="str">
        <f>IF($B98="","",IF(V98="","",IF(INDEX('Input Contact Information'!$A$2:$A$200,V98)="","",INDEX('Input Contact Information'!$A$2:$A$200,V98))))</f>
        <v/>
      </c>
      <c r="L98" s="1" t="str">
        <f>IF($B98="","",IF(W98="","",IF(INDEX('Accounts Overview'!$I$2:$I$100,W98)="","",INDEX('Accounts Overview'!$I$2:$I$100,W98))))</f>
        <v/>
      </c>
      <c r="M98" s="1" t="str">
        <f>IF($B98="","",IF(V98="","",IF(INDEX('Input Contact Information'!$J$2:$J$200,V98)="","",INDEX('Input Contact Information'!$J$2:$J$200,V98))))</f>
        <v/>
      </c>
      <c r="N98" s="1" t="str">
        <f>IF($B98="","",IF(V98="","",IF(INDEX('Input Contact Information'!$K$2:$K$200,V98)="","",INDEX('Input Contact Information'!$K$2:$K$200,V98))))</f>
        <v/>
      </c>
      <c r="O98" s="1" t="str">
        <f>IF($B98="","",IF(V98="","",IF(INDEX('Input Contact Information'!$L$2:$L$200,V98)="","",INDEX('Input Contact Information'!$L$2:$L$200,V98))))</f>
        <v/>
      </c>
      <c r="P98" s="1" t="str">
        <f>IF($B98="","",IF((IF(V98="","",IF(INDEX('Input Contact Information'!$N$2:$N$200,V98)="","",INDEX('Input Contact Information'!$N$2:$N$200,V98))))&lt;&gt;"",IF(V98="","",IF(INDEX('Input Contact Information'!$N$2:$N$200,V98)="","",INDEX('Input Contact Information'!$N$2:$N$200,V98))),IF(V98="","",IF(INDEX('Input Contact Information'!$M$2:$M$200,V98)="","",INDEX('Input Contact Information'!$M$2:$M$200,V98)))))</f>
        <v/>
      </c>
      <c r="Q98" s="1" t="str">
        <f t="shared" ref="Q98:Q129" si="7">IF($B98="","",IF(P98="","",IF(P98="Tier 1","Monthly",IF(P98="Tier 2","Quarterly","Semi-annually"))))</f>
        <v/>
      </c>
      <c r="R98" s="1" t="str">
        <f>IF($B98="","",IF(X98="","",IF(INDEX('Engagements Overview'!$I$2:$I$200,X98)="","",INDEX('Engagements Overview'!$I$2:$I$200,X98))))</f>
        <v/>
      </c>
      <c r="S98" s="14" t="str">
        <f>IF($B98="","",IF(X98="","",IF(INDEX('Engagements Overview'!$K$2:$K$200,X98)="","",INDEX('Engagements Overview'!$K$2:$K$200,X98))))</f>
        <v/>
      </c>
      <c r="T98" s="1" t="str">
        <f>IF($B98="","",IF(V98="","",IF(INDEX('Input Contact Information'!$O$2:$O$200,V98)="","",INDEX('Input Contact Information'!$O$2:$O$200,V98))))</f>
        <v/>
      </c>
      <c r="U98" s="1" t="str">
        <f>IF($B98="","",IF(V98="","",IF(INDEX('Input Contact Information'!$P$2:$P$200,V98)="","",INDEX('Input Contact Information'!$P$2:$P$200,V98))))</f>
        <v/>
      </c>
      <c r="V98" s="1" t="str">
        <f>IF(B98="","",IFERROR(MATCH(B98&amp;"|"&amp;C98,'Input Contact Information'!$W$2:$W$200,0),""))</f>
        <v/>
      </c>
      <c r="W98" s="1" t="str">
        <f>IF(C98="","",IFERROR(MATCH(C98,'Accounts Overview'!$B$2:$B$100,0),""))</f>
        <v/>
      </c>
      <c r="X98" s="1" t="str">
        <f>IF(A98="","",IFERROR(MATCH(A98,'Engagements Overview'!$B$2:$B$200,0),""))</f>
        <v/>
      </c>
    </row>
    <row r="99" spans="1:24" ht="15" customHeight="1" x14ac:dyDescent="0.35">
      <c r="A99" s="13" t="str">
        <f t="shared" si="6"/>
        <v/>
      </c>
      <c r="B99" s="1" t="str">
        <f>IFERROR(INDEX('Input Contact Information'!$C$2:$C$200,MATCH(ROW()-1,'Input Contact Information'!$V$2:$V$200,0)),"")</f>
        <v/>
      </c>
      <c r="C99" s="1" t="str">
        <f>IFERROR(INDEX('Input Contact Information'!$B$2:$B$200,MATCH(ROW()-1,'Input Contact Information'!$V$2:$V$200,0)),"")</f>
        <v/>
      </c>
      <c r="D99" s="1" t="str">
        <f>IF($B99="","",IF(W99="","",INDEX('Accounts Overview'!$A$2:$A$100,W99)))</f>
        <v/>
      </c>
      <c r="E99" s="1" t="str">
        <f>IF($B99="","",IF(V99="","",IF(INDEX('Input Contact Information'!$D$2:$D$200,V99)="","",INDEX('Input Contact Information'!$D$2:$D$200,V99))))</f>
        <v/>
      </c>
      <c r="F99" s="1" t="str">
        <f>IF($B99="","",IF(V99="","",IF(INDEX('Input Contact Information'!$F$2:$F$200,V99)="","",INDEX('Input Contact Information'!$F$2:$F$200,V99))))</f>
        <v/>
      </c>
      <c r="G99" s="1" t="str">
        <f>IF($B99="","",IF(V99="","",IF(INDEX('Input Contact Information'!$E$2:$E$200,V99)="","",INDEX('Input Contact Information'!$E$2:$E$200,V99))))</f>
        <v/>
      </c>
      <c r="H99" s="1" t="str">
        <f>IF($B99="","",IF(V99="","",IF(INDEX('Input Contact Information'!$G$2:$G$200,V99)="","",INDEX('Input Contact Information'!$G$2:$G$200,V99))))</f>
        <v/>
      </c>
      <c r="I99" s="1" t="str">
        <f>IF($B99="","",IF(V99="","",IF(INDEX('Input Contact Information'!$H$2:$H$200,V99)="","",INDEX('Input Contact Information'!$H$2:$H$200,V99))))</f>
        <v/>
      </c>
      <c r="J99" s="1" t="str">
        <f>IF($B99="","",IF(V99="","",IF(INDEX('Input Contact Information'!$I$2:$I$200,V99)="","",INDEX('Input Contact Information'!$I$2:$I$200,V99))))</f>
        <v/>
      </c>
      <c r="K99" s="1" t="str">
        <f>IF($B99="","",IF(V99="","",IF(INDEX('Input Contact Information'!$A$2:$A$200,V99)="","",INDEX('Input Contact Information'!$A$2:$A$200,V99))))</f>
        <v/>
      </c>
      <c r="L99" s="1" t="str">
        <f>IF($B99="","",IF(W99="","",IF(INDEX('Accounts Overview'!$I$2:$I$100,W99)="","",INDEX('Accounts Overview'!$I$2:$I$100,W99))))</f>
        <v/>
      </c>
      <c r="M99" s="1" t="str">
        <f>IF($B99="","",IF(V99="","",IF(INDEX('Input Contact Information'!$J$2:$J$200,V99)="","",INDEX('Input Contact Information'!$J$2:$J$200,V99))))</f>
        <v/>
      </c>
      <c r="N99" s="1" t="str">
        <f>IF($B99="","",IF(V99="","",IF(INDEX('Input Contact Information'!$K$2:$K$200,V99)="","",INDEX('Input Contact Information'!$K$2:$K$200,V99))))</f>
        <v/>
      </c>
      <c r="O99" s="1" t="str">
        <f>IF($B99="","",IF(V99="","",IF(INDEX('Input Contact Information'!$L$2:$L$200,V99)="","",INDEX('Input Contact Information'!$L$2:$L$200,V99))))</f>
        <v/>
      </c>
      <c r="P99" s="1" t="str">
        <f>IF($B99="","",IF((IF(V99="","",IF(INDEX('Input Contact Information'!$N$2:$N$200,V99)="","",INDEX('Input Contact Information'!$N$2:$N$200,V99))))&lt;&gt;"",IF(V99="","",IF(INDEX('Input Contact Information'!$N$2:$N$200,V99)="","",INDEX('Input Contact Information'!$N$2:$N$200,V99))),IF(V99="","",IF(INDEX('Input Contact Information'!$M$2:$M$200,V99)="","",INDEX('Input Contact Information'!$M$2:$M$200,V99)))))</f>
        <v/>
      </c>
      <c r="Q99" s="1" t="str">
        <f t="shared" si="7"/>
        <v/>
      </c>
      <c r="R99" s="1" t="str">
        <f>IF($B99="","",IF(X99="","",IF(INDEX('Engagements Overview'!$I$2:$I$200,X99)="","",INDEX('Engagements Overview'!$I$2:$I$200,X99))))</f>
        <v/>
      </c>
      <c r="S99" s="14" t="str">
        <f>IF($B99="","",IF(X99="","",IF(INDEX('Engagements Overview'!$K$2:$K$200,X99)="","",INDEX('Engagements Overview'!$K$2:$K$200,X99))))</f>
        <v/>
      </c>
      <c r="T99" s="1" t="str">
        <f>IF($B99="","",IF(V99="","",IF(INDEX('Input Contact Information'!$O$2:$O$200,V99)="","",INDEX('Input Contact Information'!$O$2:$O$200,V99))))</f>
        <v/>
      </c>
      <c r="U99" s="1" t="str">
        <f>IF($B99="","",IF(V99="","",IF(INDEX('Input Contact Information'!$P$2:$P$200,V99)="","",INDEX('Input Contact Information'!$P$2:$P$200,V99))))</f>
        <v/>
      </c>
      <c r="V99" s="1" t="str">
        <f>IF(B99="","",IFERROR(MATCH(B99&amp;"|"&amp;C99,'Input Contact Information'!$W$2:$W$200,0),""))</f>
        <v/>
      </c>
      <c r="W99" s="1" t="str">
        <f>IF(C99="","",IFERROR(MATCH(C99,'Accounts Overview'!$B$2:$B$100,0),""))</f>
        <v/>
      </c>
      <c r="X99" s="1" t="str">
        <f>IF(A99="","",IFERROR(MATCH(A99,'Engagements Overview'!$B$2:$B$200,0),""))</f>
        <v/>
      </c>
    </row>
    <row r="100" spans="1:24" ht="15" customHeight="1" x14ac:dyDescent="0.35">
      <c r="A100" s="13" t="str">
        <f t="shared" si="6"/>
        <v/>
      </c>
      <c r="B100" s="1" t="str">
        <f>IFERROR(INDEX('Input Contact Information'!$C$2:$C$200,MATCH(ROW()-1,'Input Contact Information'!$V$2:$V$200,0)),"")</f>
        <v/>
      </c>
      <c r="C100" s="1" t="str">
        <f>IFERROR(INDEX('Input Contact Information'!$B$2:$B$200,MATCH(ROW()-1,'Input Contact Information'!$V$2:$V$200,0)),"")</f>
        <v/>
      </c>
      <c r="D100" s="1" t="str">
        <f>IF($B100="","",IF(W100="","",INDEX('Accounts Overview'!$A$2:$A$100,W100)))</f>
        <v/>
      </c>
      <c r="E100" s="1" t="str">
        <f>IF($B100="","",IF(V100="","",IF(INDEX('Input Contact Information'!$D$2:$D$200,V100)="","",INDEX('Input Contact Information'!$D$2:$D$200,V100))))</f>
        <v/>
      </c>
      <c r="F100" s="1" t="str">
        <f>IF($B100="","",IF(V100="","",IF(INDEX('Input Contact Information'!$F$2:$F$200,V100)="","",INDEX('Input Contact Information'!$F$2:$F$200,V100))))</f>
        <v/>
      </c>
      <c r="G100" s="1" t="str">
        <f>IF($B100="","",IF(V100="","",IF(INDEX('Input Contact Information'!$E$2:$E$200,V100)="","",INDEX('Input Contact Information'!$E$2:$E$200,V100))))</f>
        <v/>
      </c>
      <c r="H100" s="1" t="str">
        <f>IF($B100="","",IF(V100="","",IF(INDEX('Input Contact Information'!$G$2:$G$200,V100)="","",INDEX('Input Contact Information'!$G$2:$G$200,V100))))</f>
        <v/>
      </c>
      <c r="I100" s="1" t="str">
        <f>IF($B100="","",IF(V100="","",IF(INDEX('Input Contact Information'!$H$2:$H$200,V100)="","",INDEX('Input Contact Information'!$H$2:$H$200,V100))))</f>
        <v/>
      </c>
      <c r="J100" s="1" t="str">
        <f>IF($B100="","",IF(V100="","",IF(INDEX('Input Contact Information'!$I$2:$I$200,V100)="","",INDEX('Input Contact Information'!$I$2:$I$200,V100))))</f>
        <v/>
      </c>
      <c r="K100" s="1" t="str">
        <f>IF($B100="","",IF(V100="","",IF(INDEX('Input Contact Information'!$A$2:$A$200,V100)="","",INDEX('Input Contact Information'!$A$2:$A$200,V100))))</f>
        <v/>
      </c>
      <c r="L100" s="1" t="str">
        <f>IF($B100="","",IF(W100="","",IF(INDEX('Accounts Overview'!$I$2:$I$100,W100)="","",INDEX('Accounts Overview'!$I$2:$I$100,W100))))</f>
        <v/>
      </c>
      <c r="M100" s="1" t="str">
        <f>IF($B100="","",IF(V100="","",IF(INDEX('Input Contact Information'!$J$2:$J$200,V100)="","",INDEX('Input Contact Information'!$J$2:$J$200,V100))))</f>
        <v/>
      </c>
      <c r="N100" s="1" t="str">
        <f>IF($B100="","",IF(V100="","",IF(INDEX('Input Contact Information'!$K$2:$K$200,V100)="","",INDEX('Input Contact Information'!$K$2:$K$200,V100))))</f>
        <v/>
      </c>
      <c r="O100" s="1" t="str">
        <f>IF($B100="","",IF(V100="","",IF(INDEX('Input Contact Information'!$L$2:$L$200,V100)="","",INDEX('Input Contact Information'!$L$2:$L$200,V100))))</f>
        <v/>
      </c>
      <c r="P100" s="1" t="str">
        <f>IF($B100="","",IF((IF(V100="","",IF(INDEX('Input Contact Information'!$N$2:$N$200,V100)="","",INDEX('Input Contact Information'!$N$2:$N$200,V100))))&lt;&gt;"",IF(V100="","",IF(INDEX('Input Contact Information'!$N$2:$N$200,V100)="","",INDEX('Input Contact Information'!$N$2:$N$200,V100))),IF(V100="","",IF(INDEX('Input Contact Information'!$M$2:$M$200,V100)="","",INDEX('Input Contact Information'!$M$2:$M$200,V100)))))</f>
        <v/>
      </c>
      <c r="Q100" s="1" t="str">
        <f t="shared" si="7"/>
        <v/>
      </c>
      <c r="R100" s="1" t="str">
        <f>IF($B100="","",IF(X100="","",IF(INDEX('Engagements Overview'!$I$2:$I$200,X100)="","",INDEX('Engagements Overview'!$I$2:$I$200,X100))))</f>
        <v/>
      </c>
      <c r="S100" s="14" t="str">
        <f>IF($B100="","",IF(X100="","",IF(INDEX('Engagements Overview'!$K$2:$K$200,X100)="","",INDEX('Engagements Overview'!$K$2:$K$200,X100))))</f>
        <v/>
      </c>
      <c r="T100" s="1" t="str">
        <f>IF($B100="","",IF(V100="","",IF(INDEX('Input Contact Information'!$O$2:$O$200,V100)="","",INDEX('Input Contact Information'!$O$2:$O$200,V100))))</f>
        <v/>
      </c>
      <c r="U100" s="1" t="str">
        <f>IF($B100="","",IF(V100="","",IF(INDEX('Input Contact Information'!$P$2:$P$200,V100)="","",INDEX('Input Contact Information'!$P$2:$P$200,V100))))</f>
        <v/>
      </c>
      <c r="V100" s="1" t="str">
        <f>IF(B100="","",IFERROR(MATCH(B100&amp;"|"&amp;C100,'Input Contact Information'!$W$2:$W$200,0),""))</f>
        <v/>
      </c>
      <c r="W100" s="1" t="str">
        <f>IF(C100="","",IFERROR(MATCH(C100,'Accounts Overview'!$B$2:$B$100,0),""))</f>
        <v/>
      </c>
      <c r="X100" s="1" t="str">
        <f>IF(A100="","",IFERROR(MATCH(A100,'Engagements Overview'!$B$2:$B$200,0),""))</f>
        <v/>
      </c>
    </row>
    <row r="101" spans="1:24" ht="15" customHeight="1" x14ac:dyDescent="0.35">
      <c r="A101" s="13" t="str">
        <f t="shared" si="6"/>
        <v/>
      </c>
      <c r="B101" s="1" t="str">
        <f>IFERROR(INDEX('Input Contact Information'!$C$2:$C$200,MATCH(ROW()-1,'Input Contact Information'!$V$2:$V$200,0)),"")</f>
        <v/>
      </c>
      <c r="C101" s="1" t="str">
        <f>IFERROR(INDEX('Input Contact Information'!$B$2:$B$200,MATCH(ROW()-1,'Input Contact Information'!$V$2:$V$200,0)),"")</f>
        <v/>
      </c>
      <c r="D101" s="1" t="str">
        <f>IF($B101="","",IF(W101="","",INDEX('Accounts Overview'!$A$2:$A$100,W101)))</f>
        <v/>
      </c>
      <c r="E101" s="1" t="str">
        <f>IF($B101="","",IF(V101="","",IF(INDEX('Input Contact Information'!$D$2:$D$200,V101)="","",INDEX('Input Contact Information'!$D$2:$D$200,V101))))</f>
        <v/>
      </c>
      <c r="F101" s="1" t="str">
        <f>IF($B101="","",IF(V101="","",IF(INDEX('Input Contact Information'!$F$2:$F$200,V101)="","",INDEX('Input Contact Information'!$F$2:$F$200,V101))))</f>
        <v/>
      </c>
      <c r="G101" s="1" t="str">
        <f>IF($B101="","",IF(V101="","",IF(INDEX('Input Contact Information'!$E$2:$E$200,V101)="","",INDEX('Input Contact Information'!$E$2:$E$200,V101))))</f>
        <v/>
      </c>
      <c r="H101" s="1" t="str">
        <f>IF($B101="","",IF(V101="","",IF(INDEX('Input Contact Information'!$G$2:$G$200,V101)="","",INDEX('Input Contact Information'!$G$2:$G$200,V101))))</f>
        <v/>
      </c>
      <c r="I101" s="1" t="str">
        <f>IF($B101="","",IF(V101="","",IF(INDEX('Input Contact Information'!$H$2:$H$200,V101)="","",INDEX('Input Contact Information'!$H$2:$H$200,V101))))</f>
        <v/>
      </c>
      <c r="J101" s="1" t="str">
        <f>IF($B101="","",IF(V101="","",IF(INDEX('Input Contact Information'!$I$2:$I$200,V101)="","",INDEX('Input Contact Information'!$I$2:$I$200,V101))))</f>
        <v/>
      </c>
      <c r="K101" s="1" t="str">
        <f>IF($B101="","",IF(V101="","",IF(INDEX('Input Contact Information'!$A$2:$A$200,V101)="","",INDEX('Input Contact Information'!$A$2:$A$200,V101))))</f>
        <v/>
      </c>
      <c r="L101" s="1" t="str">
        <f>IF($B101="","",IF(W101="","",IF(INDEX('Accounts Overview'!$I$2:$I$100,W101)="","",INDEX('Accounts Overview'!$I$2:$I$100,W101))))</f>
        <v/>
      </c>
      <c r="M101" s="1" t="str">
        <f>IF($B101="","",IF(V101="","",IF(INDEX('Input Contact Information'!$J$2:$J$200,V101)="","",INDEX('Input Contact Information'!$J$2:$J$200,V101))))</f>
        <v/>
      </c>
      <c r="N101" s="1" t="str">
        <f>IF($B101="","",IF(V101="","",IF(INDEX('Input Contact Information'!$K$2:$K$200,V101)="","",INDEX('Input Contact Information'!$K$2:$K$200,V101))))</f>
        <v/>
      </c>
      <c r="O101" s="1" t="str">
        <f>IF($B101="","",IF(V101="","",IF(INDEX('Input Contact Information'!$L$2:$L$200,V101)="","",INDEX('Input Contact Information'!$L$2:$L$200,V101))))</f>
        <v/>
      </c>
      <c r="P101" s="1" t="str">
        <f>IF($B101="","",IF((IF(V101="","",IF(INDEX('Input Contact Information'!$N$2:$N$200,V101)="","",INDEX('Input Contact Information'!$N$2:$N$200,V101))))&lt;&gt;"",IF(V101="","",IF(INDEX('Input Contact Information'!$N$2:$N$200,V101)="","",INDEX('Input Contact Information'!$N$2:$N$200,V101))),IF(V101="","",IF(INDEX('Input Contact Information'!$M$2:$M$200,V101)="","",INDEX('Input Contact Information'!$M$2:$M$200,V101)))))</f>
        <v/>
      </c>
      <c r="Q101" s="1" t="str">
        <f t="shared" si="7"/>
        <v/>
      </c>
      <c r="R101" s="1" t="str">
        <f>IF($B101="","",IF(X101="","",IF(INDEX('Engagements Overview'!$I$2:$I$200,X101)="","",INDEX('Engagements Overview'!$I$2:$I$200,X101))))</f>
        <v/>
      </c>
      <c r="S101" s="14" t="str">
        <f>IF($B101="","",IF(X101="","",IF(INDEX('Engagements Overview'!$K$2:$K$200,X101)="","",INDEX('Engagements Overview'!$K$2:$K$200,X101))))</f>
        <v/>
      </c>
      <c r="T101" s="1" t="str">
        <f>IF($B101="","",IF(V101="","",IF(INDEX('Input Contact Information'!$O$2:$O$200,V101)="","",INDEX('Input Contact Information'!$O$2:$O$200,V101))))</f>
        <v/>
      </c>
      <c r="U101" s="1" t="str">
        <f>IF($B101="","",IF(V101="","",IF(INDEX('Input Contact Information'!$P$2:$P$200,V101)="","",INDEX('Input Contact Information'!$P$2:$P$200,V101))))</f>
        <v/>
      </c>
      <c r="V101" s="1" t="str">
        <f>IF(B101="","",IFERROR(MATCH(B101&amp;"|"&amp;C101,'Input Contact Information'!$W$2:$W$200,0),""))</f>
        <v/>
      </c>
      <c r="W101" s="1" t="str">
        <f>IF(C101="","",IFERROR(MATCH(C101,'Accounts Overview'!$B$2:$B$100,0),""))</f>
        <v/>
      </c>
      <c r="X101" s="1" t="str">
        <f>IF(A101="","",IFERROR(MATCH(A101,'Engagements Overview'!$B$2:$B$200,0),""))</f>
        <v/>
      </c>
    </row>
    <row r="102" spans="1:24" ht="15" customHeight="1" x14ac:dyDescent="0.35">
      <c r="A102" s="13" t="str">
        <f t="shared" si="6"/>
        <v/>
      </c>
      <c r="B102" s="1" t="str">
        <f>IFERROR(INDEX('Input Contact Information'!$C$2:$C$200,MATCH(ROW()-1,'Input Contact Information'!$V$2:$V$200,0)),"")</f>
        <v/>
      </c>
      <c r="C102" s="1" t="str">
        <f>IFERROR(INDEX('Input Contact Information'!$B$2:$B$200,MATCH(ROW()-1,'Input Contact Information'!$V$2:$V$200,0)),"")</f>
        <v/>
      </c>
      <c r="D102" s="1" t="str">
        <f>IF($B102="","",IF(W102="","",INDEX('Accounts Overview'!$A$2:$A$100,W102)))</f>
        <v/>
      </c>
      <c r="E102" s="1" t="str">
        <f>IF($B102="","",IF(V102="","",IF(INDEX('Input Contact Information'!$D$2:$D$200,V102)="","",INDEX('Input Contact Information'!$D$2:$D$200,V102))))</f>
        <v/>
      </c>
      <c r="F102" s="1" t="str">
        <f>IF($B102="","",IF(V102="","",IF(INDEX('Input Contact Information'!$F$2:$F$200,V102)="","",INDEX('Input Contact Information'!$F$2:$F$200,V102))))</f>
        <v/>
      </c>
      <c r="G102" s="1" t="str">
        <f>IF($B102="","",IF(V102="","",IF(INDEX('Input Contact Information'!$E$2:$E$200,V102)="","",INDEX('Input Contact Information'!$E$2:$E$200,V102))))</f>
        <v/>
      </c>
      <c r="H102" s="1" t="str">
        <f>IF($B102="","",IF(V102="","",IF(INDEX('Input Contact Information'!$G$2:$G$200,V102)="","",INDEX('Input Contact Information'!$G$2:$G$200,V102))))</f>
        <v/>
      </c>
      <c r="I102" s="1" t="str">
        <f>IF($B102="","",IF(V102="","",IF(INDEX('Input Contact Information'!$H$2:$H$200,V102)="","",INDEX('Input Contact Information'!$H$2:$H$200,V102))))</f>
        <v/>
      </c>
      <c r="J102" s="1" t="str">
        <f>IF($B102="","",IF(V102="","",IF(INDEX('Input Contact Information'!$I$2:$I$200,V102)="","",INDEX('Input Contact Information'!$I$2:$I$200,V102))))</f>
        <v/>
      </c>
      <c r="K102" s="1" t="str">
        <f>IF($B102="","",IF(V102="","",IF(INDEX('Input Contact Information'!$A$2:$A$200,V102)="","",INDEX('Input Contact Information'!$A$2:$A$200,V102))))</f>
        <v/>
      </c>
      <c r="L102" s="1" t="str">
        <f>IF($B102="","",IF(W102="","",IF(INDEX('Accounts Overview'!$I$2:$I$100,W102)="","",INDEX('Accounts Overview'!$I$2:$I$100,W102))))</f>
        <v/>
      </c>
      <c r="M102" s="1" t="str">
        <f>IF($B102="","",IF(V102="","",IF(INDEX('Input Contact Information'!$J$2:$J$200,V102)="","",INDEX('Input Contact Information'!$J$2:$J$200,V102))))</f>
        <v/>
      </c>
      <c r="N102" s="1" t="str">
        <f>IF($B102="","",IF(V102="","",IF(INDEX('Input Contact Information'!$K$2:$K$200,V102)="","",INDEX('Input Contact Information'!$K$2:$K$200,V102))))</f>
        <v/>
      </c>
      <c r="O102" s="1" t="str">
        <f>IF($B102="","",IF(V102="","",IF(INDEX('Input Contact Information'!$L$2:$L$200,V102)="","",INDEX('Input Contact Information'!$L$2:$L$200,V102))))</f>
        <v/>
      </c>
      <c r="P102" s="1" t="str">
        <f>IF($B102="","",IF((IF(V102="","",IF(INDEX('Input Contact Information'!$N$2:$N$200,V102)="","",INDEX('Input Contact Information'!$N$2:$N$200,V102))))&lt;&gt;"",IF(V102="","",IF(INDEX('Input Contact Information'!$N$2:$N$200,V102)="","",INDEX('Input Contact Information'!$N$2:$N$200,V102))),IF(V102="","",IF(INDEX('Input Contact Information'!$M$2:$M$200,V102)="","",INDEX('Input Contact Information'!$M$2:$M$200,V102)))))</f>
        <v/>
      </c>
      <c r="Q102" s="1" t="str">
        <f t="shared" si="7"/>
        <v/>
      </c>
      <c r="R102" s="1" t="str">
        <f>IF($B102="","",IF(X102="","",IF(INDEX('Engagements Overview'!$I$2:$I$200,X102)="","",INDEX('Engagements Overview'!$I$2:$I$200,X102))))</f>
        <v/>
      </c>
      <c r="S102" s="14" t="str">
        <f>IF($B102="","",IF(X102="","",IF(INDEX('Engagements Overview'!$K$2:$K$200,X102)="","",INDEX('Engagements Overview'!$K$2:$K$200,X102))))</f>
        <v/>
      </c>
      <c r="T102" s="1" t="str">
        <f>IF($B102="","",IF(V102="","",IF(INDEX('Input Contact Information'!$O$2:$O$200,V102)="","",INDEX('Input Contact Information'!$O$2:$O$200,V102))))</f>
        <v/>
      </c>
      <c r="U102" s="1" t="str">
        <f>IF($B102="","",IF(V102="","",IF(INDEX('Input Contact Information'!$P$2:$P$200,V102)="","",INDEX('Input Contact Information'!$P$2:$P$200,V102))))</f>
        <v/>
      </c>
      <c r="V102" s="1" t="str">
        <f>IF(B102="","",IFERROR(MATCH(B102&amp;"|"&amp;C102,'Input Contact Information'!$W$2:$W$200,0),""))</f>
        <v/>
      </c>
      <c r="W102" s="1" t="str">
        <f>IF(C102="","",IFERROR(MATCH(C102,'Accounts Overview'!$B$2:$B$100,0),""))</f>
        <v/>
      </c>
      <c r="X102" s="1" t="str">
        <f>IF(A102="","",IFERROR(MATCH(A102,'Engagements Overview'!$B$2:$B$200,0),""))</f>
        <v/>
      </c>
    </row>
    <row r="103" spans="1:24" ht="15" customHeight="1" x14ac:dyDescent="0.35">
      <c r="A103" s="13" t="str">
        <f t="shared" si="6"/>
        <v/>
      </c>
      <c r="B103" s="1" t="str">
        <f>IFERROR(INDEX('Input Contact Information'!$C$2:$C$200,MATCH(ROW()-1,'Input Contact Information'!$V$2:$V$200,0)),"")</f>
        <v/>
      </c>
      <c r="C103" s="1" t="str">
        <f>IFERROR(INDEX('Input Contact Information'!$B$2:$B$200,MATCH(ROW()-1,'Input Contact Information'!$V$2:$V$200,0)),"")</f>
        <v/>
      </c>
      <c r="D103" s="1" t="str">
        <f>IF($B103="","",IF(W103="","",INDEX('Accounts Overview'!$A$2:$A$100,W103)))</f>
        <v/>
      </c>
      <c r="E103" s="1" t="str">
        <f>IF($B103="","",IF(V103="","",IF(INDEX('Input Contact Information'!$D$2:$D$200,V103)="","",INDEX('Input Contact Information'!$D$2:$D$200,V103))))</f>
        <v/>
      </c>
      <c r="F103" s="1" t="str">
        <f>IF($B103="","",IF(V103="","",IF(INDEX('Input Contact Information'!$F$2:$F$200,V103)="","",INDEX('Input Contact Information'!$F$2:$F$200,V103))))</f>
        <v/>
      </c>
      <c r="G103" s="1" t="str">
        <f>IF($B103="","",IF(V103="","",IF(INDEX('Input Contact Information'!$E$2:$E$200,V103)="","",INDEX('Input Contact Information'!$E$2:$E$200,V103))))</f>
        <v/>
      </c>
      <c r="H103" s="1" t="str">
        <f>IF($B103="","",IF(V103="","",IF(INDEX('Input Contact Information'!$G$2:$G$200,V103)="","",INDEX('Input Contact Information'!$G$2:$G$200,V103))))</f>
        <v/>
      </c>
      <c r="I103" s="1" t="str">
        <f>IF($B103="","",IF(V103="","",IF(INDEX('Input Contact Information'!$H$2:$H$200,V103)="","",INDEX('Input Contact Information'!$H$2:$H$200,V103))))</f>
        <v/>
      </c>
      <c r="J103" s="1" t="str">
        <f>IF($B103="","",IF(V103="","",IF(INDEX('Input Contact Information'!$I$2:$I$200,V103)="","",INDEX('Input Contact Information'!$I$2:$I$200,V103))))</f>
        <v/>
      </c>
      <c r="K103" s="1" t="str">
        <f>IF($B103="","",IF(V103="","",IF(INDEX('Input Contact Information'!$A$2:$A$200,V103)="","",INDEX('Input Contact Information'!$A$2:$A$200,V103))))</f>
        <v/>
      </c>
      <c r="L103" s="1" t="str">
        <f>IF($B103="","",IF(W103="","",IF(INDEX('Accounts Overview'!$I$2:$I$100,W103)="","",INDEX('Accounts Overview'!$I$2:$I$100,W103))))</f>
        <v/>
      </c>
      <c r="M103" s="1" t="str">
        <f>IF($B103="","",IF(V103="","",IF(INDEX('Input Contact Information'!$J$2:$J$200,V103)="","",INDEX('Input Contact Information'!$J$2:$J$200,V103))))</f>
        <v/>
      </c>
      <c r="N103" s="1" t="str">
        <f>IF($B103="","",IF(V103="","",IF(INDEX('Input Contact Information'!$K$2:$K$200,V103)="","",INDEX('Input Contact Information'!$K$2:$K$200,V103))))</f>
        <v/>
      </c>
      <c r="O103" s="1" t="str">
        <f>IF($B103="","",IF(V103="","",IF(INDEX('Input Contact Information'!$L$2:$L$200,V103)="","",INDEX('Input Contact Information'!$L$2:$L$200,V103))))</f>
        <v/>
      </c>
      <c r="P103" s="1" t="str">
        <f>IF($B103="","",IF((IF(V103="","",IF(INDEX('Input Contact Information'!$N$2:$N$200,V103)="","",INDEX('Input Contact Information'!$N$2:$N$200,V103))))&lt;&gt;"",IF(V103="","",IF(INDEX('Input Contact Information'!$N$2:$N$200,V103)="","",INDEX('Input Contact Information'!$N$2:$N$200,V103))),IF(V103="","",IF(INDEX('Input Contact Information'!$M$2:$M$200,V103)="","",INDEX('Input Contact Information'!$M$2:$M$200,V103)))))</f>
        <v/>
      </c>
      <c r="Q103" s="1" t="str">
        <f t="shared" si="7"/>
        <v/>
      </c>
      <c r="R103" s="1" t="str">
        <f>IF($B103="","",IF(X103="","",IF(INDEX('Engagements Overview'!$I$2:$I$200,X103)="","",INDEX('Engagements Overview'!$I$2:$I$200,X103))))</f>
        <v/>
      </c>
      <c r="S103" s="14" t="str">
        <f>IF($B103="","",IF(X103="","",IF(INDEX('Engagements Overview'!$K$2:$K$200,X103)="","",INDEX('Engagements Overview'!$K$2:$K$200,X103))))</f>
        <v/>
      </c>
      <c r="T103" s="1" t="str">
        <f>IF($B103="","",IF(V103="","",IF(INDEX('Input Contact Information'!$O$2:$O$200,V103)="","",INDEX('Input Contact Information'!$O$2:$O$200,V103))))</f>
        <v/>
      </c>
      <c r="U103" s="1" t="str">
        <f>IF($B103="","",IF(V103="","",IF(INDEX('Input Contact Information'!$P$2:$P$200,V103)="","",INDEX('Input Contact Information'!$P$2:$P$200,V103))))</f>
        <v/>
      </c>
      <c r="V103" s="1" t="str">
        <f>IF(B103="","",IFERROR(MATCH(B103&amp;"|"&amp;C103,'Input Contact Information'!$W$2:$W$200,0),""))</f>
        <v/>
      </c>
      <c r="W103" s="1" t="str">
        <f>IF(C103="","",IFERROR(MATCH(C103,'Accounts Overview'!$B$2:$B$100,0),""))</f>
        <v/>
      </c>
      <c r="X103" s="1" t="str">
        <f>IF(A103="","",IFERROR(MATCH(A103,'Engagements Overview'!$B$2:$B$200,0),""))</f>
        <v/>
      </c>
    </row>
    <row r="104" spans="1:24" ht="15" customHeight="1" x14ac:dyDescent="0.35">
      <c r="A104" s="13" t="str">
        <f t="shared" si="6"/>
        <v/>
      </c>
      <c r="B104" s="1" t="str">
        <f>IFERROR(INDEX('Input Contact Information'!$C$2:$C$200,MATCH(ROW()-1,'Input Contact Information'!$V$2:$V$200,0)),"")</f>
        <v/>
      </c>
      <c r="C104" s="1" t="str">
        <f>IFERROR(INDEX('Input Contact Information'!$B$2:$B$200,MATCH(ROW()-1,'Input Contact Information'!$V$2:$V$200,0)),"")</f>
        <v/>
      </c>
      <c r="D104" s="1" t="str">
        <f>IF($B104="","",IF(W104="","",INDEX('Accounts Overview'!$A$2:$A$100,W104)))</f>
        <v/>
      </c>
      <c r="E104" s="1" t="str">
        <f>IF($B104="","",IF(V104="","",IF(INDEX('Input Contact Information'!$D$2:$D$200,V104)="","",INDEX('Input Contact Information'!$D$2:$D$200,V104))))</f>
        <v/>
      </c>
      <c r="F104" s="1" t="str">
        <f>IF($B104="","",IF(V104="","",IF(INDEX('Input Contact Information'!$F$2:$F$200,V104)="","",INDEX('Input Contact Information'!$F$2:$F$200,V104))))</f>
        <v/>
      </c>
      <c r="G104" s="1" t="str">
        <f>IF($B104="","",IF(V104="","",IF(INDEX('Input Contact Information'!$E$2:$E$200,V104)="","",INDEX('Input Contact Information'!$E$2:$E$200,V104))))</f>
        <v/>
      </c>
      <c r="H104" s="1" t="str">
        <f>IF($B104="","",IF(V104="","",IF(INDEX('Input Contact Information'!$G$2:$G$200,V104)="","",INDEX('Input Contact Information'!$G$2:$G$200,V104))))</f>
        <v/>
      </c>
      <c r="I104" s="1" t="str">
        <f>IF($B104="","",IF(V104="","",IF(INDEX('Input Contact Information'!$H$2:$H$200,V104)="","",INDEX('Input Contact Information'!$H$2:$H$200,V104))))</f>
        <v/>
      </c>
      <c r="J104" s="1" t="str">
        <f>IF($B104="","",IF(V104="","",IF(INDEX('Input Contact Information'!$I$2:$I$200,V104)="","",INDEX('Input Contact Information'!$I$2:$I$200,V104))))</f>
        <v/>
      </c>
      <c r="K104" s="1" t="str">
        <f>IF($B104="","",IF(V104="","",IF(INDEX('Input Contact Information'!$A$2:$A$200,V104)="","",INDEX('Input Contact Information'!$A$2:$A$200,V104))))</f>
        <v/>
      </c>
      <c r="L104" s="1" t="str">
        <f>IF($B104="","",IF(W104="","",IF(INDEX('Accounts Overview'!$I$2:$I$100,W104)="","",INDEX('Accounts Overview'!$I$2:$I$100,W104))))</f>
        <v/>
      </c>
      <c r="M104" s="1" t="str">
        <f>IF($B104="","",IF(V104="","",IF(INDEX('Input Contact Information'!$J$2:$J$200,V104)="","",INDEX('Input Contact Information'!$J$2:$J$200,V104))))</f>
        <v/>
      </c>
      <c r="N104" s="1" t="str">
        <f>IF($B104="","",IF(V104="","",IF(INDEX('Input Contact Information'!$K$2:$K$200,V104)="","",INDEX('Input Contact Information'!$K$2:$K$200,V104))))</f>
        <v/>
      </c>
      <c r="O104" s="1" t="str">
        <f>IF($B104="","",IF(V104="","",IF(INDEX('Input Contact Information'!$L$2:$L$200,V104)="","",INDEX('Input Contact Information'!$L$2:$L$200,V104))))</f>
        <v/>
      </c>
      <c r="P104" s="1" t="str">
        <f>IF($B104="","",IF((IF(V104="","",IF(INDEX('Input Contact Information'!$N$2:$N$200,V104)="","",INDEX('Input Contact Information'!$N$2:$N$200,V104))))&lt;&gt;"",IF(V104="","",IF(INDEX('Input Contact Information'!$N$2:$N$200,V104)="","",INDEX('Input Contact Information'!$N$2:$N$200,V104))),IF(V104="","",IF(INDEX('Input Contact Information'!$M$2:$M$200,V104)="","",INDEX('Input Contact Information'!$M$2:$M$200,V104)))))</f>
        <v/>
      </c>
      <c r="Q104" s="1" t="str">
        <f t="shared" si="7"/>
        <v/>
      </c>
      <c r="R104" s="1" t="str">
        <f>IF($B104="","",IF(X104="","",IF(INDEX('Engagements Overview'!$I$2:$I$200,X104)="","",INDEX('Engagements Overview'!$I$2:$I$200,X104))))</f>
        <v/>
      </c>
      <c r="S104" s="14" t="str">
        <f>IF($B104="","",IF(X104="","",IF(INDEX('Engagements Overview'!$K$2:$K$200,X104)="","",INDEX('Engagements Overview'!$K$2:$K$200,X104))))</f>
        <v/>
      </c>
      <c r="T104" s="1" t="str">
        <f>IF($B104="","",IF(V104="","",IF(INDEX('Input Contact Information'!$O$2:$O$200,V104)="","",INDEX('Input Contact Information'!$O$2:$O$200,V104))))</f>
        <v/>
      </c>
      <c r="U104" s="1" t="str">
        <f>IF($B104="","",IF(V104="","",IF(INDEX('Input Contact Information'!$P$2:$P$200,V104)="","",INDEX('Input Contact Information'!$P$2:$P$200,V104))))</f>
        <v/>
      </c>
      <c r="V104" s="1" t="str">
        <f>IF(B104="","",IFERROR(MATCH(B104&amp;"|"&amp;C104,'Input Contact Information'!$W$2:$W$200,0),""))</f>
        <v/>
      </c>
      <c r="W104" s="1" t="str">
        <f>IF(C104="","",IFERROR(MATCH(C104,'Accounts Overview'!$B$2:$B$100,0),""))</f>
        <v/>
      </c>
      <c r="X104" s="1" t="str">
        <f>IF(A104="","",IFERROR(MATCH(A104,'Engagements Overview'!$B$2:$B$200,0),""))</f>
        <v/>
      </c>
    </row>
    <row r="105" spans="1:24" ht="15" customHeight="1" x14ac:dyDescent="0.35">
      <c r="A105" s="13" t="str">
        <f t="shared" si="6"/>
        <v/>
      </c>
      <c r="B105" s="1" t="str">
        <f>IFERROR(INDEX('Input Contact Information'!$C$2:$C$200,MATCH(ROW()-1,'Input Contact Information'!$V$2:$V$200,0)),"")</f>
        <v/>
      </c>
      <c r="C105" s="1" t="str">
        <f>IFERROR(INDEX('Input Contact Information'!$B$2:$B$200,MATCH(ROW()-1,'Input Contact Information'!$V$2:$V$200,0)),"")</f>
        <v/>
      </c>
      <c r="D105" s="1" t="str">
        <f>IF($B105="","",IF(W105="","",INDEX('Accounts Overview'!$A$2:$A$100,W105)))</f>
        <v/>
      </c>
      <c r="E105" s="1" t="str">
        <f>IF($B105="","",IF(V105="","",IF(INDEX('Input Contact Information'!$D$2:$D$200,V105)="","",INDEX('Input Contact Information'!$D$2:$D$200,V105))))</f>
        <v/>
      </c>
      <c r="F105" s="1" t="str">
        <f>IF($B105="","",IF(V105="","",IF(INDEX('Input Contact Information'!$F$2:$F$200,V105)="","",INDEX('Input Contact Information'!$F$2:$F$200,V105))))</f>
        <v/>
      </c>
      <c r="G105" s="1" t="str">
        <f>IF($B105="","",IF(V105="","",IF(INDEX('Input Contact Information'!$E$2:$E$200,V105)="","",INDEX('Input Contact Information'!$E$2:$E$200,V105))))</f>
        <v/>
      </c>
      <c r="H105" s="1" t="str">
        <f>IF($B105="","",IF(V105="","",IF(INDEX('Input Contact Information'!$G$2:$G$200,V105)="","",INDEX('Input Contact Information'!$G$2:$G$200,V105))))</f>
        <v/>
      </c>
      <c r="I105" s="1" t="str">
        <f>IF($B105="","",IF(V105="","",IF(INDEX('Input Contact Information'!$H$2:$H$200,V105)="","",INDEX('Input Contact Information'!$H$2:$H$200,V105))))</f>
        <v/>
      </c>
      <c r="J105" s="1" t="str">
        <f>IF($B105="","",IF(V105="","",IF(INDEX('Input Contact Information'!$I$2:$I$200,V105)="","",INDEX('Input Contact Information'!$I$2:$I$200,V105))))</f>
        <v/>
      </c>
      <c r="K105" s="1" t="str">
        <f>IF($B105="","",IF(V105="","",IF(INDEX('Input Contact Information'!$A$2:$A$200,V105)="","",INDEX('Input Contact Information'!$A$2:$A$200,V105))))</f>
        <v/>
      </c>
      <c r="L105" s="1" t="str">
        <f>IF($B105="","",IF(W105="","",IF(INDEX('Accounts Overview'!$I$2:$I$100,W105)="","",INDEX('Accounts Overview'!$I$2:$I$100,W105))))</f>
        <v/>
      </c>
      <c r="M105" s="1" t="str">
        <f>IF($B105="","",IF(V105="","",IF(INDEX('Input Contact Information'!$J$2:$J$200,V105)="","",INDEX('Input Contact Information'!$J$2:$J$200,V105))))</f>
        <v/>
      </c>
      <c r="N105" s="1" t="str">
        <f>IF($B105="","",IF(V105="","",IF(INDEX('Input Contact Information'!$K$2:$K$200,V105)="","",INDEX('Input Contact Information'!$K$2:$K$200,V105))))</f>
        <v/>
      </c>
      <c r="O105" s="1" t="str">
        <f>IF($B105="","",IF(V105="","",IF(INDEX('Input Contact Information'!$L$2:$L$200,V105)="","",INDEX('Input Contact Information'!$L$2:$L$200,V105))))</f>
        <v/>
      </c>
      <c r="P105" s="1" t="str">
        <f>IF($B105="","",IF((IF(V105="","",IF(INDEX('Input Contact Information'!$N$2:$N$200,V105)="","",INDEX('Input Contact Information'!$N$2:$N$200,V105))))&lt;&gt;"",IF(V105="","",IF(INDEX('Input Contact Information'!$N$2:$N$200,V105)="","",INDEX('Input Contact Information'!$N$2:$N$200,V105))),IF(V105="","",IF(INDEX('Input Contact Information'!$M$2:$M$200,V105)="","",INDEX('Input Contact Information'!$M$2:$M$200,V105)))))</f>
        <v/>
      </c>
      <c r="Q105" s="1" t="str">
        <f t="shared" si="7"/>
        <v/>
      </c>
      <c r="R105" s="1" t="str">
        <f>IF($B105="","",IF(X105="","",IF(INDEX('Engagements Overview'!$I$2:$I$200,X105)="","",INDEX('Engagements Overview'!$I$2:$I$200,X105))))</f>
        <v/>
      </c>
      <c r="S105" s="14" t="str">
        <f>IF($B105="","",IF(X105="","",IF(INDEX('Engagements Overview'!$K$2:$K$200,X105)="","",INDEX('Engagements Overview'!$K$2:$K$200,X105))))</f>
        <v/>
      </c>
      <c r="T105" s="1" t="str">
        <f>IF($B105="","",IF(V105="","",IF(INDEX('Input Contact Information'!$O$2:$O$200,V105)="","",INDEX('Input Contact Information'!$O$2:$O$200,V105))))</f>
        <v/>
      </c>
      <c r="U105" s="1" t="str">
        <f>IF($B105="","",IF(V105="","",IF(INDEX('Input Contact Information'!$P$2:$P$200,V105)="","",INDEX('Input Contact Information'!$P$2:$P$200,V105))))</f>
        <v/>
      </c>
      <c r="V105" s="1" t="str">
        <f>IF(B105="","",IFERROR(MATCH(B105&amp;"|"&amp;C105,'Input Contact Information'!$W$2:$W$200,0),""))</f>
        <v/>
      </c>
      <c r="W105" s="1" t="str">
        <f>IF(C105="","",IFERROR(MATCH(C105,'Accounts Overview'!$B$2:$B$100,0),""))</f>
        <v/>
      </c>
      <c r="X105" s="1" t="str">
        <f>IF(A105="","",IFERROR(MATCH(A105,'Engagements Overview'!$B$2:$B$200,0),""))</f>
        <v/>
      </c>
    </row>
    <row r="106" spans="1:24" ht="15" customHeight="1" x14ac:dyDescent="0.35">
      <c r="A106" s="13" t="str">
        <f t="shared" si="6"/>
        <v/>
      </c>
      <c r="B106" s="1" t="str">
        <f>IFERROR(INDEX('Input Contact Information'!$C$2:$C$200,MATCH(ROW()-1,'Input Contact Information'!$V$2:$V$200,0)),"")</f>
        <v/>
      </c>
      <c r="C106" s="1" t="str">
        <f>IFERROR(INDEX('Input Contact Information'!$B$2:$B$200,MATCH(ROW()-1,'Input Contact Information'!$V$2:$V$200,0)),"")</f>
        <v/>
      </c>
      <c r="D106" s="1" t="str">
        <f>IF($B106="","",IF(W106="","",INDEX('Accounts Overview'!$A$2:$A$100,W106)))</f>
        <v/>
      </c>
      <c r="E106" s="1" t="str">
        <f>IF($B106="","",IF(V106="","",IF(INDEX('Input Contact Information'!$D$2:$D$200,V106)="","",INDEX('Input Contact Information'!$D$2:$D$200,V106))))</f>
        <v/>
      </c>
      <c r="F106" s="1" t="str">
        <f>IF($B106="","",IF(V106="","",IF(INDEX('Input Contact Information'!$F$2:$F$200,V106)="","",INDEX('Input Contact Information'!$F$2:$F$200,V106))))</f>
        <v/>
      </c>
      <c r="G106" s="1" t="str">
        <f>IF($B106="","",IF(V106="","",IF(INDEX('Input Contact Information'!$E$2:$E$200,V106)="","",INDEX('Input Contact Information'!$E$2:$E$200,V106))))</f>
        <v/>
      </c>
      <c r="H106" s="1" t="str">
        <f>IF($B106="","",IF(V106="","",IF(INDEX('Input Contact Information'!$G$2:$G$200,V106)="","",INDEX('Input Contact Information'!$G$2:$G$200,V106))))</f>
        <v/>
      </c>
      <c r="I106" s="1" t="str">
        <f>IF($B106="","",IF(V106="","",IF(INDEX('Input Contact Information'!$H$2:$H$200,V106)="","",INDEX('Input Contact Information'!$H$2:$H$200,V106))))</f>
        <v/>
      </c>
      <c r="J106" s="1" t="str">
        <f>IF($B106="","",IF(V106="","",IF(INDEX('Input Contact Information'!$I$2:$I$200,V106)="","",INDEX('Input Contact Information'!$I$2:$I$200,V106))))</f>
        <v/>
      </c>
      <c r="K106" s="1" t="str">
        <f>IF($B106="","",IF(V106="","",IF(INDEX('Input Contact Information'!$A$2:$A$200,V106)="","",INDEX('Input Contact Information'!$A$2:$A$200,V106))))</f>
        <v/>
      </c>
      <c r="L106" s="1" t="str">
        <f>IF($B106="","",IF(W106="","",IF(INDEX('Accounts Overview'!$I$2:$I$100,W106)="","",INDEX('Accounts Overview'!$I$2:$I$100,W106))))</f>
        <v/>
      </c>
      <c r="M106" s="1" t="str">
        <f>IF($B106="","",IF(V106="","",IF(INDEX('Input Contact Information'!$J$2:$J$200,V106)="","",INDEX('Input Contact Information'!$J$2:$J$200,V106))))</f>
        <v/>
      </c>
      <c r="N106" s="1" t="str">
        <f>IF($B106="","",IF(V106="","",IF(INDEX('Input Contact Information'!$K$2:$K$200,V106)="","",INDEX('Input Contact Information'!$K$2:$K$200,V106))))</f>
        <v/>
      </c>
      <c r="O106" s="1" t="str">
        <f>IF($B106="","",IF(V106="","",IF(INDEX('Input Contact Information'!$L$2:$L$200,V106)="","",INDEX('Input Contact Information'!$L$2:$L$200,V106))))</f>
        <v/>
      </c>
      <c r="P106" s="1" t="str">
        <f>IF($B106="","",IF((IF(V106="","",IF(INDEX('Input Contact Information'!$N$2:$N$200,V106)="","",INDEX('Input Contact Information'!$N$2:$N$200,V106))))&lt;&gt;"",IF(V106="","",IF(INDEX('Input Contact Information'!$N$2:$N$200,V106)="","",INDEX('Input Contact Information'!$N$2:$N$200,V106))),IF(V106="","",IF(INDEX('Input Contact Information'!$M$2:$M$200,V106)="","",INDEX('Input Contact Information'!$M$2:$M$200,V106)))))</f>
        <v/>
      </c>
      <c r="Q106" s="1" t="str">
        <f t="shared" si="7"/>
        <v/>
      </c>
      <c r="R106" s="1" t="str">
        <f>IF($B106="","",IF(X106="","",IF(INDEX('Engagements Overview'!$I$2:$I$200,X106)="","",INDEX('Engagements Overview'!$I$2:$I$200,X106))))</f>
        <v/>
      </c>
      <c r="S106" s="14" t="str">
        <f>IF($B106="","",IF(X106="","",IF(INDEX('Engagements Overview'!$K$2:$K$200,X106)="","",INDEX('Engagements Overview'!$K$2:$K$200,X106))))</f>
        <v/>
      </c>
      <c r="T106" s="1" t="str">
        <f>IF($B106="","",IF(V106="","",IF(INDEX('Input Contact Information'!$O$2:$O$200,V106)="","",INDEX('Input Contact Information'!$O$2:$O$200,V106))))</f>
        <v/>
      </c>
      <c r="U106" s="1" t="str">
        <f>IF($B106="","",IF(V106="","",IF(INDEX('Input Contact Information'!$P$2:$P$200,V106)="","",INDEX('Input Contact Information'!$P$2:$P$200,V106))))</f>
        <v/>
      </c>
      <c r="V106" s="1" t="str">
        <f>IF(B106="","",IFERROR(MATCH(B106&amp;"|"&amp;C106,'Input Contact Information'!$W$2:$W$200,0),""))</f>
        <v/>
      </c>
      <c r="W106" s="1" t="str">
        <f>IF(C106="","",IFERROR(MATCH(C106,'Accounts Overview'!$B$2:$B$100,0),""))</f>
        <v/>
      </c>
      <c r="X106" s="1" t="str">
        <f>IF(A106="","",IFERROR(MATCH(A106,'Engagements Overview'!$B$2:$B$200,0),""))</f>
        <v/>
      </c>
    </row>
    <row r="107" spans="1:24" ht="15" customHeight="1" x14ac:dyDescent="0.35">
      <c r="A107" s="13" t="str">
        <f t="shared" si="6"/>
        <v/>
      </c>
      <c r="B107" s="1" t="str">
        <f>IFERROR(INDEX('Input Contact Information'!$C$2:$C$200,MATCH(ROW()-1,'Input Contact Information'!$V$2:$V$200,0)),"")</f>
        <v/>
      </c>
      <c r="C107" s="1" t="str">
        <f>IFERROR(INDEX('Input Contact Information'!$B$2:$B$200,MATCH(ROW()-1,'Input Contact Information'!$V$2:$V$200,0)),"")</f>
        <v/>
      </c>
      <c r="D107" s="1" t="str">
        <f>IF($B107="","",IF(W107="","",INDEX('Accounts Overview'!$A$2:$A$100,W107)))</f>
        <v/>
      </c>
      <c r="E107" s="1" t="str">
        <f>IF($B107="","",IF(V107="","",IF(INDEX('Input Contact Information'!$D$2:$D$200,V107)="","",INDEX('Input Contact Information'!$D$2:$D$200,V107))))</f>
        <v/>
      </c>
      <c r="F107" s="1" t="str">
        <f>IF($B107="","",IF(V107="","",IF(INDEX('Input Contact Information'!$F$2:$F$200,V107)="","",INDEX('Input Contact Information'!$F$2:$F$200,V107))))</f>
        <v/>
      </c>
      <c r="G107" s="1" t="str">
        <f>IF($B107="","",IF(V107="","",IF(INDEX('Input Contact Information'!$E$2:$E$200,V107)="","",INDEX('Input Contact Information'!$E$2:$E$200,V107))))</f>
        <v/>
      </c>
      <c r="H107" s="1" t="str">
        <f>IF($B107="","",IF(V107="","",IF(INDEX('Input Contact Information'!$G$2:$G$200,V107)="","",INDEX('Input Contact Information'!$G$2:$G$200,V107))))</f>
        <v/>
      </c>
      <c r="I107" s="1" t="str">
        <f>IF($B107="","",IF(V107="","",IF(INDEX('Input Contact Information'!$H$2:$H$200,V107)="","",INDEX('Input Contact Information'!$H$2:$H$200,V107))))</f>
        <v/>
      </c>
      <c r="J107" s="1" t="str">
        <f>IF($B107="","",IF(V107="","",IF(INDEX('Input Contact Information'!$I$2:$I$200,V107)="","",INDEX('Input Contact Information'!$I$2:$I$200,V107))))</f>
        <v/>
      </c>
      <c r="K107" s="1" t="str">
        <f>IF($B107="","",IF(V107="","",IF(INDEX('Input Contact Information'!$A$2:$A$200,V107)="","",INDEX('Input Contact Information'!$A$2:$A$200,V107))))</f>
        <v/>
      </c>
      <c r="L107" s="1" t="str">
        <f>IF($B107="","",IF(W107="","",IF(INDEX('Accounts Overview'!$I$2:$I$100,W107)="","",INDEX('Accounts Overview'!$I$2:$I$100,W107))))</f>
        <v/>
      </c>
      <c r="M107" s="1" t="str">
        <f>IF($B107="","",IF(V107="","",IF(INDEX('Input Contact Information'!$J$2:$J$200,V107)="","",INDEX('Input Contact Information'!$J$2:$J$200,V107))))</f>
        <v/>
      </c>
      <c r="N107" s="1" t="str">
        <f>IF($B107="","",IF(V107="","",IF(INDEX('Input Contact Information'!$K$2:$K$200,V107)="","",INDEX('Input Contact Information'!$K$2:$K$200,V107))))</f>
        <v/>
      </c>
      <c r="O107" s="1" t="str">
        <f>IF($B107="","",IF(V107="","",IF(INDEX('Input Contact Information'!$L$2:$L$200,V107)="","",INDEX('Input Contact Information'!$L$2:$L$200,V107))))</f>
        <v/>
      </c>
      <c r="P107" s="1" t="str">
        <f>IF($B107="","",IF((IF(V107="","",IF(INDEX('Input Contact Information'!$N$2:$N$200,V107)="","",INDEX('Input Contact Information'!$N$2:$N$200,V107))))&lt;&gt;"",IF(V107="","",IF(INDEX('Input Contact Information'!$N$2:$N$200,V107)="","",INDEX('Input Contact Information'!$N$2:$N$200,V107))),IF(V107="","",IF(INDEX('Input Contact Information'!$M$2:$M$200,V107)="","",INDEX('Input Contact Information'!$M$2:$M$200,V107)))))</f>
        <v/>
      </c>
      <c r="Q107" s="1" t="str">
        <f t="shared" si="7"/>
        <v/>
      </c>
      <c r="R107" s="1" t="str">
        <f>IF($B107="","",IF(X107="","",IF(INDEX('Engagements Overview'!$I$2:$I$200,X107)="","",INDEX('Engagements Overview'!$I$2:$I$200,X107))))</f>
        <v/>
      </c>
      <c r="S107" s="14" t="str">
        <f>IF($B107="","",IF(X107="","",IF(INDEX('Engagements Overview'!$K$2:$K$200,X107)="","",INDEX('Engagements Overview'!$K$2:$K$200,X107))))</f>
        <v/>
      </c>
      <c r="T107" s="1" t="str">
        <f>IF($B107="","",IF(V107="","",IF(INDEX('Input Contact Information'!$O$2:$O$200,V107)="","",INDEX('Input Contact Information'!$O$2:$O$200,V107))))</f>
        <v/>
      </c>
      <c r="U107" s="1" t="str">
        <f>IF($B107="","",IF(V107="","",IF(INDEX('Input Contact Information'!$P$2:$P$200,V107)="","",INDEX('Input Contact Information'!$P$2:$P$200,V107))))</f>
        <v/>
      </c>
      <c r="V107" s="1" t="str">
        <f>IF(B107="","",IFERROR(MATCH(B107&amp;"|"&amp;C107,'Input Contact Information'!$W$2:$W$200,0),""))</f>
        <v/>
      </c>
      <c r="W107" s="1" t="str">
        <f>IF(C107="","",IFERROR(MATCH(C107,'Accounts Overview'!$B$2:$B$100,0),""))</f>
        <v/>
      </c>
      <c r="X107" s="1" t="str">
        <f>IF(A107="","",IFERROR(MATCH(A107,'Engagements Overview'!$B$2:$B$200,0),""))</f>
        <v/>
      </c>
    </row>
    <row r="108" spans="1:24" ht="15" customHeight="1" x14ac:dyDescent="0.35">
      <c r="A108" s="13" t="str">
        <f t="shared" si="6"/>
        <v/>
      </c>
      <c r="B108" s="1" t="str">
        <f>IFERROR(INDEX('Input Contact Information'!$C$2:$C$200,MATCH(ROW()-1,'Input Contact Information'!$V$2:$V$200,0)),"")</f>
        <v/>
      </c>
      <c r="C108" s="1" t="str">
        <f>IFERROR(INDEX('Input Contact Information'!$B$2:$B$200,MATCH(ROW()-1,'Input Contact Information'!$V$2:$V$200,0)),"")</f>
        <v/>
      </c>
      <c r="D108" s="1" t="str">
        <f>IF($B108="","",IF(W108="","",INDEX('Accounts Overview'!$A$2:$A$100,W108)))</f>
        <v/>
      </c>
      <c r="E108" s="1" t="str">
        <f>IF($B108="","",IF(V108="","",IF(INDEX('Input Contact Information'!$D$2:$D$200,V108)="","",INDEX('Input Contact Information'!$D$2:$D$200,V108))))</f>
        <v/>
      </c>
      <c r="F108" s="1" t="str">
        <f>IF($B108="","",IF(V108="","",IF(INDEX('Input Contact Information'!$F$2:$F$200,V108)="","",INDEX('Input Contact Information'!$F$2:$F$200,V108))))</f>
        <v/>
      </c>
      <c r="G108" s="1" t="str">
        <f>IF($B108="","",IF(V108="","",IF(INDEX('Input Contact Information'!$E$2:$E$200,V108)="","",INDEX('Input Contact Information'!$E$2:$E$200,V108))))</f>
        <v/>
      </c>
      <c r="H108" s="1" t="str">
        <f>IF($B108="","",IF(V108="","",IF(INDEX('Input Contact Information'!$G$2:$G$200,V108)="","",INDEX('Input Contact Information'!$G$2:$G$200,V108))))</f>
        <v/>
      </c>
      <c r="I108" s="1" t="str">
        <f>IF($B108="","",IF(V108="","",IF(INDEX('Input Contact Information'!$H$2:$H$200,V108)="","",INDEX('Input Contact Information'!$H$2:$H$200,V108))))</f>
        <v/>
      </c>
      <c r="J108" s="1" t="str">
        <f>IF($B108="","",IF(V108="","",IF(INDEX('Input Contact Information'!$I$2:$I$200,V108)="","",INDEX('Input Contact Information'!$I$2:$I$200,V108))))</f>
        <v/>
      </c>
      <c r="K108" s="1" t="str">
        <f>IF($B108="","",IF(V108="","",IF(INDEX('Input Contact Information'!$A$2:$A$200,V108)="","",INDEX('Input Contact Information'!$A$2:$A$200,V108))))</f>
        <v/>
      </c>
      <c r="L108" s="1" t="str">
        <f>IF($B108="","",IF(W108="","",IF(INDEX('Accounts Overview'!$I$2:$I$100,W108)="","",INDEX('Accounts Overview'!$I$2:$I$100,W108))))</f>
        <v/>
      </c>
      <c r="M108" s="1" t="str">
        <f>IF($B108="","",IF(V108="","",IF(INDEX('Input Contact Information'!$J$2:$J$200,V108)="","",INDEX('Input Contact Information'!$J$2:$J$200,V108))))</f>
        <v/>
      </c>
      <c r="N108" s="1" t="str">
        <f>IF($B108="","",IF(V108="","",IF(INDEX('Input Contact Information'!$K$2:$K$200,V108)="","",INDEX('Input Contact Information'!$K$2:$K$200,V108))))</f>
        <v/>
      </c>
      <c r="O108" s="1" t="str">
        <f>IF($B108="","",IF(V108="","",IF(INDEX('Input Contact Information'!$L$2:$L$200,V108)="","",INDEX('Input Contact Information'!$L$2:$L$200,V108))))</f>
        <v/>
      </c>
      <c r="P108" s="1" t="str">
        <f>IF($B108="","",IF((IF(V108="","",IF(INDEX('Input Contact Information'!$N$2:$N$200,V108)="","",INDEX('Input Contact Information'!$N$2:$N$200,V108))))&lt;&gt;"",IF(V108="","",IF(INDEX('Input Contact Information'!$N$2:$N$200,V108)="","",INDEX('Input Contact Information'!$N$2:$N$200,V108))),IF(V108="","",IF(INDEX('Input Contact Information'!$M$2:$M$200,V108)="","",INDEX('Input Contact Information'!$M$2:$M$200,V108)))))</f>
        <v/>
      </c>
      <c r="Q108" s="1" t="str">
        <f t="shared" si="7"/>
        <v/>
      </c>
      <c r="R108" s="1" t="str">
        <f>IF($B108="","",IF(X108="","",IF(INDEX('Engagements Overview'!$I$2:$I$200,X108)="","",INDEX('Engagements Overview'!$I$2:$I$200,X108))))</f>
        <v/>
      </c>
      <c r="S108" s="14" t="str">
        <f>IF($B108="","",IF(X108="","",IF(INDEX('Engagements Overview'!$K$2:$K$200,X108)="","",INDEX('Engagements Overview'!$K$2:$K$200,X108))))</f>
        <v/>
      </c>
      <c r="T108" s="1" t="str">
        <f>IF($B108="","",IF(V108="","",IF(INDEX('Input Contact Information'!$O$2:$O$200,V108)="","",INDEX('Input Contact Information'!$O$2:$O$200,V108))))</f>
        <v/>
      </c>
      <c r="U108" s="1" t="str">
        <f>IF($B108="","",IF(V108="","",IF(INDEX('Input Contact Information'!$P$2:$P$200,V108)="","",INDEX('Input Contact Information'!$P$2:$P$200,V108))))</f>
        <v/>
      </c>
      <c r="V108" s="1" t="str">
        <f>IF(B108="","",IFERROR(MATCH(B108&amp;"|"&amp;C108,'Input Contact Information'!$W$2:$W$200,0),""))</f>
        <v/>
      </c>
      <c r="W108" s="1" t="str">
        <f>IF(C108="","",IFERROR(MATCH(C108,'Accounts Overview'!$B$2:$B$100,0),""))</f>
        <v/>
      </c>
      <c r="X108" s="1" t="str">
        <f>IF(A108="","",IFERROR(MATCH(A108,'Engagements Overview'!$B$2:$B$200,0),""))</f>
        <v/>
      </c>
    </row>
    <row r="109" spans="1:24" ht="15" customHeight="1" x14ac:dyDescent="0.35">
      <c r="A109" s="13" t="str">
        <f t="shared" si="6"/>
        <v/>
      </c>
      <c r="B109" s="1" t="str">
        <f>IFERROR(INDEX('Input Contact Information'!$C$2:$C$200,MATCH(ROW()-1,'Input Contact Information'!$V$2:$V$200,0)),"")</f>
        <v/>
      </c>
      <c r="C109" s="1" t="str">
        <f>IFERROR(INDEX('Input Contact Information'!$B$2:$B$200,MATCH(ROW()-1,'Input Contact Information'!$V$2:$V$200,0)),"")</f>
        <v/>
      </c>
      <c r="D109" s="1" t="str">
        <f>IF($B109="","",IF(W109="","",INDEX('Accounts Overview'!$A$2:$A$100,W109)))</f>
        <v/>
      </c>
      <c r="E109" s="1" t="str">
        <f>IF($B109="","",IF(V109="","",IF(INDEX('Input Contact Information'!$D$2:$D$200,V109)="","",INDEX('Input Contact Information'!$D$2:$D$200,V109))))</f>
        <v/>
      </c>
      <c r="F109" s="1" t="str">
        <f>IF($B109="","",IF(V109="","",IF(INDEX('Input Contact Information'!$F$2:$F$200,V109)="","",INDEX('Input Contact Information'!$F$2:$F$200,V109))))</f>
        <v/>
      </c>
      <c r="G109" s="1" t="str">
        <f>IF($B109="","",IF(V109="","",IF(INDEX('Input Contact Information'!$E$2:$E$200,V109)="","",INDEX('Input Contact Information'!$E$2:$E$200,V109))))</f>
        <v/>
      </c>
      <c r="H109" s="1" t="str">
        <f>IF($B109="","",IF(V109="","",IF(INDEX('Input Contact Information'!$G$2:$G$200,V109)="","",INDEX('Input Contact Information'!$G$2:$G$200,V109))))</f>
        <v/>
      </c>
      <c r="I109" s="1" t="str">
        <f>IF($B109="","",IF(V109="","",IF(INDEX('Input Contact Information'!$H$2:$H$200,V109)="","",INDEX('Input Contact Information'!$H$2:$H$200,V109))))</f>
        <v/>
      </c>
      <c r="J109" s="1" t="str">
        <f>IF($B109="","",IF(V109="","",IF(INDEX('Input Contact Information'!$I$2:$I$200,V109)="","",INDEX('Input Contact Information'!$I$2:$I$200,V109))))</f>
        <v/>
      </c>
      <c r="K109" s="1" t="str">
        <f>IF($B109="","",IF(V109="","",IF(INDEX('Input Contact Information'!$A$2:$A$200,V109)="","",INDEX('Input Contact Information'!$A$2:$A$200,V109))))</f>
        <v/>
      </c>
      <c r="L109" s="1" t="str">
        <f>IF($B109="","",IF(W109="","",IF(INDEX('Accounts Overview'!$I$2:$I$100,W109)="","",INDEX('Accounts Overview'!$I$2:$I$100,W109))))</f>
        <v/>
      </c>
      <c r="M109" s="1" t="str">
        <f>IF($B109="","",IF(V109="","",IF(INDEX('Input Contact Information'!$J$2:$J$200,V109)="","",INDEX('Input Contact Information'!$J$2:$J$200,V109))))</f>
        <v/>
      </c>
      <c r="N109" s="1" t="str">
        <f>IF($B109="","",IF(V109="","",IF(INDEX('Input Contact Information'!$K$2:$K$200,V109)="","",INDEX('Input Contact Information'!$K$2:$K$200,V109))))</f>
        <v/>
      </c>
      <c r="O109" s="1" t="str">
        <f>IF($B109="","",IF(V109="","",IF(INDEX('Input Contact Information'!$L$2:$L$200,V109)="","",INDEX('Input Contact Information'!$L$2:$L$200,V109))))</f>
        <v/>
      </c>
      <c r="P109" s="1" t="str">
        <f>IF($B109="","",IF((IF(V109="","",IF(INDEX('Input Contact Information'!$N$2:$N$200,V109)="","",INDEX('Input Contact Information'!$N$2:$N$200,V109))))&lt;&gt;"",IF(V109="","",IF(INDEX('Input Contact Information'!$N$2:$N$200,V109)="","",INDEX('Input Contact Information'!$N$2:$N$200,V109))),IF(V109="","",IF(INDEX('Input Contact Information'!$M$2:$M$200,V109)="","",INDEX('Input Contact Information'!$M$2:$M$200,V109)))))</f>
        <v/>
      </c>
      <c r="Q109" s="1" t="str">
        <f t="shared" si="7"/>
        <v/>
      </c>
      <c r="R109" s="1" t="str">
        <f>IF($B109="","",IF(X109="","",IF(INDEX('Engagements Overview'!$I$2:$I$200,X109)="","",INDEX('Engagements Overview'!$I$2:$I$200,X109))))</f>
        <v/>
      </c>
      <c r="S109" s="14" t="str">
        <f>IF($B109="","",IF(X109="","",IF(INDEX('Engagements Overview'!$K$2:$K$200,X109)="","",INDEX('Engagements Overview'!$K$2:$K$200,X109))))</f>
        <v/>
      </c>
      <c r="T109" s="1" t="str">
        <f>IF($B109="","",IF(V109="","",IF(INDEX('Input Contact Information'!$O$2:$O$200,V109)="","",INDEX('Input Contact Information'!$O$2:$O$200,V109))))</f>
        <v/>
      </c>
      <c r="U109" s="1" t="str">
        <f>IF($B109="","",IF(V109="","",IF(INDEX('Input Contact Information'!$P$2:$P$200,V109)="","",INDEX('Input Contact Information'!$P$2:$P$200,V109))))</f>
        <v/>
      </c>
      <c r="V109" s="1" t="str">
        <f>IF(B109="","",IFERROR(MATCH(B109&amp;"|"&amp;C109,'Input Contact Information'!$W$2:$W$200,0),""))</f>
        <v/>
      </c>
      <c r="W109" s="1" t="str">
        <f>IF(C109="","",IFERROR(MATCH(C109,'Accounts Overview'!$B$2:$B$100,0),""))</f>
        <v/>
      </c>
      <c r="X109" s="1" t="str">
        <f>IF(A109="","",IFERROR(MATCH(A109,'Engagements Overview'!$B$2:$B$200,0),""))</f>
        <v/>
      </c>
    </row>
    <row r="110" spans="1:24" ht="15" customHeight="1" x14ac:dyDescent="0.35">
      <c r="A110" s="13" t="str">
        <f t="shared" si="6"/>
        <v/>
      </c>
      <c r="B110" s="1" t="str">
        <f>IFERROR(INDEX('Input Contact Information'!$C$2:$C$200,MATCH(ROW()-1,'Input Contact Information'!$V$2:$V$200,0)),"")</f>
        <v/>
      </c>
      <c r="C110" s="1" t="str">
        <f>IFERROR(INDEX('Input Contact Information'!$B$2:$B$200,MATCH(ROW()-1,'Input Contact Information'!$V$2:$V$200,0)),"")</f>
        <v/>
      </c>
      <c r="D110" s="1" t="str">
        <f>IF($B110="","",IF(W110="","",INDEX('Accounts Overview'!$A$2:$A$100,W110)))</f>
        <v/>
      </c>
      <c r="E110" s="1" t="str">
        <f>IF($B110="","",IF(V110="","",IF(INDEX('Input Contact Information'!$D$2:$D$200,V110)="","",INDEX('Input Contact Information'!$D$2:$D$200,V110))))</f>
        <v/>
      </c>
      <c r="F110" s="1" t="str">
        <f>IF($B110="","",IF(V110="","",IF(INDEX('Input Contact Information'!$F$2:$F$200,V110)="","",INDEX('Input Contact Information'!$F$2:$F$200,V110))))</f>
        <v/>
      </c>
      <c r="G110" s="1" t="str">
        <f>IF($B110="","",IF(V110="","",IF(INDEX('Input Contact Information'!$E$2:$E$200,V110)="","",INDEX('Input Contact Information'!$E$2:$E$200,V110))))</f>
        <v/>
      </c>
      <c r="H110" s="1" t="str">
        <f>IF($B110="","",IF(V110="","",IF(INDEX('Input Contact Information'!$G$2:$G$200,V110)="","",INDEX('Input Contact Information'!$G$2:$G$200,V110))))</f>
        <v/>
      </c>
      <c r="I110" s="1" t="str">
        <f>IF($B110="","",IF(V110="","",IF(INDEX('Input Contact Information'!$H$2:$H$200,V110)="","",INDEX('Input Contact Information'!$H$2:$H$200,V110))))</f>
        <v/>
      </c>
      <c r="J110" s="1" t="str">
        <f>IF($B110="","",IF(V110="","",IF(INDEX('Input Contact Information'!$I$2:$I$200,V110)="","",INDEX('Input Contact Information'!$I$2:$I$200,V110))))</f>
        <v/>
      </c>
      <c r="K110" s="1" t="str">
        <f>IF($B110="","",IF(V110="","",IF(INDEX('Input Contact Information'!$A$2:$A$200,V110)="","",INDEX('Input Contact Information'!$A$2:$A$200,V110))))</f>
        <v/>
      </c>
      <c r="L110" s="1" t="str">
        <f>IF($B110="","",IF(W110="","",IF(INDEX('Accounts Overview'!$I$2:$I$100,W110)="","",INDEX('Accounts Overview'!$I$2:$I$100,W110))))</f>
        <v/>
      </c>
      <c r="M110" s="1" t="str">
        <f>IF($B110="","",IF(V110="","",IF(INDEX('Input Contact Information'!$J$2:$J$200,V110)="","",INDEX('Input Contact Information'!$J$2:$J$200,V110))))</f>
        <v/>
      </c>
      <c r="N110" s="1" t="str">
        <f>IF($B110="","",IF(V110="","",IF(INDEX('Input Contact Information'!$K$2:$K$200,V110)="","",INDEX('Input Contact Information'!$K$2:$K$200,V110))))</f>
        <v/>
      </c>
      <c r="O110" s="1" t="str">
        <f>IF($B110="","",IF(V110="","",IF(INDEX('Input Contact Information'!$L$2:$L$200,V110)="","",INDEX('Input Contact Information'!$L$2:$L$200,V110))))</f>
        <v/>
      </c>
      <c r="P110" s="1" t="str">
        <f>IF($B110="","",IF((IF(V110="","",IF(INDEX('Input Contact Information'!$N$2:$N$200,V110)="","",INDEX('Input Contact Information'!$N$2:$N$200,V110))))&lt;&gt;"",IF(V110="","",IF(INDEX('Input Contact Information'!$N$2:$N$200,V110)="","",INDEX('Input Contact Information'!$N$2:$N$200,V110))),IF(V110="","",IF(INDEX('Input Contact Information'!$M$2:$M$200,V110)="","",INDEX('Input Contact Information'!$M$2:$M$200,V110)))))</f>
        <v/>
      </c>
      <c r="Q110" s="1" t="str">
        <f t="shared" si="7"/>
        <v/>
      </c>
      <c r="R110" s="1" t="str">
        <f>IF($B110="","",IF(X110="","",IF(INDEX('Engagements Overview'!$I$2:$I$200,X110)="","",INDEX('Engagements Overview'!$I$2:$I$200,X110))))</f>
        <v/>
      </c>
      <c r="S110" s="14" t="str">
        <f>IF($B110="","",IF(X110="","",IF(INDEX('Engagements Overview'!$K$2:$K$200,X110)="","",INDEX('Engagements Overview'!$K$2:$K$200,X110))))</f>
        <v/>
      </c>
      <c r="T110" s="1" t="str">
        <f>IF($B110="","",IF(V110="","",IF(INDEX('Input Contact Information'!$O$2:$O$200,V110)="","",INDEX('Input Contact Information'!$O$2:$O$200,V110))))</f>
        <v/>
      </c>
      <c r="U110" s="1" t="str">
        <f>IF($B110="","",IF(V110="","",IF(INDEX('Input Contact Information'!$P$2:$P$200,V110)="","",INDEX('Input Contact Information'!$P$2:$P$200,V110))))</f>
        <v/>
      </c>
      <c r="V110" s="1" t="str">
        <f>IF(B110="","",IFERROR(MATCH(B110&amp;"|"&amp;C110,'Input Contact Information'!$W$2:$W$200,0),""))</f>
        <v/>
      </c>
      <c r="W110" s="1" t="str">
        <f>IF(C110="","",IFERROR(MATCH(C110,'Accounts Overview'!$B$2:$B$100,0),""))</f>
        <v/>
      </c>
      <c r="X110" s="1" t="str">
        <f>IF(A110="","",IFERROR(MATCH(A110,'Engagements Overview'!$B$2:$B$200,0),""))</f>
        <v/>
      </c>
    </row>
    <row r="111" spans="1:24" ht="15" customHeight="1" x14ac:dyDescent="0.35">
      <c r="A111" s="13" t="str">
        <f t="shared" si="6"/>
        <v/>
      </c>
      <c r="B111" s="1" t="str">
        <f>IFERROR(INDEX('Input Contact Information'!$C$2:$C$200,MATCH(ROW()-1,'Input Contact Information'!$V$2:$V$200,0)),"")</f>
        <v/>
      </c>
      <c r="C111" s="1" t="str">
        <f>IFERROR(INDEX('Input Contact Information'!$B$2:$B$200,MATCH(ROW()-1,'Input Contact Information'!$V$2:$V$200,0)),"")</f>
        <v/>
      </c>
      <c r="D111" s="1" t="str">
        <f>IF($B111="","",IF(W111="","",INDEX('Accounts Overview'!$A$2:$A$100,W111)))</f>
        <v/>
      </c>
      <c r="E111" s="1" t="str">
        <f>IF($B111="","",IF(V111="","",IF(INDEX('Input Contact Information'!$D$2:$D$200,V111)="","",INDEX('Input Contact Information'!$D$2:$D$200,V111))))</f>
        <v/>
      </c>
      <c r="F111" s="1" t="str">
        <f>IF($B111="","",IF(V111="","",IF(INDEX('Input Contact Information'!$F$2:$F$200,V111)="","",INDEX('Input Contact Information'!$F$2:$F$200,V111))))</f>
        <v/>
      </c>
      <c r="G111" s="1" t="str">
        <f>IF($B111="","",IF(V111="","",IF(INDEX('Input Contact Information'!$E$2:$E$200,V111)="","",INDEX('Input Contact Information'!$E$2:$E$200,V111))))</f>
        <v/>
      </c>
      <c r="H111" s="1" t="str">
        <f>IF($B111="","",IF(V111="","",IF(INDEX('Input Contact Information'!$G$2:$G$200,V111)="","",INDEX('Input Contact Information'!$G$2:$G$200,V111))))</f>
        <v/>
      </c>
      <c r="I111" s="1" t="str">
        <f>IF($B111="","",IF(V111="","",IF(INDEX('Input Contact Information'!$H$2:$H$200,V111)="","",INDEX('Input Contact Information'!$H$2:$H$200,V111))))</f>
        <v/>
      </c>
      <c r="J111" s="1" t="str">
        <f>IF($B111="","",IF(V111="","",IF(INDEX('Input Contact Information'!$I$2:$I$200,V111)="","",INDEX('Input Contact Information'!$I$2:$I$200,V111))))</f>
        <v/>
      </c>
      <c r="K111" s="1" t="str">
        <f>IF($B111="","",IF(V111="","",IF(INDEX('Input Contact Information'!$A$2:$A$200,V111)="","",INDEX('Input Contact Information'!$A$2:$A$200,V111))))</f>
        <v/>
      </c>
      <c r="L111" s="1" t="str">
        <f>IF($B111="","",IF(W111="","",IF(INDEX('Accounts Overview'!$I$2:$I$100,W111)="","",INDEX('Accounts Overview'!$I$2:$I$100,W111))))</f>
        <v/>
      </c>
      <c r="M111" s="1" t="str">
        <f>IF($B111="","",IF(V111="","",IF(INDEX('Input Contact Information'!$J$2:$J$200,V111)="","",INDEX('Input Contact Information'!$J$2:$J$200,V111))))</f>
        <v/>
      </c>
      <c r="N111" s="1" t="str">
        <f>IF($B111="","",IF(V111="","",IF(INDEX('Input Contact Information'!$K$2:$K$200,V111)="","",INDEX('Input Contact Information'!$K$2:$K$200,V111))))</f>
        <v/>
      </c>
      <c r="O111" s="1" t="str">
        <f>IF($B111="","",IF(V111="","",IF(INDEX('Input Contact Information'!$L$2:$L$200,V111)="","",INDEX('Input Contact Information'!$L$2:$L$200,V111))))</f>
        <v/>
      </c>
      <c r="P111" s="1" t="str">
        <f>IF($B111="","",IF((IF(V111="","",IF(INDEX('Input Contact Information'!$N$2:$N$200,V111)="","",INDEX('Input Contact Information'!$N$2:$N$200,V111))))&lt;&gt;"",IF(V111="","",IF(INDEX('Input Contact Information'!$N$2:$N$200,V111)="","",INDEX('Input Contact Information'!$N$2:$N$200,V111))),IF(V111="","",IF(INDEX('Input Contact Information'!$M$2:$M$200,V111)="","",INDEX('Input Contact Information'!$M$2:$M$200,V111)))))</f>
        <v/>
      </c>
      <c r="Q111" s="1" t="str">
        <f t="shared" si="7"/>
        <v/>
      </c>
      <c r="R111" s="1" t="str">
        <f>IF($B111="","",IF(X111="","",IF(INDEX('Engagements Overview'!$I$2:$I$200,X111)="","",INDEX('Engagements Overview'!$I$2:$I$200,X111))))</f>
        <v/>
      </c>
      <c r="S111" s="14" t="str">
        <f>IF($B111="","",IF(X111="","",IF(INDEX('Engagements Overview'!$K$2:$K$200,X111)="","",INDEX('Engagements Overview'!$K$2:$K$200,X111))))</f>
        <v/>
      </c>
      <c r="T111" s="1" t="str">
        <f>IF($B111="","",IF(V111="","",IF(INDEX('Input Contact Information'!$O$2:$O$200,V111)="","",INDEX('Input Contact Information'!$O$2:$O$200,V111))))</f>
        <v/>
      </c>
      <c r="U111" s="1" t="str">
        <f>IF($B111="","",IF(V111="","",IF(INDEX('Input Contact Information'!$P$2:$P$200,V111)="","",INDEX('Input Contact Information'!$P$2:$P$200,V111))))</f>
        <v/>
      </c>
      <c r="V111" s="1" t="str">
        <f>IF(B111="","",IFERROR(MATCH(B111&amp;"|"&amp;C111,'Input Contact Information'!$W$2:$W$200,0),""))</f>
        <v/>
      </c>
      <c r="W111" s="1" t="str">
        <f>IF(C111="","",IFERROR(MATCH(C111,'Accounts Overview'!$B$2:$B$100,0),""))</f>
        <v/>
      </c>
      <c r="X111" s="1" t="str">
        <f>IF(A111="","",IFERROR(MATCH(A111,'Engagements Overview'!$B$2:$B$200,0),""))</f>
        <v/>
      </c>
    </row>
    <row r="112" spans="1:24" ht="15" customHeight="1" x14ac:dyDescent="0.35">
      <c r="A112" s="13" t="str">
        <f t="shared" si="6"/>
        <v/>
      </c>
      <c r="B112" s="1" t="str">
        <f>IFERROR(INDEX('Input Contact Information'!$C$2:$C$200,MATCH(ROW()-1,'Input Contact Information'!$V$2:$V$200,0)),"")</f>
        <v/>
      </c>
      <c r="C112" s="1" t="str">
        <f>IFERROR(INDEX('Input Contact Information'!$B$2:$B$200,MATCH(ROW()-1,'Input Contact Information'!$V$2:$V$200,0)),"")</f>
        <v/>
      </c>
      <c r="D112" s="1" t="str">
        <f>IF($B112="","",IF(W112="","",INDEX('Accounts Overview'!$A$2:$A$100,W112)))</f>
        <v/>
      </c>
      <c r="E112" s="1" t="str">
        <f>IF($B112="","",IF(V112="","",IF(INDEX('Input Contact Information'!$D$2:$D$200,V112)="","",INDEX('Input Contact Information'!$D$2:$D$200,V112))))</f>
        <v/>
      </c>
      <c r="F112" s="1" t="str">
        <f>IF($B112="","",IF(V112="","",IF(INDEX('Input Contact Information'!$F$2:$F$200,V112)="","",INDEX('Input Contact Information'!$F$2:$F$200,V112))))</f>
        <v/>
      </c>
      <c r="G112" s="1" t="str">
        <f>IF($B112="","",IF(V112="","",IF(INDEX('Input Contact Information'!$E$2:$E$200,V112)="","",INDEX('Input Contact Information'!$E$2:$E$200,V112))))</f>
        <v/>
      </c>
      <c r="H112" s="1" t="str">
        <f>IF($B112="","",IF(V112="","",IF(INDEX('Input Contact Information'!$G$2:$G$200,V112)="","",INDEX('Input Contact Information'!$G$2:$G$200,V112))))</f>
        <v/>
      </c>
      <c r="I112" s="1" t="str">
        <f>IF($B112="","",IF(V112="","",IF(INDEX('Input Contact Information'!$H$2:$H$200,V112)="","",INDEX('Input Contact Information'!$H$2:$H$200,V112))))</f>
        <v/>
      </c>
      <c r="J112" s="1" t="str">
        <f>IF($B112="","",IF(V112="","",IF(INDEX('Input Contact Information'!$I$2:$I$200,V112)="","",INDEX('Input Contact Information'!$I$2:$I$200,V112))))</f>
        <v/>
      </c>
      <c r="K112" s="1" t="str">
        <f>IF($B112="","",IF(V112="","",IF(INDEX('Input Contact Information'!$A$2:$A$200,V112)="","",INDEX('Input Contact Information'!$A$2:$A$200,V112))))</f>
        <v/>
      </c>
      <c r="L112" s="1" t="str">
        <f>IF($B112="","",IF(W112="","",IF(INDEX('Accounts Overview'!$I$2:$I$100,W112)="","",INDEX('Accounts Overview'!$I$2:$I$100,W112))))</f>
        <v/>
      </c>
      <c r="M112" s="1" t="str">
        <f>IF($B112="","",IF(V112="","",IF(INDEX('Input Contact Information'!$J$2:$J$200,V112)="","",INDEX('Input Contact Information'!$J$2:$J$200,V112))))</f>
        <v/>
      </c>
      <c r="N112" s="1" t="str">
        <f>IF($B112="","",IF(V112="","",IF(INDEX('Input Contact Information'!$K$2:$K$200,V112)="","",INDEX('Input Contact Information'!$K$2:$K$200,V112))))</f>
        <v/>
      </c>
      <c r="O112" s="1" t="str">
        <f>IF($B112="","",IF(V112="","",IF(INDEX('Input Contact Information'!$L$2:$L$200,V112)="","",INDEX('Input Contact Information'!$L$2:$L$200,V112))))</f>
        <v/>
      </c>
      <c r="P112" s="1" t="str">
        <f>IF($B112="","",IF((IF(V112="","",IF(INDEX('Input Contact Information'!$N$2:$N$200,V112)="","",INDEX('Input Contact Information'!$N$2:$N$200,V112))))&lt;&gt;"",IF(V112="","",IF(INDEX('Input Contact Information'!$N$2:$N$200,V112)="","",INDEX('Input Contact Information'!$N$2:$N$200,V112))),IF(V112="","",IF(INDEX('Input Contact Information'!$M$2:$M$200,V112)="","",INDEX('Input Contact Information'!$M$2:$M$200,V112)))))</f>
        <v/>
      </c>
      <c r="Q112" s="1" t="str">
        <f t="shared" si="7"/>
        <v/>
      </c>
      <c r="R112" s="1" t="str">
        <f>IF($B112="","",IF(X112="","",IF(INDEX('Engagements Overview'!$I$2:$I$200,X112)="","",INDEX('Engagements Overview'!$I$2:$I$200,X112))))</f>
        <v/>
      </c>
      <c r="S112" s="14" t="str">
        <f>IF($B112="","",IF(X112="","",IF(INDEX('Engagements Overview'!$K$2:$K$200,X112)="","",INDEX('Engagements Overview'!$K$2:$K$200,X112))))</f>
        <v/>
      </c>
      <c r="T112" s="1" t="str">
        <f>IF($B112="","",IF(V112="","",IF(INDEX('Input Contact Information'!$O$2:$O$200,V112)="","",INDEX('Input Contact Information'!$O$2:$O$200,V112))))</f>
        <v/>
      </c>
      <c r="U112" s="1" t="str">
        <f>IF($B112="","",IF(V112="","",IF(INDEX('Input Contact Information'!$P$2:$P$200,V112)="","",INDEX('Input Contact Information'!$P$2:$P$200,V112))))</f>
        <v/>
      </c>
      <c r="V112" s="1" t="str">
        <f>IF(B112="","",IFERROR(MATCH(B112&amp;"|"&amp;C112,'Input Contact Information'!$W$2:$W$200,0),""))</f>
        <v/>
      </c>
      <c r="W112" s="1" t="str">
        <f>IF(C112="","",IFERROR(MATCH(C112,'Accounts Overview'!$B$2:$B$100,0),""))</f>
        <v/>
      </c>
      <c r="X112" s="1" t="str">
        <f>IF(A112="","",IFERROR(MATCH(A112,'Engagements Overview'!$B$2:$B$200,0),""))</f>
        <v/>
      </c>
    </row>
    <row r="113" spans="1:24" ht="15" customHeight="1" x14ac:dyDescent="0.35">
      <c r="A113" s="13" t="str">
        <f t="shared" si="6"/>
        <v/>
      </c>
      <c r="B113" s="1" t="str">
        <f>IFERROR(INDEX('Input Contact Information'!$C$2:$C$200,MATCH(ROW()-1,'Input Contact Information'!$V$2:$V$200,0)),"")</f>
        <v/>
      </c>
      <c r="C113" s="1" t="str">
        <f>IFERROR(INDEX('Input Contact Information'!$B$2:$B$200,MATCH(ROW()-1,'Input Contact Information'!$V$2:$V$200,0)),"")</f>
        <v/>
      </c>
      <c r="D113" s="1" t="str">
        <f>IF($B113="","",IF(W113="","",INDEX('Accounts Overview'!$A$2:$A$100,W113)))</f>
        <v/>
      </c>
      <c r="E113" s="1" t="str">
        <f>IF($B113="","",IF(V113="","",IF(INDEX('Input Contact Information'!$D$2:$D$200,V113)="","",INDEX('Input Contact Information'!$D$2:$D$200,V113))))</f>
        <v/>
      </c>
      <c r="F113" s="1" t="str">
        <f>IF($B113="","",IF(V113="","",IF(INDEX('Input Contact Information'!$F$2:$F$200,V113)="","",INDEX('Input Contact Information'!$F$2:$F$200,V113))))</f>
        <v/>
      </c>
      <c r="G113" s="1" t="str">
        <f>IF($B113="","",IF(V113="","",IF(INDEX('Input Contact Information'!$E$2:$E$200,V113)="","",INDEX('Input Contact Information'!$E$2:$E$200,V113))))</f>
        <v/>
      </c>
      <c r="H113" s="1" t="str">
        <f>IF($B113="","",IF(V113="","",IF(INDEX('Input Contact Information'!$G$2:$G$200,V113)="","",INDEX('Input Contact Information'!$G$2:$G$200,V113))))</f>
        <v/>
      </c>
      <c r="I113" s="1" t="str">
        <f>IF($B113="","",IF(V113="","",IF(INDEX('Input Contact Information'!$H$2:$H$200,V113)="","",INDEX('Input Contact Information'!$H$2:$H$200,V113))))</f>
        <v/>
      </c>
      <c r="J113" s="1" t="str">
        <f>IF($B113="","",IF(V113="","",IF(INDEX('Input Contact Information'!$I$2:$I$200,V113)="","",INDEX('Input Contact Information'!$I$2:$I$200,V113))))</f>
        <v/>
      </c>
      <c r="K113" s="1" t="str">
        <f>IF($B113="","",IF(V113="","",IF(INDEX('Input Contact Information'!$A$2:$A$200,V113)="","",INDEX('Input Contact Information'!$A$2:$A$200,V113))))</f>
        <v/>
      </c>
      <c r="L113" s="1" t="str">
        <f>IF($B113="","",IF(W113="","",IF(INDEX('Accounts Overview'!$I$2:$I$100,W113)="","",INDEX('Accounts Overview'!$I$2:$I$100,W113))))</f>
        <v/>
      </c>
      <c r="M113" s="1" t="str">
        <f>IF($B113="","",IF(V113="","",IF(INDEX('Input Contact Information'!$J$2:$J$200,V113)="","",INDEX('Input Contact Information'!$J$2:$J$200,V113))))</f>
        <v/>
      </c>
      <c r="N113" s="1" t="str">
        <f>IF($B113="","",IF(V113="","",IF(INDEX('Input Contact Information'!$K$2:$K$200,V113)="","",INDEX('Input Contact Information'!$K$2:$K$200,V113))))</f>
        <v/>
      </c>
      <c r="O113" s="1" t="str">
        <f>IF($B113="","",IF(V113="","",IF(INDEX('Input Contact Information'!$L$2:$L$200,V113)="","",INDEX('Input Contact Information'!$L$2:$L$200,V113))))</f>
        <v/>
      </c>
      <c r="P113" s="1" t="str">
        <f>IF($B113="","",IF((IF(V113="","",IF(INDEX('Input Contact Information'!$N$2:$N$200,V113)="","",INDEX('Input Contact Information'!$N$2:$N$200,V113))))&lt;&gt;"",IF(V113="","",IF(INDEX('Input Contact Information'!$N$2:$N$200,V113)="","",INDEX('Input Contact Information'!$N$2:$N$200,V113))),IF(V113="","",IF(INDEX('Input Contact Information'!$M$2:$M$200,V113)="","",INDEX('Input Contact Information'!$M$2:$M$200,V113)))))</f>
        <v/>
      </c>
      <c r="Q113" s="1" t="str">
        <f t="shared" si="7"/>
        <v/>
      </c>
      <c r="R113" s="1" t="str">
        <f>IF($B113="","",IF(X113="","",IF(INDEX('Engagements Overview'!$I$2:$I$200,X113)="","",INDEX('Engagements Overview'!$I$2:$I$200,X113))))</f>
        <v/>
      </c>
      <c r="S113" s="14" t="str">
        <f>IF($B113="","",IF(X113="","",IF(INDEX('Engagements Overview'!$K$2:$K$200,X113)="","",INDEX('Engagements Overview'!$K$2:$K$200,X113))))</f>
        <v/>
      </c>
      <c r="T113" s="1" t="str">
        <f>IF($B113="","",IF(V113="","",IF(INDEX('Input Contact Information'!$O$2:$O$200,V113)="","",INDEX('Input Contact Information'!$O$2:$O$200,V113))))</f>
        <v/>
      </c>
      <c r="U113" s="1" t="str">
        <f>IF($B113="","",IF(V113="","",IF(INDEX('Input Contact Information'!$P$2:$P$200,V113)="","",INDEX('Input Contact Information'!$P$2:$P$200,V113))))</f>
        <v/>
      </c>
      <c r="V113" s="1" t="str">
        <f>IF(B113="","",IFERROR(MATCH(B113&amp;"|"&amp;C113,'Input Contact Information'!$W$2:$W$200,0),""))</f>
        <v/>
      </c>
      <c r="W113" s="1" t="str">
        <f>IF(C113="","",IFERROR(MATCH(C113,'Accounts Overview'!$B$2:$B$100,0),""))</f>
        <v/>
      </c>
      <c r="X113" s="1" t="str">
        <f>IF(A113="","",IFERROR(MATCH(A113,'Engagements Overview'!$B$2:$B$200,0),""))</f>
        <v/>
      </c>
    </row>
    <row r="114" spans="1:24" ht="15" customHeight="1" x14ac:dyDescent="0.35">
      <c r="A114" s="13" t="str">
        <f t="shared" si="6"/>
        <v/>
      </c>
      <c r="B114" s="1" t="str">
        <f>IFERROR(INDEX('Input Contact Information'!$C$2:$C$200,MATCH(ROW()-1,'Input Contact Information'!$V$2:$V$200,0)),"")</f>
        <v/>
      </c>
      <c r="C114" s="1" t="str">
        <f>IFERROR(INDEX('Input Contact Information'!$B$2:$B$200,MATCH(ROW()-1,'Input Contact Information'!$V$2:$V$200,0)),"")</f>
        <v/>
      </c>
      <c r="D114" s="1" t="str">
        <f>IF($B114="","",IF(W114="","",INDEX('Accounts Overview'!$A$2:$A$100,W114)))</f>
        <v/>
      </c>
      <c r="E114" s="1" t="str">
        <f>IF($B114="","",IF(V114="","",IF(INDEX('Input Contact Information'!$D$2:$D$200,V114)="","",INDEX('Input Contact Information'!$D$2:$D$200,V114))))</f>
        <v/>
      </c>
      <c r="F114" s="1" t="str">
        <f>IF($B114="","",IF(V114="","",IF(INDEX('Input Contact Information'!$F$2:$F$200,V114)="","",INDEX('Input Contact Information'!$F$2:$F$200,V114))))</f>
        <v/>
      </c>
      <c r="G114" s="1" t="str">
        <f>IF($B114="","",IF(V114="","",IF(INDEX('Input Contact Information'!$E$2:$E$200,V114)="","",INDEX('Input Contact Information'!$E$2:$E$200,V114))))</f>
        <v/>
      </c>
      <c r="H114" s="1" t="str">
        <f>IF($B114="","",IF(V114="","",IF(INDEX('Input Contact Information'!$G$2:$G$200,V114)="","",INDEX('Input Contact Information'!$G$2:$G$200,V114))))</f>
        <v/>
      </c>
      <c r="I114" s="1" t="str">
        <f>IF($B114="","",IF(V114="","",IF(INDEX('Input Contact Information'!$H$2:$H$200,V114)="","",INDEX('Input Contact Information'!$H$2:$H$200,V114))))</f>
        <v/>
      </c>
      <c r="J114" s="1" t="str">
        <f>IF($B114="","",IF(V114="","",IF(INDEX('Input Contact Information'!$I$2:$I$200,V114)="","",INDEX('Input Contact Information'!$I$2:$I$200,V114))))</f>
        <v/>
      </c>
      <c r="K114" s="1" t="str">
        <f>IF($B114="","",IF(V114="","",IF(INDEX('Input Contact Information'!$A$2:$A$200,V114)="","",INDEX('Input Contact Information'!$A$2:$A$200,V114))))</f>
        <v/>
      </c>
      <c r="L114" s="1" t="str">
        <f>IF($B114="","",IF(W114="","",IF(INDEX('Accounts Overview'!$I$2:$I$100,W114)="","",INDEX('Accounts Overview'!$I$2:$I$100,W114))))</f>
        <v/>
      </c>
      <c r="M114" s="1" t="str">
        <f>IF($B114="","",IF(V114="","",IF(INDEX('Input Contact Information'!$J$2:$J$200,V114)="","",INDEX('Input Contact Information'!$J$2:$J$200,V114))))</f>
        <v/>
      </c>
      <c r="N114" s="1" t="str">
        <f>IF($B114="","",IF(V114="","",IF(INDEX('Input Contact Information'!$K$2:$K$200,V114)="","",INDEX('Input Contact Information'!$K$2:$K$200,V114))))</f>
        <v/>
      </c>
      <c r="O114" s="1" t="str">
        <f>IF($B114="","",IF(V114="","",IF(INDEX('Input Contact Information'!$L$2:$L$200,V114)="","",INDEX('Input Contact Information'!$L$2:$L$200,V114))))</f>
        <v/>
      </c>
      <c r="P114" s="1" t="str">
        <f>IF($B114="","",IF((IF(V114="","",IF(INDEX('Input Contact Information'!$N$2:$N$200,V114)="","",INDEX('Input Contact Information'!$N$2:$N$200,V114))))&lt;&gt;"",IF(V114="","",IF(INDEX('Input Contact Information'!$N$2:$N$200,V114)="","",INDEX('Input Contact Information'!$N$2:$N$200,V114))),IF(V114="","",IF(INDEX('Input Contact Information'!$M$2:$M$200,V114)="","",INDEX('Input Contact Information'!$M$2:$M$200,V114)))))</f>
        <v/>
      </c>
      <c r="Q114" s="1" t="str">
        <f t="shared" si="7"/>
        <v/>
      </c>
      <c r="R114" s="1" t="str">
        <f>IF($B114="","",IF(X114="","",IF(INDEX('Engagements Overview'!$I$2:$I$200,X114)="","",INDEX('Engagements Overview'!$I$2:$I$200,X114))))</f>
        <v/>
      </c>
      <c r="S114" s="14" t="str">
        <f>IF($B114="","",IF(X114="","",IF(INDEX('Engagements Overview'!$K$2:$K$200,X114)="","",INDEX('Engagements Overview'!$K$2:$K$200,X114))))</f>
        <v/>
      </c>
      <c r="T114" s="1" t="str">
        <f>IF($B114="","",IF(V114="","",IF(INDEX('Input Contact Information'!$O$2:$O$200,V114)="","",INDEX('Input Contact Information'!$O$2:$O$200,V114))))</f>
        <v/>
      </c>
      <c r="U114" s="1" t="str">
        <f>IF($B114="","",IF(V114="","",IF(INDEX('Input Contact Information'!$P$2:$P$200,V114)="","",INDEX('Input Contact Information'!$P$2:$P$200,V114))))</f>
        <v/>
      </c>
      <c r="V114" s="1" t="str">
        <f>IF(B114="","",IFERROR(MATCH(B114&amp;"|"&amp;C114,'Input Contact Information'!$W$2:$W$200,0),""))</f>
        <v/>
      </c>
      <c r="W114" s="1" t="str">
        <f>IF(C114="","",IFERROR(MATCH(C114,'Accounts Overview'!$B$2:$B$100,0),""))</f>
        <v/>
      </c>
      <c r="X114" s="1" t="str">
        <f>IF(A114="","",IFERROR(MATCH(A114,'Engagements Overview'!$B$2:$B$200,0),""))</f>
        <v/>
      </c>
    </row>
    <row r="115" spans="1:24" ht="15" customHeight="1" x14ac:dyDescent="0.35">
      <c r="A115" s="13" t="str">
        <f t="shared" si="6"/>
        <v/>
      </c>
      <c r="B115" s="1" t="str">
        <f>IFERROR(INDEX('Input Contact Information'!$C$2:$C$200,MATCH(ROW()-1,'Input Contact Information'!$V$2:$V$200,0)),"")</f>
        <v/>
      </c>
      <c r="C115" s="1" t="str">
        <f>IFERROR(INDEX('Input Contact Information'!$B$2:$B$200,MATCH(ROW()-1,'Input Contact Information'!$V$2:$V$200,0)),"")</f>
        <v/>
      </c>
      <c r="D115" s="1" t="str">
        <f>IF($B115="","",IF(W115="","",INDEX('Accounts Overview'!$A$2:$A$100,W115)))</f>
        <v/>
      </c>
      <c r="E115" s="1" t="str">
        <f>IF($B115="","",IF(V115="","",IF(INDEX('Input Contact Information'!$D$2:$D$200,V115)="","",INDEX('Input Contact Information'!$D$2:$D$200,V115))))</f>
        <v/>
      </c>
      <c r="F115" s="1" t="str">
        <f>IF($B115="","",IF(V115="","",IF(INDEX('Input Contact Information'!$F$2:$F$200,V115)="","",INDEX('Input Contact Information'!$F$2:$F$200,V115))))</f>
        <v/>
      </c>
      <c r="G115" s="1" t="str">
        <f>IF($B115="","",IF(V115="","",IF(INDEX('Input Contact Information'!$E$2:$E$200,V115)="","",INDEX('Input Contact Information'!$E$2:$E$200,V115))))</f>
        <v/>
      </c>
      <c r="H115" s="1" t="str">
        <f>IF($B115="","",IF(V115="","",IF(INDEX('Input Contact Information'!$G$2:$G$200,V115)="","",INDEX('Input Contact Information'!$G$2:$G$200,V115))))</f>
        <v/>
      </c>
      <c r="I115" s="1" t="str">
        <f>IF($B115="","",IF(V115="","",IF(INDEX('Input Contact Information'!$H$2:$H$200,V115)="","",INDEX('Input Contact Information'!$H$2:$H$200,V115))))</f>
        <v/>
      </c>
      <c r="J115" s="1" t="str">
        <f>IF($B115="","",IF(V115="","",IF(INDEX('Input Contact Information'!$I$2:$I$200,V115)="","",INDEX('Input Contact Information'!$I$2:$I$200,V115))))</f>
        <v/>
      </c>
      <c r="K115" s="1" t="str">
        <f>IF($B115="","",IF(V115="","",IF(INDEX('Input Contact Information'!$A$2:$A$200,V115)="","",INDEX('Input Contact Information'!$A$2:$A$200,V115))))</f>
        <v/>
      </c>
      <c r="L115" s="1" t="str">
        <f>IF($B115="","",IF(W115="","",IF(INDEX('Accounts Overview'!$I$2:$I$100,W115)="","",INDEX('Accounts Overview'!$I$2:$I$100,W115))))</f>
        <v/>
      </c>
      <c r="M115" s="1" t="str">
        <f>IF($B115="","",IF(V115="","",IF(INDEX('Input Contact Information'!$J$2:$J$200,V115)="","",INDEX('Input Contact Information'!$J$2:$J$200,V115))))</f>
        <v/>
      </c>
      <c r="N115" s="1" t="str">
        <f>IF($B115="","",IF(V115="","",IF(INDEX('Input Contact Information'!$K$2:$K$200,V115)="","",INDEX('Input Contact Information'!$K$2:$K$200,V115))))</f>
        <v/>
      </c>
      <c r="O115" s="1" t="str">
        <f>IF($B115="","",IF(V115="","",IF(INDEX('Input Contact Information'!$L$2:$L$200,V115)="","",INDEX('Input Contact Information'!$L$2:$L$200,V115))))</f>
        <v/>
      </c>
      <c r="P115" s="1" t="str">
        <f>IF($B115="","",IF((IF(V115="","",IF(INDEX('Input Contact Information'!$N$2:$N$200,V115)="","",INDEX('Input Contact Information'!$N$2:$N$200,V115))))&lt;&gt;"",IF(V115="","",IF(INDEX('Input Contact Information'!$N$2:$N$200,V115)="","",INDEX('Input Contact Information'!$N$2:$N$200,V115))),IF(V115="","",IF(INDEX('Input Contact Information'!$M$2:$M$200,V115)="","",INDEX('Input Contact Information'!$M$2:$M$200,V115)))))</f>
        <v/>
      </c>
      <c r="Q115" s="1" t="str">
        <f t="shared" si="7"/>
        <v/>
      </c>
      <c r="R115" s="1" t="str">
        <f>IF($B115="","",IF(X115="","",IF(INDEX('Engagements Overview'!$I$2:$I$200,X115)="","",INDEX('Engagements Overview'!$I$2:$I$200,X115))))</f>
        <v/>
      </c>
      <c r="S115" s="14" t="str">
        <f>IF($B115="","",IF(X115="","",IF(INDEX('Engagements Overview'!$K$2:$K$200,X115)="","",INDEX('Engagements Overview'!$K$2:$K$200,X115))))</f>
        <v/>
      </c>
      <c r="T115" s="1" t="str">
        <f>IF($B115="","",IF(V115="","",IF(INDEX('Input Contact Information'!$O$2:$O$200,V115)="","",INDEX('Input Contact Information'!$O$2:$O$200,V115))))</f>
        <v/>
      </c>
      <c r="U115" s="1" t="str">
        <f>IF($B115="","",IF(V115="","",IF(INDEX('Input Contact Information'!$P$2:$P$200,V115)="","",INDEX('Input Contact Information'!$P$2:$P$200,V115))))</f>
        <v/>
      </c>
      <c r="V115" s="1" t="str">
        <f>IF(B115="","",IFERROR(MATCH(B115&amp;"|"&amp;C115,'Input Contact Information'!$W$2:$W$200,0),""))</f>
        <v/>
      </c>
      <c r="W115" s="1" t="str">
        <f>IF(C115="","",IFERROR(MATCH(C115,'Accounts Overview'!$B$2:$B$100,0),""))</f>
        <v/>
      </c>
      <c r="X115" s="1" t="str">
        <f>IF(A115="","",IFERROR(MATCH(A115,'Engagements Overview'!$B$2:$B$200,0),""))</f>
        <v/>
      </c>
    </row>
    <row r="116" spans="1:24" ht="15" customHeight="1" x14ac:dyDescent="0.35">
      <c r="A116" s="13" t="str">
        <f t="shared" si="6"/>
        <v/>
      </c>
      <c r="B116" s="1" t="str">
        <f>IFERROR(INDEX('Input Contact Information'!$C$2:$C$200,MATCH(ROW()-1,'Input Contact Information'!$V$2:$V$200,0)),"")</f>
        <v/>
      </c>
      <c r="C116" s="1" t="str">
        <f>IFERROR(INDEX('Input Contact Information'!$B$2:$B$200,MATCH(ROW()-1,'Input Contact Information'!$V$2:$V$200,0)),"")</f>
        <v/>
      </c>
      <c r="D116" s="1" t="str">
        <f>IF($B116="","",IF(W116="","",INDEX('Accounts Overview'!$A$2:$A$100,W116)))</f>
        <v/>
      </c>
      <c r="E116" s="1" t="str">
        <f>IF($B116="","",IF(V116="","",IF(INDEX('Input Contact Information'!$D$2:$D$200,V116)="","",INDEX('Input Contact Information'!$D$2:$D$200,V116))))</f>
        <v/>
      </c>
      <c r="F116" s="1" t="str">
        <f>IF($B116="","",IF(V116="","",IF(INDEX('Input Contact Information'!$F$2:$F$200,V116)="","",INDEX('Input Contact Information'!$F$2:$F$200,V116))))</f>
        <v/>
      </c>
      <c r="G116" s="1" t="str">
        <f>IF($B116="","",IF(V116="","",IF(INDEX('Input Contact Information'!$E$2:$E$200,V116)="","",INDEX('Input Contact Information'!$E$2:$E$200,V116))))</f>
        <v/>
      </c>
      <c r="H116" s="1" t="str">
        <f>IF($B116="","",IF(V116="","",IF(INDEX('Input Contact Information'!$G$2:$G$200,V116)="","",INDEX('Input Contact Information'!$G$2:$G$200,V116))))</f>
        <v/>
      </c>
      <c r="I116" s="1" t="str">
        <f>IF($B116="","",IF(V116="","",IF(INDEX('Input Contact Information'!$H$2:$H$200,V116)="","",INDEX('Input Contact Information'!$H$2:$H$200,V116))))</f>
        <v/>
      </c>
      <c r="J116" s="1" t="str">
        <f>IF($B116="","",IF(V116="","",IF(INDEX('Input Contact Information'!$I$2:$I$200,V116)="","",INDEX('Input Contact Information'!$I$2:$I$200,V116))))</f>
        <v/>
      </c>
      <c r="K116" s="1" t="str">
        <f>IF($B116="","",IF(V116="","",IF(INDEX('Input Contact Information'!$A$2:$A$200,V116)="","",INDEX('Input Contact Information'!$A$2:$A$200,V116))))</f>
        <v/>
      </c>
      <c r="L116" s="1" t="str">
        <f>IF($B116="","",IF(W116="","",IF(INDEX('Accounts Overview'!$I$2:$I$100,W116)="","",INDEX('Accounts Overview'!$I$2:$I$100,W116))))</f>
        <v/>
      </c>
      <c r="M116" s="1" t="str">
        <f>IF($B116="","",IF(V116="","",IF(INDEX('Input Contact Information'!$J$2:$J$200,V116)="","",INDEX('Input Contact Information'!$J$2:$J$200,V116))))</f>
        <v/>
      </c>
      <c r="N116" s="1" t="str">
        <f>IF($B116="","",IF(V116="","",IF(INDEX('Input Contact Information'!$K$2:$K$200,V116)="","",INDEX('Input Contact Information'!$K$2:$K$200,V116))))</f>
        <v/>
      </c>
      <c r="O116" s="1" t="str">
        <f>IF($B116="","",IF(V116="","",IF(INDEX('Input Contact Information'!$L$2:$L$200,V116)="","",INDEX('Input Contact Information'!$L$2:$L$200,V116))))</f>
        <v/>
      </c>
      <c r="P116" s="1" t="str">
        <f>IF($B116="","",IF((IF(V116="","",IF(INDEX('Input Contact Information'!$N$2:$N$200,V116)="","",INDEX('Input Contact Information'!$N$2:$N$200,V116))))&lt;&gt;"",IF(V116="","",IF(INDEX('Input Contact Information'!$N$2:$N$200,V116)="","",INDEX('Input Contact Information'!$N$2:$N$200,V116))),IF(V116="","",IF(INDEX('Input Contact Information'!$M$2:$M$200,V116)="","",INDEX('Input Contact Information'!$M$2:$M$200,V116)))))</f>
        <v/>
      </c>
      <c r="Q116" s="1" t="str">
        <f t="shared" si="7"/>
        <v/>
      </c>
      <c r="R116" s="1" t="str">
        <f>IF($B116="","",IF(X116="","",IF(INDEX('Engagements Overview'!$I$2:$I$200,X116)="","",INDEX('Engagements Overview'!$I$2:$I$200,X116))))</f>
        <v/>
      </c>
      <c r="S116" s="14" t="str">
        <f>IF($B116="","",IF(X116="","",IF(INDEX('Engagements Overview'!$K$2:$K$200,X116)="","",INDEX('Engagements Overview'!$K$2:$K$200,X116))))</f>
        <v/>
      </c>
      <c r="T116" s="1" t="str">
        <f>IF($B116="","",IF(V116="","",IF(INDEX('Input Contact Information'!$O$2:$O$200,V116)="","",INDEX('Input Contact Information'!$O$2:$O$200,V116))))</f>
        <v/>
      </c>
      <c r="U116" s="1" t="str">
        <f>IF($B116="","",IF(V116="","",IF(INDEX('Input Contact Information'!$P$2:$P$200,V116)="","",INDEX('Input Contact Information'!$P$2:$P$200,V116))))</f>
        <v/>
      </c>
      <c r="V116" s="1" t="str">
        <f>IF(B116="","",IFERROR(MATCH(B116&amp;"|"&amp;C116,'Input Contact Information'!$W$2:$W$200,0),""))</f>
        <v/>
      </c>
      <c r="W116" s="1" t="str">
        <f>IF(C116="","",IFERROR(MATCH(C116,'Accounts Overview'!$B$2:$B$100,0),""))</f>
        <v/>
      </c>
      <c r="X116" s="1" t="str">
        <f>IF(A116="","",IFERROR(MATCH(A116,'Engagements Overview'!$B$2:$B$200,0),""))</f>
        <v/>
      </c>
    </row>
    <row r="117" spans="1:24" ht="15" customHeight="1" x14ac:dyDescent="0.35">
      <c r="A117" s="13" t="str">
        <f t="shared" si="6"/>
        <v/>
      </c>
      <c r="B117" s="1" t="str">
        <f>IFERROR(INDEX('Input Contact Information'!$C$2:$C$200,MATCH(ROW()-1,'Input Contact Information'!$V$2:$V$200,0)),"")</f>
        <v/>
      </c>
      <c r="C117" s="1" t="str">
        <f>IFERROR(INDEX('Input Contact Information'!$B$2:$B$200,MATCH(ROW()-1,'Input Contact Information'!$V$2:$V$200,0)),"")</f>
        <v/>
      </c>
      <c r="D117" s="1" t="str">
        <f>IF($B117="","",IF(W117="","",INDEX('Accounts Overview'!$A$2:$A$100,W117)))</f>
        <v/>
      </c>
      <c r="E117" s="1" t="str">
        <f>IF($B117="","",IF(V117="","",IF(INDEX('Input Contact Information'!$D$2:$D$200,V117)="","",INDEX('Input Contact Information'!$D$2:$D$200,V117))))</f>
        <v/>
      </c>
      <c r="F117" s="1" t="str">
        <f>IF($B117="","",IF(V117="","",IF(INDEX('Input Contact Information'!$F$2:$F$200,V117)="","",INDEX('Input Contact Information'!$F$2:$F$200,V117))))</f>
        <v/>
      </c>
      <c r="G117" s="1" t="str">
        <f>IF($B117="","",IF(V117="","",IF(INDEX('Input Contact Information'!$E$2:$E$200,V117)="","",INDEX('Input Contact Information'!$E$2:$E$200,V117))))</f>
        <v/>
      </c>
      <c r="H117" s="1" t="str">
        <f>IF($B117="","",IF(V117="","",IF(INDEX('Input Contact Information'!$G$2:$G$200,V117)="","",INDEX('Input Contact Information'!$G$2:$G$200,V117))))</f>
        <v/>
      </c>
      <c r="I117" s="1" t="str">
        <f>IF($B117="","",IF(V117="","",IF(INDEX('Input Contact Information'!$H$2:$H$200,V117)="","",INDEX('Input Contact Information'!$H$2:$H$200,V117))))</f>
        <v/>
      </c>
      <c r="J117" s="1" t="str">
        <f>IF($B117="","",IF(V117="","",IF(INDEX('Input Contact Information'!$I$2:$I$200,V117)="","",INDEX('Input Contact Information'!$I$2:$I$200,V117))))</f>
        <v/>
      </c>
      <c r="K117" s="1" t="str">
        <f>IF($B117="","",IF(V117="","",IF(INDEX('Input Contact Information'!$A$2:$A$200,V117)="","",INDEX('Input Contact Information'!$A$2:$A$200,V117))))</f>
        <v/>
      </c>
      <c r="L117" s="1" t="str">
        <f>IF($B117="","",IF(W117="","",IF(INDEX('Accounts Overview'!$I$2:$I$100,W117)="","",INDEX('Accounts Overview'!$I$2:$I$100,W117))))</f>
        <v/>
      </c>
      <c r="M117" s="1" t="str">
        <f>IF($B117="","",IF(V117="","",IF(INDEX('Input Contact Information'!$J$2:$J$200,V117)="","",INDEX('Input Contact Information'!$J$2:$J$200,V117))))</f>
        <v/>
      </c>
      <c r="N117" s="1" t="str">
        <f>IF($B117="","",IF(V117="","",IF(INDEX('Input Contact Information'!$K$2:$K$200,V117)="","",INDEX('Input Contact Information'!$K$2:$K$200,V117))))</f>
        <v/>
      </c>
      <c r="O117" s="1" t="str">
        <f>IF($B117="","",IF(V117="","",IF(INDEX('Input Contact Information'!$L$2:$L$200,V117)="","",INDEX('Input Contact Information'!$L$2:$L$200,V117))))</f>
        <v/>
      </c>
      <c r="P117" s="1" t="str">
        <f>IF($B117="","",IF((IF(V117="","",IF(INDEX('Input Contact Information'!$N$2:$N$200,V117)="","",INDEX('Input Contact Information'!$N$2:$N$200,V117))))&lt;&gt;"",IF(V117="","",IF(INDEX('Input Contact Information'!$N$2:$N$200,V117)="","",INDEX('Input Contact Information'!$N$2:$N$200,V117))),IF(V117="","",IF(INDEX('Input Contact Information'!$M$2:$M$200,V117)="","",INDEX('Input Contact Information'!$M$2:$M$200,V117)))))</f>
        <v/>
      </c>
      <c r="Q117" s="1" t="str">
        <f t="shared" si="7"/>
        <v/>
      </c>
      <c r="R117" s="1" t="str">
        <f>IF($B117="","",IF(X117="","",IF(INDEX('Engagements Overview'!$I$2:$I$200,X117)="","",INDEX('Engagements Overview'!$I$2:$I$200,X117))))</f>
        <v/>
      </c>
      <c r="S117" s="14" t="str">
        <f>IF($B117="","",IF(X117="","",IF(INDEX('Engagements Overview'!$K$2:$K$200,X117)="","",INDEX('Engagements Overview'!$K$2:$K$200,X117))))</f>
        <v/>
      </c>
      <c r="T117" s="1" t="str">
        <f>IF($B117="","",IF(V117="","",IF(INDEX('Input Contact Information'!$O$2:$O$200,V117)="","",INDEX('Input Contact Information'!$O$2:$O$200,V117))))</f>
        <v/>
      </c>
      <c r="U117" s="1" t="str">
        <f>IF($B117="","",IF(V117="","",IF(INDEX('Input Contact Information'!$P$2:$P$200,V117)="","",INDEX('Input Contact Information'!$P$2:$P$200,V117))))</f>
        <v/>
      </c>
      <c r="V117" s="1" t="str">
        <f>IF(B117="","",IFERROR(MATCH(B117&amp;"|"&amp;C117,'Input Contact Information'!$W$2:$W$200,0),""))</f>
        <v/>
      </c>
      <c r="W117" s="1" t="str">
        <f>IF(C117="","",IFERROR(MATCH(C117,'Accounts Overview'!$B$2:$B$100,0),""))</f>
        <v/>
      </c>
      <c r="X117" s="1" t="str">
        <f>IF(A117="","",IFERROR(MATCH(A117,'Engagements Overview'!$B$2:$B$200,0),""))</f>
        <v/>
      </c>
    </row>
    <row r="118" spans="1:24" ht="15" customHeight="1" x14ac:dyDescent="0.35">
      <c r="A118" s="13" t="str">
        <f t="shared" si="6"/>
        <v/>
      </c>
      <c r="B118" s="1" t="str">
        <f>IFERROR(INDEX('Input Contact Information'!$C$2:$C$200,MATCH(ROW()-1,'Input Contact Information'!$V$2:$V$200,0)),"")</f>
        <v/>
      </c>
      <c r="C118" s="1" t="str">
        <f>IFERROR(INDEX('Input Contact Information'!$B$2:$B$200,MATCH(ROW()-1,'Input Contact Information'!$V$2:$V$200,0)),"")</f>
        <v/>
      </c>
      <c r="D118" s="1" t="str">
        <f>IF($B118="","",IF(W118="","",INDEX('Accounts Overview'!$A$2:$A$100,W118)))</f>
        <v/>
      </c>
      <c r="E118" s="1" t="str">
        <f>IF($B118="","",IF(V118="","",IF(INDEX('Input Contact Information'!$D$2:$D$200,V118)="","",INDEX('Input Contact Information'!$D$2:$D$200,V118))))</f>
        <v/>
      </c>
      <c r="F118" s="1" t="str">
        <f>IF($B118="","",IF(V118="","",IF(INDEX('Input Contact Information'!$F$2:$F$200,V118)="","",INDEX('Input Contact Information'!$F$2:$F$200,V118))))</f>
        <v/>
      </c>
      <c r="G118" s="1" t="str">
        <f>IF($B118="","",IF(V118="","",IF(INDEX('Input Contact Information'!$E$2:$E$200,V118)="","",INDEX('Input Contact Information'!$E$2:$E$200,V118))))</f>
        <v/>
      </c>
      <c r="H118" s="1" t="str">
        <f>IF($B118="","",IF(V118="","",IF(INDEX('Input Contact Information'!$G$2:$G$200,V118)="","",INDEX('Input Contact Information'!$G$2:$G$200,V118))))</f>
        <v/>
      </c>
      <c r="I118" s="1" t="str">
        <f>IF($B118="","",IF(V118="","",IF(INDEX('Input Contact Information'!$H$2:$H$200,V118)="","",INDEX('Input Contact Information'!$H$2:$H$200,V118))))</f>
        <v/>
      </c>
      <c r="J118" s="1" t="str">
        <f>IF($B118="","",IF(V118="","",IF(INDEX('Input Contact Information'!$I$2:$I$200,V118)="","",INDEX('Input Contact Information'!$I$2:$I$200,V118))))</f>
        <v/>
      </c>
      <c r="K118" s="1" t="str">
        <f>IF($B118="","",IF(V118="","",IF(INDEX('Input Contact Information'!$A$2:$A$200,V118)="","",INDEX('Input Contact Information'!$A$2:$A$200,V118))))</f>
        <v/>
      </c>
      <c r="L118" s="1" t="str">
        <f>IF($B118="","",IF(W118="","",IF(INDEX('Accounts Overview'!$I$2:$I$100,W118)="","",INDEX('Accounts Overview'!$I$2:$I$100,W118))))</f>
        <v/>
      </c>
      <c r="M118" s="1" t="str">
        <f>IF($B118="","",IF(V118="","",IF(INDEX('Input Contact Information'!$J$2:$J$200,V118)="","",INDEX('Input Contact Information'!$J$2:$J$200,V118))))</f>
        <v/>
      </c>
      <c r="N118" s="1" t="str">
        <f>IF($B118="","",IF(V118="","",IF(INDEX('Input Contact Information'!$K$2:$K$200,V118)="","",INDEX('Input Contact Information'!$K$2:$K$200,V118))))</f>
        <v/>
      </c>
      <c r="O118" s="1" t="str">
        <f>IF($B118="","",IF(V118="","",IF(INDEX('Input Contact Information'!$L$2:$L$200,V118)="","",INDEX('Input Contact Information'!$L$2:$L$200,V118))))</f>
        <v/>
      </c>
      <c r="P118" s="1" t="str">
        <f>IF($B118="","",IF((IF(V118="","",IF(INDEX('Input Contact Information'!$N$2:$N$200,V118)="","",INDEX('Input Contact Information'!$N$2:$N$200,V118))))&lt;&gt;"",IF(V118="","",IF(INDEX('Input Contact Information'!$N$2:$N$200,V118)="","",INDEX('Input Contact Information'!$N$2:$N$200,V118))),IF(V118="","",IF(INDEX('Input Contact Information'!$M$2:$M$200,V118)="","",INDEX('Input Contact Information'!$M$2:$M$200,V118)))))</f>
        <v/>
      </c>
      <c r="Q118" s="1" t="str">
        <f t="shared" si="7"/>
        <v/>
      </c>
      <c r="R118" s="1" t="str">
        <f>IF($B118="","",IF(X118="","",IF(INDEX('Engagements Overview'!$I$2:$I$200,X118)="","",INDEX('Engagements Overview'!$I$2:$I$200,X118))))</f>
        <v/>
      </c>
      <c r="S118" s="14" t="str">
        <f>IF($B118="","",IF(X118="","",IF(INDEX('Engagements Overview'!$K$2:$K$200,X118)="","",INDEX('Engagements Overview'!$K$2:$K$200,X118))))</f>
        <v/>
      </c>
      <c r="T118" s="1" t="str">
        <f>IF($B118="","",IF(V118="","",IF(INDEX('Input Contact Information'!$O$2:$O$200,V118)="","",INDEX('Input Contact Information'!$O$2:$O$200,V118))))</f>
        <v/>
      </c>
      <c r="U118" s="1" t="str">
        <f>IF($B118="","",IF(V118="","",IF(INDEX('Input Contact Information'!$P$2:$P$200,V118)="","",INDEX('Input Contact Information'!$P$2:$P$200,V118))))</f>
        <v/>
      </c>
      <c r="V118" s="1" t="str">
        <f>IF(B118="","",IFERROR(MATCH(B118&amp;"|"&amp;C118,'Input Contact Information'!$W$2:$W$200,0),""))</f>
        <v/>
      </c>
      <c r="W118" s="1" t="str">
        <f>IF(C118="","",IFERROR(MATCH(C118,'Accounts Overview'!$B$2:$B$100,0),""))</f>
        <v/>
      </c>
      <c r="X118" s="1" t="str">
        <f>IF(A118="","",IFERROR(MATCH(A118,'Engagements Overview'!$B$2:$B$200,0),""))</f>
        <v/>
      </c>
    </row>
    <row r="119" spans="1:24" ht="15" customHeight="1" x14ac:dyDescent="0.35">
      <c r="A119" s="13" t="str">
        <f t="shared" si="6"/>
        <v/>
      </c>
      <c r="B119" s="1" t="str">
        <f>IFERROR(INDEX('Input Contact Information'!$C$2:$C$200,MATCH(ROW()-1,'Input Contact Information'!$V$2:$V$200,0)),"")</f>
        <v/>
      </c>
      <c r="C119" s="1" t="str">
        <f>IFERROR(INDEX('Input Contact Information'!$B$2:$B$200,MATCH(ROW()-1,'Input Contact Information'!$V$2:$V$200,0)),"")</f>
        <v/>
      </c>
      <c r="D119" s="1" t="str">
        <f>IF($B119="","",IF(W119="","",INDEX('Accounts Overview'!$A$2:$A$100,W119)))</f>
        <v/>
      </c>
      <c r="E119" s="1" t="str">
        <f>IF($B119="","",IF(V119="","",IF(INDEX('Input Contact Information'!$D$2:$D$200,V119)="","",INDEX('Input Contact Information'!$D$2:$D$200,V119))))</f>
        <v/>
      </c>
      <c r="F119" s="1" t="str">
        <f>IF($B119="","",IF(V119="","",IF(INDEX('Input Contact Information'!$F$2:$F$200,V119)="","",INDEX('Input Contact Information'!$F$2:$F$200,V119))))</f>
        <v/>
      </c>
      <c r="G119" s="1" t="str">
        <f>IF($B119="","",IF(V119="","",IF(INDEX('Input Contact Information'!$E$2:$E$200,V119)="","",INDEX('Input Contact Information'!$E$2:$E$200,V119))))</f>
        <v/>
      </c>
      <c r="H119" s="1" t="str">
        <f>IF($B119="","",IF(V119="","",IF(INDEX('Input Contact Information'!$G$2:$G$200,V119)="","",INDEX('Input Contact Information'!$G$2:$G$200,V119))))</f>
        <v/>
      </c>
      <c r="I119" s="1" t="str">
        <f>IF($B119="","",IF(V119="","",IF(INDEX('Input Contact Information'!$H$2:$H$200,V119)="","",INDEX('Input Contact Information'!$H$2:$H$200,V119))))</f>
        <v/>
      </c>
      <c r="J119" s="1" t="str">
        <f>IF($B119="","",IF(V119="","",IF(INDEX('Input Contact Information'!$I$2:$I$200,V119)="","",INDEX('Input Contact Information'!$I$2:$I$200,V119))))</f>
        <v/>
      </c>
      <c r="K119" s="1" t="str">
        <f>IF($B119="","",IF(V119="","",IF(INDEX('Input Contact Information'!$A$2:$A$200,V119)="","",INDEX('Input Contact Information'!$A$2:$A$200,V119))))</f>
        <v/>
      </c>
      <c r="L119" s="1" t="str">
        <f>IF($B119="","",IF(W119="","",IF(INDEX('Accounts Overview'!$I$2:$I$100,W119)="","",INDEX('Accounts Overview'!$I$2:$I$100,W119))))</f>
        <v/>
      </c>
      <c r="M119" s="1" t="str">
        <f>IF($B119="","",IF(V119="","",IF(INDEX('Input Contact Information'!$J$2:$J$200,V119)="","",INDEX('Input Contact Information'!$J$2:$J$200,V119))))</f>
        <v/>
      </c>
      <c r="N119" s="1" t="str">
        <f>IF($B119="","",IF(V119="","",IF(INDEX('Input Contact Information'!$K$2:$K$200,V119)="","",INDEX('Input Contact Information'!$K$2:$K$200,V119))))</f>
        <v/>
      </c>
      <c r="O119" s="1" t="str">
        <f>IF($B119="","",IF(V119="","",IF(INDEX('Input Contact Information'!$L$2:$L$200,V119)="","",INDEX('Input Contact Information'!$L$2:$L$200,V119))))</f>
        <v/>
      </c>
      <c r="P119" s="1" t="str">
        <f>IF($B119="","",IF((IF(V119="","",IF(INDEX('Input Contact Information'!$N$2:$N$200,V119)="","",INDEX('Input Contact Information'!$N$2:$N$200,V119))))&lt;&gt;"",IF(V119="","",IF(INDEX('Input Contact Information'!$N$2:$N$200,V119)="","",INDEX('Input Contact Information'!$N$2:$N$200,V119))),IF(V119="","",IF(INDEX('Input Contact Information'!$M$2:$M$200,V119)="","",INDEX('Input Contact Information'!$M$2:$M$200,V119)))))</f>
        <v/>
      </c>
      <c r="Q119" s="1" t="str">
        <f t="shared" si="7"/>
        <v/>
      </c>
      <c r="R119" s="1" t="str">
        <f>IF($B119="","",IF(X119="","",IF(INDEX('Engagements Overview'!$I$2:$I$200,X119)="","",INDEX('Engagements Overview'!$I$2:$I$200,X119))))</f>
        <v/>
      </c>
      <c r="S119" s="14" t="str">
        <f>IF($B119="","",IF(X119="","",IF(INDEX('Engagements Overview'!$K$2:$K$200,X119)="","",INDEX('Engagements Overview'!$K$2:$K$200,X119))))</f>
        <v/>
      </c>
      <c r="T119" s="1" t="str">
        <f>IF($B119="","",IF(V119="","",IF(INDEX('Input Contact Information'!$O$2:$O$200,V119)="","",INDEX('Input Contact Information'!$O$2:$O$200,V119))))</f>
        <v/>
      </c>
      <c r="U119" s="1" t="str">
        <f>IF($B119="","",IF(V119="","",IF(INDEX('Input Contact Information'!$P$2:$P$200,V119)="","",INDEX('Input Contact Information'!$P$2:$P$200,V119))))</f>
        <v/>
      </c>
      <c r="V119" s="1" t="str">
        <f>IF(B119="","",IFERROR(MATCH(B119&amp;"|"&amp;C119,'Input Contact Information'!$W$2:$W$200,0),""))</f>
        <v/>
      </c>
      <c r="W119" s="1" t="str">
        <f>IF(C119="","",IFERROR(MATCH(C119,'Accounts Overview'!$B$2:$B$100,0),""))</f>
        <v/>
      </c>
      <c r="X119" s="1" t="str">
        <f>IF(A119="","",IFERROR(MATCH(A119,'Engagements Overview'!$B$2:$B$200,0),""))</f>
        <v/>
      </c>
    </row>
    <row r="120" spans="1:24" ht="15" customHeight="1" x14ac:dyDescent="0.35">
      <c r="A120" s="13" t="str">
        <f t="shared" si="6"/>
        <v/>
      </c>
      <c r="B120" s="1" t="str">
        <f>IFERROR(INDEX('Input Contact Information'!$C$2:$C$200,MATCH(ROW()-1,'Input Contact Information'!$V$2:$V$200,0)),"")</f>
        <v/>
      </c>
      <c r="C120" s="1" t="str">
        <f>IFERROR(INDEX('Input Contact Information'!$B$2:$B$200,MATCH(ROW()-1,'Input Contact Information'!$V$2:$V$200,0)),"")</f>
        <v/>
      </c>
      <c r="D120" s="1" t="str">
        <f>IF($B120="","",IF(W120="","",INDEX('Accounts Overview'!$A$2:$A$100,W120)))</f>
        <v/>
      </c>
      <c r="E120" s="1" t="str">
        <f>IF($B120="","",IF(V120="","",IF(INDEX('Input Contact Information'!$D$2:$D$200,V120)="","",INDEX('Input Contact Information'!$D$2:$D$200,V120))))</f>
        <v/>
      </c>
      <c r="F120" s="1" t="str">
        <f>IF($B120="","",IF(V120="","",IF(INDEX('Input Contact Information'!$F$2:$F$200,V120)="","",INDEX('Input Contact Information'!$F$2:$F$200,V120))))</f>
        <v/>
      </c>
      <c r="G120" s="1" t="str">
        <f>IF($B120="","",IF(V120="","",IF(INDEX('Input Contact Information'!$E$2:$E$200,V120)="","",INDEX('Input Contact Information'!$E$2:$E$200,V120))))</f>
        <v/>
      </c>
      <c r="H120" s="1" t="str">
        <f>IF($B120="","",IF(V120="","",IF(INDEX('Input Contact Information'!$G$2:$G$200,V120)="","",INDEX('Input Contact Information'!$G$2:$G$200,V120))))</f>
        <v/>
      </c>
      <c r="I120" s="1" t="str">
        <f>IF($B120="","",IF(V120="","",IF(INDEX('Input Contact Information'!$H$2:$H$200,V120)="","",INDEX('Input Contact Information'!$H$2:$H$200,V120))))</f>
        <v/>
      </c>
      <c r="J120" s="1" t="str">
        <f>IF($B120="","",IF(V120="","",IF(INDEX('Input Contact Information'!$I$2:$I$200,V120)="","",INDEX('Input Contact Information'!$I$2:$I$200,V120))))</f>
        <v/>
      </c>
      <c r="K120" s="1" t="str">
        <f>IF($B120="","",IF(V120="","",IF(INDEX('Input Contact Information'!$A$2:$A$200,V120)="","",INDEX('Input Contact Information'!$A$2:$A$200,V120))))</f>
        <v/>
      </c>
      <c r="L120" s="1" t="str">
        <f>IF($B120="","",IF(W120="","",IF(INDEX('Accounts Overview'!$I$2:$I$100,W120)="","",INDEX('Accounts Overview'!$I$2:$I$100,W120))))</f>
        <v/>
      </c>
      <c r="M120" s="1" t="str">
        <f>IF($B120="","",IF(V120="","",IF(INDEX('Input Contact Information'!$J$2:$J$200,V120)="","",INDEX('Input Contact Information'!$J$2:$J$200,V120))))</f>
        <v/>
      </c>
      <c r="N120" s="1" t="str">
        <f>IF($B120="","",IF(V120="","",IF(INDEX('Input Contact Information'!$K$2:$K$200,V120)="","",INDEX('Input Contact Information'!$K$2:$K$200,V120))))</f>
        <v/>
      </c>
      <c r="O120" s="1" t="str">
        <f>IF($B120="","",IF(V120="","",IF(INDEX('Input Contact Information'!$L$2:$L$200,V120)="","",INDEX('Input Contact Information'!$L$2:$L$200,V120))))</f>
        <v/>
      </c>
      <c r="P120" s="1" t="str">
        <f>IF($B120="","",IF((IF(V120="","",IF(INDEX('Input Contact Information'!$N$2:$N$200,V120)="","",INDEX('Input Contact Information'!$N$2:$N$200,V120))))&lt;&gt;"",IF(V120="","",IF(INDEX('Input Contact Information'!$N$2:$N$200,V120)="","",INDEX('Input Contact Information'!$N$2:$N$200,V120))),IF(V120="","",IF(INDEX('Input Contact Information'!$M$2:$M$200,V120)="","",INDEX('Input Contact Information'!$M$2:$M$200,V120)))))</f>
        <v/>
      </c>
      <c r="Q120" s="1" t="str">
        <f t="shared" si="7"/>
        <v/>
      </c>
      <c r="R120" s="1" t="str">
        <f>IF($B120="","",IF(X120="","",IF(INDEX('Engagements Overview'!$I$2:$I$200,X120)="","",INDEX('Engagements Overview'!$I$2:$I$200,X120))))</f>
        <v/>
      </c>
      <c r="S120" s="14" t="str">
        <f>IF($B120="","",IF(X120="","",IF(INDEX('Engagements Overview'!$K$2:$K$200,X120)="","",INDEX('Engagements Overview'!$K$2:$K$200,X120))))</f>
        <v/>
      </c>
      <c r="T120" s="1" t="str">
        <f>IF($B120="","",IF(V120="","",IF(INDEX('Input Contact Information'!$O$2:$O$200,V120)="","",INDEX('Input Contact Information'!$O$2:$O$200,V120))))</f>
        <v/>
      </c>
      <c r="U120" s="1" t="str">
        <f>IF($B120="","",IF(V120="","",IF(INDEX('Input Contact Information'!$P$2:$P$200,V120)="","",INDEX('Input Contact Information'!$P$2:$P$200,V120))))</f>
        <v/>
      </c>
      <c r="V120" s="1" t="str">
        <f>IF(B120="","",IFERROR(MATCH(B120&amp;"|"&amp;C120,'Input Contact Information'!$W$2:$W$200,0),""))</f>
        <v/>
      </c>
      <c r="W120" s="1" t="str">
        <f>IF(C120="","",IFERROR(MATCH(C120,'Accounts Overview'!$B$2:$B$100,0),""))</f>
        <v/>
      </c>
      <c r="X120" s="1" t="str">
        <f>IF(A120="","",IFERROR(MATCH(A120,'Engagements Overview'!$B$2:$B$200,0),""))</f>
        <v/>
      </c>
    </row>
    <row r="121" spans="1:24" ht="15" customHeight="1" x14ac:dyDescent="0.35">
      <c r="A121" s="13" t="str">
        <f t="shared" si="6"/>
        <v/>
      </c>
      <c r="B121" s="1" t="str">
        <f>IFERROR(INDEX('Input Contact Information'!$C$2:$C$200,MATCH(ROW()-1,'Input Contact Information'!$V$2:$V$200,0)),"")</f>
        <v/>
      </c>
      <c r="C121" s="1" t="str">
        <f>IFERROR(INDEX('Input Contact Information'!$B$2:$B$200,MATCH(ROW()-1,'Input Contact Information'!$V$2:$V$200,0)),"")</f>
        <v/>
      </c>
      <c r="D121" s="1" t="str">
        <f>IF($B121="","",IF(W121="","",INDEX('Accounts Overview'!$A$2:$A$100,W121)))</f>
        <v/>
      </c>
      <c r="E121" s="1" t="str">
        <f>IF($B121="","",IF(V121="","",IF(INDEX('Input Contact Information'!$D$2:$D$200,V121)="","",INDEX('Input Contact Information'!$D$2:$D$200,V121))))</f>
        <v/>
      </c>
      <c r="F121" s="1" t="str">
        <f>IF($B121="","",IF(V121="","",IF(INDEX('Input Contact Information'!$F$2:$F$200,V121)="","",INDEX('Input Contact Information'!$F$2:$F$200,V121))))</f>
        <v/>
      </c>
      <c r="G121" s="1" t="str">
        <f>IF($B121="","",IF(V121="","",IF(INDEX('Input Contact Information'!$E$2:$E$200,V121)="","",INDEX('Input Contact Information'!$E$2:$E$200,V121))))</f>
        <v/>
      </c>
      <c r="H121" s="1" t="str">
        <f>IF($B121="","",IF(V121="","",IF(INDEX('Input Contact Information'!$G$2:$G$200,V121)="","",INDEX('Input Contact Information'!$G$2:$G$200,V121))))</f>
        <v/>
      </c>
      <c r="I121" s="1" t="str">
        <f>IF($B121="","",IF(V121="","",IF(INDEX('Input Contact Information'!$H$2:$H$200,V121)="","",INDEX('Input Contact Information'!$H$2:$H$200,V121))))</f>
        <v/>
      </c>
      <c r="J121" s="1" t="str">
        <f>IF($B121="","",IF(V121="","",IF(INDEX('Input Contact Information'!$I$2:$I$200,V121)="","",INDEX('Input Contact Information'!$I$2:$I$200,V121))))</f>
        <v/>
      </c>
      <c r="K121" s="1" t="str">
        <f>IF($B121="","",IF(V121="","",IF(INDEX('Input Contact Information'!$A$2:$A$200,V121)="","",INDEX('Input Contact Information'!$A$2:$A$200,V121))))</f>
        <v/>
      </c>
      <c r="L121" s="1" t="str">
        <f>IF($B121="","",IF(W121="","",IF(INDEX('Accounts Overview'!$I$2:$I$100,W121)="","",INDEX('Accounts Overview'!$I$2:$I$100,W121))))</f>
        <v/>
      </c>
      <c r="M121" s="1" t="str">
        <f>IF($B121="","",IF(V121="","",IF(INDEX('Input Contact Information'!$J$2:$J$200,V121)="","",INDEX('Input Contact Information'!$J$2:$J$200,V121))))</f>
        <v/>
      </c>
      <c r="N121" s="1" t="str">
        <f>IF($B121="","",IF(V121="","",IF(INDEX('Input Contact Information'!$K$2:$K$200,V121)="","",INDEX('Input Contact Information'!$K$2:$K$200,V121))))</f>
        <v/>
      </c>
      <c r="O121" s="1" t="str">
        <f>IF($B121="","",IF(V121="","",IF(INDEX('Input Contact Information'!$L$2:$L$200,V121)="","",INDEX('Input Contact Information'!$L$2:$L$200,V121))))</f>
        <v/>
      </c>
      <c r="P121" s="1" t="str">
        <f>IF($B121="","",IF((IF(V121="","",IF(INDEX('Input Contact Information'!$N$2:$N$200,V121)="","",INDEX('Input Contact Information'!$N$2:$N$200,V121))))&lt;&gt;"",IF(V121="","",IF(INDEX('Input Contact Information'!$N$2:$N$200,V121)="","",INDEX('Input Contact Information'!$N$2:$N$200,V121))),IF(V121="","",IF(INDEX('Input Contact Information'!$M$2:$M$200,V121)="","",INDEX('Input Contact Information'!$M$2:$M$200,V121)))))</f>
        <v/>
      </c>
      <c r="Q121" s="1" t="str">
        <f t="shared" si="7"/>
        <v/>
      </c>
      <c r="R121" s="1" t="str">
        <f>IF($B121="","",IF(X121="","",IF(INDEX('Engagements Overview'!$I$2:$I$200,X121)="","",INDEX('Engagements Overview'!$I$2:$I$200,X121))))</f>
        <v/>
      </c>
      <c r="S121" s="14" t="str">
        <f>IF($B121="","",IF(X121="","",IF(INDEX('Engagements Overview'!$K$2:$K$200,X121)="","",INDEX('Engagements Overview'!$K$2:$K$200,X121))))</f>
        <v/>
      </c>
      <c r="T121" s="1" t="str">
        <f>IF($B121="","",IF(V121="","",IF(INDEX('Input Contact Information'!$O$2:$O$200,V121)="","",INDEX('Input Contact Information'!$O$2:$O$200,V121))))</f>
        <v/>
      </c>
      <c r="U121" s="1" t="str">
        <f>IF($B121="","",IF(V121="","",IF(INDEX('Input Contact Information'!$P$2:$P$200,V121)="","",INDEX('Input Contact Information'!$P$2:$P$200,V121))))</f>
        <v/>
      </c>
      <c r="V121" s="1" t="str">
        <f>IF(B121="","",IFERROR(MATCH(B121&amp;"|"&amp;C121,'Input Contact Information'!$W$2:$W$200,0),""))</f>
        <v/>
      </c>
      <c r="W121" s="1" t="str">
        <f>IF(C121="","",IFERROR(MATCH(C121,'Accounts Overview'!$B$2:$B$100,0),""))</f>
        <v/>
      </c>
      <c r="X121" s="1" t="str">
        <f>IF(A121="","",IFERROR(MATCH(A121,'Engagements Overview'!$B$2:$B$200,0),""))</f>
        <v/>
      </c>
    </row>
    <row r="122" spans="1:24" ht="15" customHeight="1" x14ac:dyDescent="0.35">
      <c r="A122" s="13" t="str">
        <f t="shared" si="6"/>
        <v/>
      </c>
      <c r="B122" s="1" t="str">
        <f>IFERROR(INDEX('Input Contact Information'!$C$2:$C$200,MATCH(ROW()-1,'Input Contact Information'!$V$2:$V$200,0)),"")</f>
        <v/>
      </c>
      <c r="C122" s="1" t="str">
        <f>IFERROR(INDEX('Input Contact Information'!$B$2:$B$200,MATCH(ROW()-1,'Input Contact Information'!$V$2:$V$200,0)),"")</f>
        <v/>
      </c>
      <c r="D122" s="1" t="str">
        <f>IF($B122="","",IF(W122="","",INDEX('Accounts Overview'!$A$2:$A$100,W122)))</f>
        <v/>
      </c>
      <c r="E122" s="1" t="str">
        <f>IF($B122="","",IF(V122="","",IF(INDEX('Input Contact Information'!$D$2:$D$200,V122)="","",INDEX('Input Contact Information'!$D$2:$D$200,V122))))</f>
        <v/>
      </c>
      <c r="F122" s="1" t="str">
        <f>IF($B122="","",IF(V122="","",IF(INDEX('Input Contact Information'!$F$2:$F$200,V122)="","",INDEX('Input Contact Information'!$F$2:$F$200,V122))))</f>
        <v/>
      </c>
      <c r="G122" s="1" t="str">
        <f>IF($B122="","",IF(V122="","",IF(INDEX('Input Contact Information'!$E$2:$E$200,V122)="","",INDEX('Input Contact Information'!$E$2:$E$200,V122))))</f>
        <v/>
      </c>
      <c r="H122" s="1" t="str">
        <f>IF($B122="","",IF(V122="","",IF(INDEX('Input Contact Information'!$G$2:$G$200,V122)="","",INDEX('Input Contact Information'!$G$2:$G$200,V122))))</f>
        <v/>
      </c>
      <c r="I122" s="1" t="str">
        <f>IF($B122="","",IF(V122="","",IF(INDEX('Input Contact Information'!$H$2:$H$200,V122)="","",INDEX('Input Contact Information'!$H$2:$H$200,V122))))</f>
        <v/>
      </c>
      <c r="J122" s="1" t="str">
        <f>IF($B122="","",IF(V122="","",IF(INDEX('Input Contact Information'!$I$2:$I$200,V122)="","",INDEX('Input Contact Information'!$I$2:$I$200,V122))))</f>
        <v/>
      </c>
      <c r="K122" s="1" t="str">
        <f>IF($B122="","",IF(V122="","",IF(INDEX('Input Contact Information'!$A$2:$A$200,V122)="","",INDEX('Input Contact Information'!$A$2:$A$200,V122))))</f>
        <v/>
      </c>
      <c r="L122" s="1" t="str">
        <f>IF($B122="","",IF(W122="","",IF(INDEX('Accounts Overview'!$I$2:$I$100,W122)="","",INDEX('Accounts Overview'!$I$2:$I$100,W122))))</f>
        <v/>
      </c>
      <c r="M122" s="1" t="str">
        <f>IF($B122="","",IF(V122="","",IF(INDEX('Input Contact Information'!$J$2:$J$200,V122)="","",INDEX('Input Contact Information'!$J$2:$J$200,V122))))</f>
        <v/>
      </c>
      <c r="N122" s="1" t="str">
        <f>IF($B122="","",IF(V122="","",IF(INDEX('Input Contact Information'!$K$2:$K$200,V122)="","",INDEX('Input Contact Information'!$K$2:$K$200,V122))))</f>
        <v/>
      </c>
      <c r="O122" s="1" t="str">
        <f>IF($B122="","",IF(V122="","",IF(INDEX('Input Contact Information'!$L$2:$L$200,V122)="","",INDEX('Input Contact Information'!$L$2:$L$200,V122))))</f>
        <v/>
      </c>
      <c r="P122" s="1" t="str">
        <f>IF($B122="","",IF((IF(V122="","",IF(INDEX('Input Contact Information'!$N$2:$N$200,V122)="","",INDEX('Input Contact Information'!$N$2:$N$200,V122))))&lt;&gt;"",IF(V122="","",IF(INDEX('Input Contact Information'!$N$2:$N$200,V122)="","",INDEX('Input Contact Information'!$N$2:$N$200,V122))),IF(V122="","",IF(INDEX('Input Contact Information'!$M$2:$M$200,V122)="","",INDEX('Input Contact Information'!$M$2:$M$200,V122)))))</f>
        <v/>
      </c>
      <c r="Q122" s="1" t="str">
        <f t="shared" si="7"/>
        <v/>
      </c>
      <c r="R122" s="1" t="str">
        <f>IF($B122="","",IF(X122="","",IF(INDEX('Engagements Overview'!$I$2:$I$200,X122)="","",INDEX('Engagements Overview'!$I$2:$I$200,X122))))</f>
        <v/>
      </c>
      <c r="S122" s="14" t="str">
        <f>IF($B122="","",IF(X122="","",IF(INDEX('Engagements Overview'!$K$2:$K$200,X122)="","",INDEX('Engagements Overview'!$K$2:$K$200,X122))))</f>
        <v/>
      </c>
      <c r="T122" s="1" t="str">
        <f>IF($B122="","",IF(V122="","",IF(INDEX('Input Contact Information'!$O$2:$O$200,V122)="","",INDEX('Input Contact Information'!$O$2:$O$200,V122))))</f>
        <v/>
      </c>
      <c r="U122" s="1" t="str">
        <f>IF($B122="","",IF(V122="","",IF(INDEX('Input Contact Information'!$P$2:$P$200,V122)="","",INDEX('Input Contact Information'!$P$2:$P$200,V122))))</f>
        <v/>
      </c>
      <c r="V122" s="1" t="str">
        <f>IF(B122="","",IFERROR(MATCH(B122&amp;"|"&amp;C122,'Input Contact Information'!$W$2:$W$200,0),""))</f>
        <v/>
      </c>
      <c r="W122" s="1" t="str">
        <f>IF(C122="","",IFERROR(MATCH(C122,'Accounts Overview'!$B$2:$B$100,0),""))</f>
        <v/>
      </c>
      <c r="X122" s="1" t="str">
        <f>IF(A122="","",IFERROR(MATCH(A122,'Engagements Overview'!$B$2:$B$200,0),""))</f>
        <v/>
      </c>
    </row>
    <row r="123" spans="1:24" ht="15" customHeight="1" x14ac:dyDescent="0.35">
      <c r="A123" s="13" t="str">
        <f t="shared" si="6"/>
        <v/>
      </c>
      <c r="B123" s="1" t="str">
        <f>IFERROR(INDEX('Input Contact Information'!$C$2:$C$200,MATCH(ROW()-1,'Input Contact Information'!$V$2:$V$200,0)),"")</f>
        <v/>
      </c>
      <c r="C123" s="1" t="str">
        <f>IFERROR(INDEX('Input Contact Information'!$B$2:$B$200,MATCH(ROW()-1,'Input Contact Information'!$V$2:$V$200,0)),"")</f>
        <v/>
      </c>
      <c r="D123" s="1" t="str">
        <f>IF($B123="","",IF(W123="","",INDEX('Accounts Overview'!$A$2:$A$100,W123)))</f>
        <v/>
      </c>
      <c r="E123" s="1" t="str">
        <f>IF($B123="","",IF(V123="","",IF(INDEX('Input Contact Information'!$D$2:$D$200,V123)="","",INDEX('Input Contact Information'!$D$2:$D$200,V123))))</f>
        <v/>
      </c>
      <c r="F123" s="1" t="str">
        <f>IF($B123="","",IF(V123="","",IF(INDEX('Input Contact Information'!$F$2:$F$200,V123)="","",INDEX('Input Contact Information'!$F$2:$F$200,V123))))</f>
        <v/>
      </c>
      <c r="G123" s="1" t="str">
        <f>IF($B123="","",IF(V123="","",IF(INDEX('Input Contact Information'!$E$2:$E$200,V123)="","",INDEX('Input Contact Information'!$E$2:$E$200,V123))))</f>
        <v/>
      </c>
      <c r="H123" s="1" t="str">
        <f>IF($B123="","",IF(V123="","",IF(INDEX('Input Contact Information'!$G$2:$G$200,V123)="","",INDEX('Input Contact Information'!$G$2:$G$200,V123))))</f>
        <v/>
      </c>
      <c r="I123" s="1" t="str">
        <f>IF($B123="","",IF(V123="","",IF(INDEX('Input Contact Information'!$H$2:$H$200,V123)="","",INDEX('Input Contact Information'!$H$2:$H$200,V123))))</f>
        <v/>
      </c>
      <c r="J123" s="1" t="str">
        <f>IF($B123="","",IF(V123="","",IF(INDEX('Input Contact Information'!$I$2:$I$200,V123)="","",INDEX('Input Contact Information'!$I$2:$I$200,V123))))</f>
        <v/>
      </c>
      <c r="K123" s="1" t="str">
        <f>IF($B123="","",IF(V123="","",IF(INDEX('Input Contact Information'!$A$2:$A$200,V123)="","",INDEX('Input Contact Information'!$A$2:$A$200,V123))))</f>
        <v/>
      </c>
      <c r="L123" s="1" t="str">
        <f>IF($B123="","",IF(W123="","",IF(INDEX('Accounts Overview'!$I$2:$I$100,W123)="","",INDEX('Accounts Overview'!$I$2:$I$100,W123))))</f>
        <v/>
      </c>
      <c r="M123" s="1" t="str">
        <f>IF($B123="","",IF(V123="","",IF(INDEX('Input Contact Information'!$J$2:$J$200,V123)="","",INDEX('Input Contact Information'!$J$2:$J$200,V123))))</f>
        <v/>
      </c>
      <c r="N123" s="1" t="str">
        <f>IF($B123="","",IF(V123="","",IF(INDEX('Input Contact Information'!$K$2:$K$200,V123)="","",INDEX('Input Contact Information'!$K$2:$K$200,V123))))</f>
        <v/>
      </c>
      <c r="O123" s="1" t="str">
        <f>IF($B123="","",IF(V123="","",IF(INDEX('Input Contact Information'!$L$2:$L$200,V123)="","",INDEX('Input Contact Information'!$L$2:$L$200,V123))))</f>
        <v/>
      </c>
      <c r="P123" s="1" t="str">
        <f>IF($B123="","",IF((IF(V123="","",IF(INDEX('Input Contact Information'!$N$2:$N$200,V123)="","",INDEX('Input Contact Information'!$N$2:$N$200,V123))))&lt;&gt;"",IF(V123="","",IF(INDEX('Input Contact Information'!$N$2:$N$200,V123)="","",INDEX('Input Contact Information'!$N$2:$N$200,V123))),IF(V123="","",IF(INDEX('Input Contact Information'!$M$2:$M$200,V123)="","",INDEX('Input Contact Information'!$M$2:$M$200,V123)))))</f>
        <v/>
      </c>
      <c r="Q123" s="1" t="str">
        <f t="shared" si="7"/>
        <v/>
      </c>
      <c r="R123" s="1" t="str">
        <f>IF($B123="","",IF(X123="","",IF(INDEX('Engagements Overview'!$I$2:$I$200,X123)="","",INDEX('Engagements Overview'!$I$2:$I$200,X123))))</f>
        <v/>
      </c>
      <c r="S123" s="14" t="str">
        <f>IF($B123="","",IF(X123="","",IF(INDEX('Engagements Overview'!$K$2:$K$200,X123)="","",INDEX('Engagements Overview'!$K$2:$K$200,X123))))</f>
        <v/>
      </c>
      <c r="T123" s="1" t="str">
        <f>IF($B123="","",IF(V123="","",IF(INDEX('Input Contact Information'!$O$2:$O$200,V123)="","",INDEX('Input Contact Information'!$O$2:$O$200,V123))))</f>
        <v/>
      </c>
      <c r="U123" s="1" t="str">
        <f>IF($B123="","",IF(V123="","",IF(INDEX('Input Contact Information'!$P$2:$P$200,V123)="","",INDEX('Input Contact Information'!$P$2:$P$200,V123))))</f>
        <v/>
      </c>
      <c r="V123" s="1" t="str">
        <f>IF(B123="","",IFERROR(MATCH(B123&amp;"|"&amp;C123,'Input Contact Information'!$W$2:$W$200,0),""))</f>
        <v/>
      </c>
      <c r="W123" s="1" t="str">
        <f>IF(C123="","",IFERROR(MATCH(C123,'Accounts Overview'!$B$2:$B$100,0),""))</f>
        <v/>
      </c>
      <c r="X123" s="1" t="str">
        <f>IF(A123="","",IFERROR(MATCH(A123,'Engagements Overview'!$B$2:$B$200,0),""))</f>
        <v/>
      </c>
    </row>
    <row r="124" spans="1:24" ht="15" customHeight="1" x14ac:dyDescent="0.35">
      <c r="A124" s="13" t="str">
        <f t="shared" si="6"/>
        <v/>
      </c>
      <c r="B124" s="1" t="str">
        <f>IFERROR(INDEX('Input Contact Information'!$C$2:$C$200,MATCH(ROW()-1,'Input Contact Information'!$V$2:$V$200,0)),"")</f>
        <v/>
      </c>
      <c r="C124" s="1" t="str">
        <f>IFERROR(INDEX('Input Contact Information'!$B$2:$B$200,MATCH(ROW()-1,'Input Contact Information'!$V$2:$V$200,0)),"")</f>
        <v/>
      </c>
      <c r="D124" s="1" t="str">
        <f>IF($B124="","",IF(W124="","",INDEX('Accounts Overview'!$A$2:$A$100,W124)))</f>
        <v/>
      </c>
      <c r="E124" s="1" t="str">
        <f>IF($B124="","",IF(V124="","",IF(INDEX('Input Contact Information'!$D$2:$D$200,V124)="","",INDEX('Input Contact Information'!$D$2:$D$200,V124))))</f>
        <v/>
      </c>
      <c r="F124" s="1" t="str">
        <f>IF($B124="","",IF(V124="","",IF(INDEX('Input Contact Information'!$F$2:$F$200,V124)="","",INDEX('Input Contact Information'!$F$2:$F$200,V124))))</f>
        <v/>
      </c>
      <c r="G124" s="1" t="str">
        <f>IF($B124="","",IF(V124="","",IF(INDEX('Input Contact Information'!$E$2:$E$200,V124)="","",INDEX('Input Contact Information'!$E$2:$E$200,V124))))</f>
        <v/>
      </c>
      <c r="H124" s="1" t="str">
        <f>IF($B124="","",IF(V124="","",IF(INDEX('Input Contact Information'!$G$2:$G$200,V124)="","",INDEX('Input Contact Information'!$G$2:$G$200,V124))))</f>
        <v/>
      </c>
      <c r="I124" s="1" t="str">
        <f>IF($B124="","",IF(V124="","",IF(INDEX('Input Contact Information'!$H$2:$H$200,V124)="","",INDEX('Input Contact Information'!$H$2:$H$200,V124))))</f>
        <v/>
      </c>
      <c r="J124" s="1" t="str">
        <f>IF($B124="","",IF(V124="","",IF(INDEX('Input Contact Information'!$I$2:$I$200,V124)="","",INDEX('Input Contact Information'!$I$2:$I$200,V124))))</f>
        <v/>
      </c>
      <c r="K124" s="1" t="str">
        <f>IF($B124="","",IF(V124="","",IF(INDEX('Input Contact Information'!$A$2:$A$200,V124)="","",INDEX('Input Contact Information'!$A$2:$A$200,V124))))</f>
        <v/>
      </c>
      <c r="L124" s="1" t="str">
        <f>IF($B124="","",IF(W124="","",IF(INDEX('Accounts Overview'!$I$2:$I$100,W124)="","",INDEX('Accounts Overview'!$I$2:$I$100,W124))))</f>
        <v/>
      </c>
      <c r="M124" s="1" t="str">
        <f>IF($B124="","",IF(V124="","",IF(INDEX('Input Contact Information'!$J$2:$J$200,V124)="","",INDEX('Input Contact Information'!$J$2:$J$200,V124))))</f>
        <v/>
      </c>
      <c r="N124" s="1" t="str">
        <f>IF($B124="","",IF(V124="","",IF(INDEX('Input Contact Information'!$K$2:$K$200,V124)="","",INDEX('Input Contact Information'!$K$2:$K$200,V124))))</f>
        <v/>
      </c>
      <c r="O124" s="1" t="str">
        <f>IF($B124="","",IF(V124="","",IF(INDEX('Input Contact Information'!$L$2:$L$200,V124)="","",INDEX('Input Contact Information'!$L$2:$L$200,V124))))</f>
        <v/>
      </c>
      <c r="P124" s="1" t="str">
        <f>IF($B124="","",IF((IF(V124="","",IF(INDEX('Input Contact Information'!$N$2:$N$200,V124)="","",INDEX('Input Contact Information'!$N$2:$N$200,V124))))&lt;&gt;"",IF(V124="","",IF(INDEX('Input Contact Information'!$N$2:$N$200,V124)="","",INDEX('Input Contact Information'!$N$2:$N$200,V124))),IF(V124="","",IF(INDEX('Input Contact Information'!$M$2:$M$200,V124)="","",INDEX('Input Contact Information'!$M$2:$M$200,V124)))))</f>
        <v/>
      </c>
      <c r="Q124" s="1" t="str">
        <f t="shared" si="7"/>
        <v/>
      </c>
      <c r="R124" s="1" t="str">
        <f>IF($B124="","",IF(X124="","",IF(INDEX('Engagements Overview'!$I$2:$I$200,X124)="","",INDEX('Engagements Overview'!$I$2:$I$200,X124))))</f>
        <v/>
      </c>
      <c r="S124" s="14" t="str">
        <f>IF($B124="","",IF(X124="","",IF(INDEX('Engagements Overview'!$K$2:$K$200,X124)="","",INDEX('Engagements Overview'!$K$2:$K$200,X124))))</f>
        <v/>
      </c>
      <c r="T124" s="1" t="str">
        <f>IF($B124="","",IF(V124="","",IF(INDEX('Input Contact Information'!$O$2:$O$200,V124)="","",INDEX('Input Contact Information'!$O$2:$O$200,V124))))</f>
        <v/>
      </c>
      <c r="U124" s="1" t="str">
        <f>IF($B124="","",IF(V124="","",IF(INDEX('Input Contact Information'!$P$2:$P$200,V124)="","",INDEX('Input Contact Information'!$P$2:$P$200,V124))))</f>
        <v/>
      </c>
      <c r="V124" s="1" t="str">
        <f>IF(B124="","",IFERROR(MATCH(B124&amp;"|"&amp;C124,'Input Contact Information'!$W$2:$W$200,0),""))</f>
        <v/>
      </c>
      <c r="W124" s="1" t="str">
        <f>IF(C124="","",IFERROR(MATCH(C124,'Accounts Overview'!$B$2:$B$100,0),""))</f>
        <v/>
      </c>
      <c r="X124" s="1" t="str">
        <f>IF(A124="","",IFERROR(MATCH(A124,'Engagements Overview'!$B$2:$B$200,0),""))</f>
        <v/>
      </c>
    </row>
    <row r="125" spans="1:24" ht="15" customHeight="1" x14ac:dyDescent="0.35">
      <c r="A125" s="13" t="str">
        <f t="shared" si="6"/>
        <v/>
      </c>
      <c r="B125" s="1" t="str">
        <f>IFERROR(INDEX('Input Contact Information'!$C$2:$C$200,MATCH(ROW()-1,'Input Contact Information'!$V$2:$V$200,0)),"")</f>
        <v/>
      </c>
      <c r="C125" s="1" t="str">
        <f>IFERROR(INDEX('Input Contact Information'!$B$2:$B$200,MATCH(ROW()-1,'Input Contact Information'!$V$2:$V$200,0)),"")</f>
        <v/>
      </c>
      <c r="D125" s="1" t="str">
        <f>IF($B125="","",IF(W125="","",INDEX('Accounts Overview'!$A$2:$A$100,W125)))</f>
        <v/>
      </c>
      <c r="E125" s="1" t="str">
        <f>IF($B125="","",IF(V125="","",IF(INDEX('Input Contact Information'!$D$2:$D$200,V125)="","",INDEX('Input Contact Information'!$D$2:$D$200,V125))))</f>
        <v/>
      </c>
      <c r="F125" s="1" t="str">
        <f>IF($B125="","",IF(V125="","",IF(INDEX('Input Contact Information'!$F$2:$F$200,V125)="","",INDEX('Input Contact Information'!$F$2:$F$200,V125))))</f>
        <v/>
      </c>
      <c r="G125" s="1" t="str">
        <f>IF($B125="","",IF(V125="","",IF(INDEX('Input Contact Information'!$E$2:$E$200,V125)="","",INDEX('Input Contact Information'!$E$2:$E$200,V125))))</f>
        <v/>
      </c>
      <c r="H125" s="1" t="str">
        <f>IF($B125="","",IF(V125="","",IF(INDEX('Input Contact Information'!$G$2:$G$200,V125)="","",INDEX('Input Contact Information'!$G$2:$G$200,V125))))</f>
        <v/>
      </c>
      <c r="I125" s="1" t="str">
        <f>IF($B125="","",IF(V125="","",IF(INDEX('Input Contact Information'!$H$2:$H$200,V125)="","",INDEX('Input Contact Information'!$H$2:$H$200,V125))))</f>
        <v/>
      </c>
      <c r="J125" s="1" t="str">
        <f>IF($B125="","",IF(V125="","",IF(INDEX('Input Contact Information'!$I$2:$I$200,V125)="","",INDEX('Input Contact Information'!$I$2:$I$200,V125))))</f>
        <v/>
      </c>
      <c r="K125" s="1" t="str">
        <f>IF($B125="","",IF(V125="","",IF(INDEX('Input Contact Information'!$A$2:$A$200,V125)="","",INDEX('Input Contact Information'!$A$2:$A$200,V125))))</f>
        <v/>
      </c>
      <c r="L125" s="1" t="str">
        <f>IF($B125="","",IF(W125="","",IF(INDEX('Accounts Overview'!$I$2:$I$100,W125)="","",INDEX('Accounts Overview'!$I$2:$I$100,W125))))</f>
        <v/>
      </c>
      <c r="M125" s="1" t="str">
        <f>IF($B125="","",IF(V125="","",IF(INDEX('Input Contact Information'!$J$2:$J$200,V125)="","",INDEX('Input Contact Information'!$J$2:$J$200,V125))))</f>
        <v/>
      </c>
      <c r="N125" s="1" t="str">
        <f>IF($B125="","",IF(V125="","",IF(INDEX('Input Contact Information'!$K$2:$K$200,V125)="","",INDEX('Input Contact Information'!$K$2:$K$200,V125))))</f>
        <v/>
      </c>
      <c r="O125" s="1" t="str">
        <f>IF($B125="","",IF(V125="","",IF(INDEX('Input Contact Information'!$L$2:$L$200,V125)="","",INDEX('Input Contact Information'!$L$2:$L$200,V125))))</f>
        <v/>
      </c>
      <c r="P125" s="1" t="str">
        <f>IF($B125="","",IF((IF(V125="","",IF(INDEX('Input Contact Information'!$N$2:$N$200,V125)="","",INDEX('Input Contact Information'!$N$2:$N$200,V125))))&lt;&gt;"",IF(V125="","",IF(INDEX('Input Contact Information'!$N$2:$N$200,V125)="","",INDEX('Input Contact Information'!$N$2:$N$200,V125))),IF(V125="","",IF(INDEX('Input Contact Information'!$M$2:$M$200,V125)="","",INDEX('Input Contact Information'!$M$2:$M$200,V125)))))</f>
        <v/>
      </c>
      <c r="Q125" s="1" t="str">
        <f t="shared" si="7"/>
        <v/>
      </c>
      <c r="R125" s="1" t="str">
        <f>IF($B125="","",IF(X125="","",IF(INDEX('Engagements Overview'!$I$2:$I$200,X125)="","",INDEX('Engagements Overview'!$I$2:$I$200,X125))))</f>
        <v/>
      </c>
      <c r="S125" s="14" t="str">
        <f>IF($B125="","",IF(X125="","",IF(INDEX('Engagements Overview'!$K$2:$K$200,X125)="","",INDEX('Engagements Overview'!$K$2:$K$200,X125))))</f>
        <v/>
      </c>
      <c r="T125" s="1" t="str">
        <f>IF($B125="","",IF(V125="","",IF(INDEX('Input Contact Information'!$O$2:$O$200,V125)="","",INDEX('Input Contact Information'!$O$2:$O$200,V125))))</f>
        <v/>
      </c>
      <c r="U125" s="1" t="str">
        <f>IF($B125="","",IF(V125="","",IF(INDEX('Input Contact Information'!$P$2:$P$200,V125)="","",INDEX('Input Contact Information'!$P$2:$P$200,V125))))</f>
        <v/>
      </c>
      <c r="V125" s="1" t="str">
        <f>IF(B125="","",IFERROR(MATCH(B125&amp;"|"&amp;C125,'Input Contact Information'!$W$2:$W$200,0),""))</f>
        <v/>
      </c>
      <c r="W125" s="1" t="str">
        <f>IF(C125="","",IFERROR(MATCH(C125,'Accounts Overview'!$B$2:$B$100,0),""))</f>
        <v/>
      </c>
      <c r="X125" s="1" t="str">
        <f>IF(A125="","",IFERROR(MATCH(A125,'Engagements Overview'!$B$2:$B$200,0),""))</f>
        <v/>
      </c>
    </row>
    <row r="126" spans="1:24" ht="15" customHeight="1" x14ac:dyDescent="0.35">
      <c r="A126" s="13" t="str">
        <f t="shared" si="6"/>
        <v/>
      </c>
      <c r="B126" s="1" t="str">
        <f>IFERROR(INDEX('Input Contact Information'!$C$2:$C$200,MATCH(ROW()-1,'Input Contact Information'!$V$2:$V$200,0)),"")</f>
        <v/>
      </c>
      <c r="C126" s="1" t="str">
        <f>IFERROR(INDEX('Input Contact Information'!$B$2:$B$200,MATCH(ROW()-1,'Input Contact Information'!$V$2:$V$200,0)),"")</f>
        <v/>
      </c>
      <c r="D126" s="1" t="str">
        <f>IF($B126="","",IF(W126="","",INDEX('Accounts Overview'!$A$2:$A$100,W126)))</f>
        <v/>
      </c>
      <c r="E126" s="1" t="str">
        <f>IF($B126="","",IF(V126="","",IF(INDEX('Input Contact Information'!$D$2:$D$200,V126)="","",INDEX('Input Contact Information'!$D$2:$D$200,V126))))</f>
        <v/>
      </c>
      <c r="F126" s="1" t="str">
        <f>IF($B126="","",IF(V126="","",IF(INDEX('Input Contact Information'!$F$2:$F$200,V126)="","",INDEX('Input Contact Information'!$F$2:$F$200,V126))))</f>
        <v/>
      </c>
      <c r="G126" s="1" t="str">
        <f>IF($B126="","",IF(V126="","",IF(INDEX('Input Contact Information'!$E$2:$E$200,V126)="","",INDEX('Input Contact Information'!$E$2:$E$200,V126))))</f>
        <v/>
      </c>
      <c r="H126" s="1" t="str">
        <f>IF($B126="","",IF(V126="","",IF(INDEX('Input Contact Information'!$G$2:$G$200,V126)="","",INDEX('Input Contact Information'!$G$2:$G$200,V126))))</f>
        <v/>
      </c>
      <c r="I126" s="1" t="str">
        <f>IF($B126="","",IF(V126="","",IF(INDEX('Input Contact Information'!$H$2:$H$200,V126)="","",INDEX('Input Contact Information'!$H$2:$H$200,V126))))</f>
        <v/>
      </c>
      <c r="J126" s="1" t="str">
        <f>IF($B126="","",IF(V126="","",IF(INDEX('Input Contact Information'!$I$2:$I$200,V126)="","",INDEX('Input Contact Information'!$I$2:$I$200,V126))))</f>
        <v/>
      </c>
      <c r="K126" s="1" t="str">
        <f>IF($B126="","",IF(V126="","",IF(INDEX('Input Contact Information'!$A$2:$A$200,V126)="","",INDEX('Input Contact Information'!$A$2:$A$200,V126))))</f>
        <v/>
      </c>
      <c r="L126" s="1" t="str">
        <f>IF($B126="","",IF(W126="","",IF(INDEX('Accounts Overview'!$I$2:$I$100,W126)="","",INDEX('Accounts Overview'!$I$2:$I$100,W126))))</f>
        <v/>
      </c>
      <c r="M126" s="1" t="str">
        <f>IF($B126="","",IF(V126="","",IF(INDEX('Input Contact Information'!$J$2:$J$200,V126)="","",INDEX('Input Contact Information'!$J$2:$J$200,V126))))</f>
        <v/>
      </c>
      <c r="N126" s="1" t="str">
        <f>IF($B126="","",IF(V126="","",IF(INDEX('Input Contact Information'!$K$2:$K$200,V126)="","",INDEX('Input Contact Information'!$K$2:$K$200,V126))))</f>
        <v/>
      </c>
      <c r="O126" s="1" t="str">
        <f>IF($B126="","",IF(V126="","",IF(INDEX('Input Contact Information'!$L$2:$L$200,V126)="","",INDEX('Input Contact Information'!$L$2:$L$200,V126))))</f>
        <v/>
      </c>
      <c r="P126" s="1" t="str">
        <f>IF($B126="","",IF((IF(V126="","",IF(INDEX('Input Contact Information'!$N$2:$N$200,V126)="","",INDEX('Input Contact Information'!$N$2:$N$200,V126))))&lt;&gt;"",IF(V126="","",IF(INDEX('Input Contact Information'!$N$2:$N$200,V126)="","",INDEX('Input Contact Information'!$N$2:$N$200,V126))),IF(V126="","",IF(INDEX('Input Contact Information'!$M$2:$M$200,V126)="","",INDEX('Input Contact Information'!$M$2:$M$200,V126)))))</f>
        <v/>
      </c>
      <c r="Q126" s="1" t="str">
        <f t="shared" si="7"/>
        <v/>
      </c>
      <c r="R126" s="1" t="str">
        <f>IF($B126="","",IF(X126="","",IF(INDEX('Engagements Overview'!$I$2:$I$200,X126)="","",INDEX('Engagements Overview'!$I$2:$I$200,X126))))</f>
        <v/>
      </c>
      <c r="S126" s="14" t="str">
        <f>IF($B126="","",IF(X126="","",IF(INDEX('Engagements Overview'!$K$2:$K$200,X126)="","",INDEX('Engagements Overview'!$K$2:$K$200,X126))))</f>
        <v/>
      </c>
      <c r="T126" s="1" t="str">
        <f>IF($B126="","",IF(V126="","",IF(INDEX('Input Contact Information'!$O$2:$O$200,V126)="","",INDEX('Input Contact Information'!$O$2:$O$200,V126))))</f>
        <v/>
      </c>
      <c r="U126" s="1" t="str">
        <f>IF($B126="","",IF(V126="","",IF(INDEX('Input Contact Information'!$P$2:$P$200,V126)="","",INDEX('Input Contact Information'!$P$2:$P$200,V126))))</f>
        <v/>
      </c>
      <c r="V126" s="1" t="str">
        <f>IF(B126="","",IFERROR(MATCH(B126&amp;"|"&amp;C126,'Input Contact Information'!$W$2:$W$200,0),""))</f>
        <v/>
      </c>
      <c r="W126" s="1" t="str">
        <f>IF(C126="","",IFERROR(MATCH(C126,'Accounts Overview'!$B$2:$B$100,0),""))</f>
        <v/>
      </c>
      <c r="X126" s="1" t="str">
        <f>IF(A126="","",IFERROR(MATCH(A126,'Engagements Overview'!$B$2:$B$200,0),""))</f>
        <v/>
      </c>
    </row>
    <row r="127" spans="1:24" ht="15" customHeight="1" x14ac:dyDescent="0.35">
      <c r="A127" s="13" t="str">
        <f t="shared" si="6"/>
        <v/>
      </c>
      <c r="B127" s="1" t="str">
        <f>IFERROR(INDEX('Input Contact Information'!$C$2:$C$200,MATCH(ROW()-1,'Input Contact Information'!$V$2:$V$200,0)),"")</f>
        <v/>
      </c>
      <c r="C127" s="1" t="str">
        <f>IFERROR(INDEX('Input Contact Information'!$B$2:$B$200,MATCH(ROW()-1,'Input Contact Information'!$V$2:$V$200,0)),"")</f>
        <v/>
      </c>
      <c r="D127" s="1" t="str">
        <f>IF($B127="","",IF(W127="","",INDEX('Accounts Overview'!$A$2:$A$100,W127)))</f>
        <v/>
      </c>
      <c r="E127" s="1" t="str">
        <f>IF($B127="","",IF(V127="","",IF(INDEX('Input Contact Information'!$D$2:$D$200,V127)="","",INDEX('Input Contact Information'!$D$2:$D$200,V127))))</f>
        <v/>
      </c>
      <c r="F127" s="1" t="str">
        <f>IF($B127="","",IF(V127="","",IF(INDEX('Input Contact Information'!$F$2:$F$200,V127)="","",INDEX('Input Contact Information'!$F$2:$F$200,V127))))</f>
        <v/>
      </c>
      <c r="G127" s="1" t="str">
        <f>IF($B127="","",IF(V127="","",IF(INDEX('Input Contact Information'!$E$2:$E$200,V127)="","",INDEX('Input Contact Information'!$E$2:$E$200,V127))))</f>
        <v/>
      </c>
      <c r="H127" s="1" t="str">
        <f>IF($B127="","",IF(V127="","",IF(INDEX('Input Contact Information'!$G$2:$G$200,V127)="","",INDEX('Input Contact Information'!$G$2:$G$200,V127))))</f>
        <v/>
      </c>
      <c r="I127" s="1" t="str">
        <f>IF($B127="","",IF(V127="","",IF(INDEX('Input Contact Information'!$H$2:$H$200,V127)="","",INDEX('Input Contact Information'!$H$2:$H$200,V127))))</f>
        <v/>
      </c>
      <c r="J127" s="1" t="str">
        <f>IF($B127="","",IF(V127="","",IF(INDEX('Input Contact Information'!$I$2:$I$200,V127)="","",INDEX('Input Contact Information'!$I$2:$I$200,V127))))</f>
        <v/>
      </c>
      <c r="K127" s="1" t="str">
        <f>IF($B127="","",IF(V127="","",IF(INDEX('Input Contact Information'!$A$2:$A$200,V127)="","",INDEX('Input Contact Information'!$A$2:$A$200,V127))))</f>
        <v/>
      </c>
      <c r="L127" s="1" t="str">
        <f>IF($B127="","",IF(W127="","",IF(INDEX('Accounts Overview'!$I$2:$I$100,W127)="","",INDEX('Accounts Overview'!$I$2:$I$100,W127))))</f>
        <v/>
      </c>
      <c r="M127" s="1" t="str">
        <f>IF($B127="","",IF(V127="","",IF(INDEX('Input Contact Information'!$J$2:$J$200,V127)="","",INDEX('Input Contact Information'!$J$2:$J$200,V127))))</f>
        <v/>
      </c>
      <c r="N127" s="1" t="str">
        <f>IF($B127="","",IF(V127="","",IF(INDEX('Input Contact Information'!$K$2:$K$200,V127)="","",INDEX('Input Contact Information'!$K$2:$K$200,V127))))</f>
        <v/>
      </c>
      <c r="O127" s="1" t="str">
        <f>IF($B127="","",IF(V127="","",IF(INDEX('Input Contact Information'!$L$2:$L$200,V127)="","",INDEX('Input Contact Information'!$L$2:$L$200,V127))))</f>
        <v/>
      </c>
      <c r="P127" s="1" t="str">
        <f>IF($B127="","",IF((IF(V127="","",IF(INDEX('Input Contact Information'!$N$2:$N$200,V127)="","",INDEX('Input Contact Information'!$N$2:$N$200,V127))))&lt;&gt;"",IF(V127="","",IF(INDEX('Input Contact Information'!$N$2:$N$200,V127)="","",INDEX('Input Contact Information'!$N$2:$N$200,V127))),IF(V127="","",IF(INDEX('Input Contact Information'!$M$2:$M$200,V127)="","",INDEX('Input Contact Information'!$M$2:$M$200,V127)))))</f>
        <v/>
      </c>
      <c r="Q127" s="1" t="str">
        <f t="shared" si="7"/>
        <v/>
      </c>
      <c r="R127" s="1" t="str">
        <f>IF($B127="","",IF(X127="","",IF(INDEX('Engagements Overview'!$I$2:$I$200,X127)="","",INDEX('Engagements Overview'!$I$2:$I$200,X127))))</f>
        <v/>
      </c>
      <c r="S127" s="14" t="str">
        <f>IF($B127="","",IF(X127="","",IF(INDEX('Engagements Overview'!$K$2:$K$200,X127)="","",INDEX('Engagements Overview'!$K$2:$K$200,X127))))</f>
        <v/>
      </c>
      <c r="T127" s="1" t="str">
        <f>IF($B127="","",IF(V127="","",IF(INDEX('Input Contact Information'!$O$2:$O$200,V127)="","",INDEX('Input Contact Information'!$O$2:$O$200,V127))))</f>
        <v/>
      </c>
      <c r="U127" s="1" t="str">
        <f>IF($B127="","",IF(V127="","",IF(INDEX('Input Contact Information'!$P$2:$P$200,V127)="","",INDEX('Input Contact Information'!$P$2:$P$200,V127))))</f>
        <v/>
      </c>
      <c r="V127" s="1" t="str">
        <f>IF(B127="","",IFERROR(MATCH(B127&amp;"|"&amp;C127,'Input Contact Information'!$W$2:$W$200,0),""))</f>
        <v/>
      </c>
      <c r="W127" s="1" t="str">
        <f>IF(C127="","",IFERROR(MATCH(C127,'Accounts Overview'!$B$2:$B$100,0),""))</f>
        <v/>
      </c>
      <c r="X127" s="1" t="str">
        <f>IF(A127="","",IFERROR(MATCH(A127,'Engagements Overview'!$B$2:$B$200,0),""))</f>
        <v/>
      </c>
    </row>
    <row r="128" spans="1:24" ht="15" customHeight="1" x14ac:dyDescent="0.35">
      <c r="A128" s="13" t="str">
        <f t="shared" si="6"/>
        <v/>
      </c>
      <c r="B128" s="1" t="str">
        <f>IFERROR(INDEX('Input Contact Information'!$C$2:$C$200,MATCH(ROW()-1,'Input Contact Information'!$V$2:$V$200,0)),"")</f>
        <v/>
      </c>
      <c r="C128" s="1" t="str">
        <f>IFERROR(INDEX('Input Contact Information'!$B$2:$B$200,MATCH(ROW()-1,'Input Contact Information'!$V$2:$V$200,0)),"")</f>
        <v/>
      </c>
      <c r="D128" s="1" t="str">
        <f>IF($B128="","",IF(W128="","",INDEX('Accounts Overview'!$A$2:$A$100,W128)))</f>
        <v/>
      </c>
      <c r="E128" s="1" t="str">
        <f>IF($B128="","",IF(V128="","",IF(INDEX('Input Contact Information'!$D$2:$D$200,V128)="","",INDEX('Input Contact Information'!$D$2:$D$200,V128))))</f>
        <v/>
      </c>
      <c r="F128" s="1" t="str">
        <f>IF($B128="","",IF(V128="","",IF(INDEX('Input Contact Information'!$F$2:$F$200,V128)="","",INDEX('Input Contact Information'!$F$2:$F$200,V128))))</f>
        <v/>
      </c>
      <c r="G128" s="1" t="str">
        <f>IF($B128="","",IF(V128="","",IF(INDEX('Input Contact Information'!$E$2:$E$200,V128)="","",INDEX('Input Contact Information'!$E$2:$E$200,V128))))</f>
        <v/>
      </c>
      <c r="H128" s="1" t="str">
        <f>IF($B128="","",IF(V128="","",IF(INDEX('Input Contact Information'!$G$2:$G$200,V128)="","",INDEX('Input Contact Information'!$G$2:$G$200,V128))))</f>
        <v/>
      </c>
      <c r="I128" s="1" t="str">
        <f>IF($B128="","",IF(V128="","",IF(INDEX('Input Contact Information'!$H$2:$H$200,V128)="","",INDEX('Input Contact Information'!$H$2:$H$200,V128))))</f>
        <v/>
      </c>
      <c r="J128" s="1" t="str">
        <f>IF($B128="","",IF(V128="","",IF(INDEX('Input Contact Information'!$I$2:$I$200,V128)="","",INDEX('Input Contact Information'!$I$2:$I$200,V128))))</f>
        <v/>
      </c>
      <c r="K128" s="1" t="str">
        <f>IF($B128="","",IF(V128="","",IF(INDEX('Input Contact Information'!$A$2:$A$200,V128)="","",INDEX('Input Contact Information'!$A$2:$A$200,V128))))</f>
        <v/>
      </c>
      <c r="L128" s="1" t="str">
        <f>IF($B128="","",IF(W128="","",IF(INDEX('Accounts Overview'!$I$2:$I$100,W128)="","",INDEX('Accounts Overview'!$I$2:$I$100,W128))))</f>
        <v/>
      </c>
      <c r="M128" s="1" t="str">
        <f>IF($B128="","",IF(V128="","",IF(INDEX('Input Contact Information'!$J$2:$J$200,V128)="","",INDEX('Input Contact Information'!$J$2:$J$200,V128))))</f>
        <v/>
      </c>
      <c r="N128" s="1" t="str">
        <f>IF($B128="","",IF(V128="","",IF(INDEX('Input Contact Information'!$K$2:$K$200,V128)="","",INDEX('Input Contact Information'!$K$2:$K$200,V128))))</f>
        <v/>
      </c>
      <c r="O128" s="1" t="str">
        <f>IF($B128="","",IF(V128="","",IF(INDEX('Input Contact Information'!$L$2:$L$200,V128)="","",INDEX('Input Contact Information'!$L$2:$L$200,V128))))</f>
        <v/>
      </c>
      <c r="P128" s="1" t="str">
        <f>IF($B128="","",IF((IF(V128="","",IF(INDEX('Input Contact Information'!$N$2:$N$200,V128)="","",INDEX('Input Contact Information'!$N$2:$N$200,V128))))&lt;&gt;"",IF(V128="","",IF(INDEX('Input Contact Information'!$N$2:$N$200,V128)="","",INDEX('Input Contact Information'!$N$2:$N$200,V128))),IF(V128="","",IF(INDEX('Input Contact Information'!$M$2:$M$200,V128)="","",INDEX('Input Contact Information'!$M$2:$M$200,V128)))))</f>
        <v/>
      </c>
      <c r="Q128" s="1" t="str">
        <f t="shared" si="7"/>
        <v/>
      </c>
      <c r="R128" s="1" t="str">
        <f>IF($B128="","",IF(X128="","",IF(INDEX('Engagements Overview'!$I$2:$I$200,X128)="","",INDEX('Engagements Overview'!$I$2:$I$200,X128))))</f>
        <v/>
      </c>
      <c r="S128" s="14" t="str">
        <f>IF($B128="","",IF(X128="","",IF(INDEX('Engagements Overview'!$K$2:$K$200,X128)="","",INDEX('Engagements Overview'!$K$2:$K$200,X128))))</f>
        <v/>
      </c>
      <c r="T128" s="1" t="str">
        <f>IF($B128="","",IF(V128="","",IF(INDEX('Input Contact Information'!$O$2:$O$200,V128)="","",INDEX('Input Contact Information'!$O$2:$O$200,V128))))</f>
        <v/>
      </c>
      <c r="U128" s="1" t="str">
        <f>IF($B128="","",IF(V128="","",IF(INDEX('Input Contact Information'!$P$2:$P$200,V128)="","",INDEX('Input Contact Information'!$P$2:$P$200,V128))))</f>
        <v/>
      </c>
      <c r="V128" s="1" t="str">
        <f>IF(B128="","",IFERROR(MATCH(B128&amp;"|"&amp;C128,'Input Contact Information'!$W$2:$W$200,0),""))</f>
        <v/>
      </c>
      <c r="W128" s="1" t="str">
        <f>IF(C128="","",IFERROR(MATCH(C128,'Accounts Overview'!$B$2:$B$100,0),""))</f>
        <v/>
      </c>
      <c r="X128" s="1" t="str">
        <f>IF(A128="","",IFERROR(MATCH(A128,'Engagements Overview'!$B$2:$B$200,0),""))</f>
        <v/>
      </c>
    </row>
    <row r="129" spans="1:24" ht="15" customHeight="1" x14ac:dyDescent="0.35">
      <c r="A129" s="13" t="str">
        <f t="shared" si="6"/>
        <v/>
      </c>
      <c r="B129" s="1" t="str">
        <f>IFERROR(INDEX('Input Contact Information'!$C$2:$C$200,MATCH(ROW()-1,'Input Contact Information'!$V$2:$V$200,0)),"")</f>
        <v/>
      </c>
      <c r="C129" s="1" t="str">
        <f>IFERROR(INDEX('Input Contact Information'!$B$2:$B$200,MATCH(ROW()-1,'Input Contact Information'!$V$2:$V$200,0)),"")</f>
        <v/>
      </c>
      <c r="D129" s="1" t="str">
        <f>IF($B129="","",IF(W129="","",INDEX('Accounts Overview'!$A$2:$A$100,W129)))</f>
        <v/>
      </c>
      <c r="E129" s="1" t="str">
        <f>IF($B129="","",IF(V129="","",IF(INDEX('Input Contact Information'!$D$2:$D$200,V129)="","",INDEX('Input Contact Information'!$D$2:$D$200,V129))))</f>
        <v/>
      </c>
      <c r="F129" s="1" t="str">
        <f>IF($B129="","",IF(V129="","",IF(INDEX('Input Contact Information'!$F$2:$F$200,V129)="","",INDEX('Input Contact Information'!$F$2:$F$200,V129))))</f>
        <v/>
      </c>
      <c r="G129" s="1" t="str">
        <f>IF($B129="","",IF(V129="","",IF(INDEX('Input Contact Information'!$E$2:$E$200,V129)="","",INDEX('Input Contact Information'!$E$2:$E$200,V129))))</f>
        <v/>
      </c>
      <c r="H129" s="1" t="str">
        <f>IF($B129="","",IF(V129="","",IF(INDEX('Input Contact Information'!$G$2:$G$200,V129)="","",INDEX('Input Contact Information'!$G$2:$G$200,V129))))</f>
        <v/>
      </c>
      <c r="I129" s="1" t="str">
        <f>IF($B129="","",IF(V129="","",IF(INDEX('Input Contact Information'!$H$2:$H$200,V129)="","",INDEX('Input Contact Information'!$H$2:$H$200,V129))))</f>
        <v/>
      </c>
      <c r="J129" s="1" t="str">
        <f>IF($B129="","",IF(V129="","",IF(INDEX('Input Contact Information'!$I$2:$I$200,V129)="","",INDEX('Input Contact Information'!$I$2:$I$200,V129))))</f>
        <v/>
      </c>
      <c r="K129" s="1" t="str">
        <f>IF($B129="","",IF(V129="","",IF(INDEX('Input Contact Information'!$A$2:$A$200,V129)="","",INDEX('Input Contact Information'!$A$2:$A$200,V129))))</f>
        <v/>
      </c>
      <c r="L129" s="1" t="str">
        <f>IF($B129="","",IF(W129="","",IF(INDEX('Accounts Overview'!$I$2:$I$100,W129)="","",INDEX('Accounts Overview'!$I$2:$I$100,W129))))</f>
        <v/>
      </c>
      <c r="M129" s="1" t="str">
        <f>IF($B129="","",IF(V129="","",IF(INDEX('Input Contact Information'!$J$2:$J$200,V129)="","",INDEX('Input Contact Information'!$J$2:$J$200,V129))))</f>
        <v/>
      </c>
      <c r="N129" s="1" t="str">
        <f>IF($B129="","",IF(V129="","",IF(INDEX('Input Contact Information'!$K$2:$K$200,V129)="","",INDEX('Input Contact Information'!$K$2:$K$200,V129))))</f>
        <v/>
      </c>
      <c r="O129" s="1" t="str">
        <f>IF($B129="","",IF(V129="","",IF(INDEX('Input Contact Information'!$L$2:$L$200,V129)="","",INDEX('Input Contact Information'!$L$2:$L$200,V129))))</f>
        <v/>
      </c>
      <c r="P129" s="1" t="str">
        <f>IF($B129="","",IF((IF(V129="","",IF(INDEX('Input Contact Information'!$N$2:$N$200,V129)="","",INDEX('Input Contact Information'!$N$2:$N$200,V129))))&lt;&gt;"",IF(V129="","",IF(INDEX('Input Contact Information'!$N$2:$N$200,V129)="","",INDEX('Input Contact Information'!$N$2:$N$200,V129))),IF(V129="","",IF(INDEX('Input Contact Information'!$M$2:$M$200,V129)="","",INDEX('Input Contact Information'!$M$2:$M$200,V129)))))</f>
        <v/>
      </c>
      <c r="Q129" s="1" t="str">
        <f t="shared" si="7"/>
        <v/>
      </c>
      <c r="R129" s="1" t="str">
        <f>IF($B129="","",IF(X129="","",IF(INDEX('Engagements Overview'!$I$2:$I$200,X129)="","",INDEX('Engagements Overview'!$I$2:$I$200,X129))))</f>
        <v/>
      </c>
      <c r="S129" s="14" t="str">
        <f>IF($B129="","",IF(X129="","",IF(INDEX('Engagements Overview'!$K$2:$K$200,X129)="","",INDEX('Engagements Overview'!$K$2:$K$200,X129))))</f>
        <v/>
      </c>
      <c r="T129" s="1" t="str">
        <f>IF($B129="","",IF(V129="","",IF(INDEX('Input Contact Information'!$O$2:$O$200,V129)="","",INDEX('Input Contact Information'!$O$2:$O$200,V129))))</f>
        <v/>
      </c>
      <c r="U129" s="1" t="str">
        <f>IF($B129="","",IF(V129="","",IF(INDEX('Input Contact Information'!$P$2:$P$200,V129)="","",INDEX('Input Contact Information'!$P$2:$P$200,V129))))</f>
        <v/>
      </c>
      <c r="V129" s="1" t="str">
        <f>IF(B129="","",IFERROR(MATCH(B129&amp;"|"&amp;C129,'Input Contact Information'!$W$2:$W$200,0),""))</f>
        <v/>
      </c>
      <c r="W129" s="1" t="str">
        <f>IF(C129="","",IFERROR(MATCH(C129,'Accounts Overview'!$B$2:$B$100,0),""))</f>
        <v/>
      </c>
      <c r="X129" s="1" t="str">
        <f>IF(A129="","",IFERROR(MATCH(A129,'Engagements Overview'!$B$2:$B$200,0),""))</f>
        <v/>
      </c>
    </row>
    <row r="130" spans="1:24" ht="15" customHeight="1" x14ac:dyDescent="0.35">
      <c r="A130" s="13" t="str">
        <f t="shared" ref="A130:A161" si="8">IF(B130="","","CON"&amp;TEXT(ROW()-1,"0000"))</f>
        <v/>
      </c>
      <c r="B130" s="1" t="str">
        <f>IFERROR(INDEX('Input Contact Information'!$C$2:$C$200,MATCH(ROW()-1,'Input Contact Information'!$V$2:$V$200,0)),"")</f>
        <v/>
      </c>
      <c r="C130" s="1" t="str">
        <f>IFERROR(INDEX('Input Contact Information'!$B$2:$B$200,MATCH(ROW()-1,'Input Contact Information'!$V$2:$V$200,0)),"")</f>
        <v/>
      </c>
      <c r="D130" s="1" t="str">
        <f>IF($B130="","",IF(W130="","",INDEX('Accounts Overview'!$A$2:$A$100,W130)))</f>
        <v/>
      </c>
      <c r="E130" s="1" t="str">
        <f>IF($B130="","",IF(V130="","",IF(INDEX('Input Contact Information'!$D$2:$D$200,V130)="","",INDEX('Input Contact Information'!$D$2:$D$200,V130))))</f>
        <v/>
      </c>
      <c r="F130" s="1" t="str">
        <f>IF($B130="","",IF(V130="","",IF(INDEX('Input Contact Information'!$F$2:$F$200,V130)="","",INDEX('Input Contact Information'!$F$2:$F$200,V130))))</f>
        <v/>
      </c>
      <c r="G130" s="1" t="str">
        <f>IF($B130="","",IF(V130="","",IF(INDEX('Input Contact Information'!$E$2:$E$200,V130)="","",INDEX('Input Contact Information'!$E$2:$E$200,V130))))</f>
        <v/>
      </c>
      <c r="H130" s="1" t="str">
        <f>IF($B130="","",IF(V130="","",IF(INDEX('Input Contact Information'!$G$2:$G$200,V130)="","",INDEX('Input Contact Information'!$G$2:$G$200,V130))))</f>
        <v/>
      </c>
      <c r="I130" s="1" t="str">
        <f>IF($B130="","",IF(V130="","",IF(INDEX('Input Contact Information'!$H$2:$H$200,V130)="","",INDEX('Input Contact Information'!$H$2:$H$200,V130))))</f>
        <v/>
      </c>
      <c r="J130" s="1" t="str">
        <f>IF($B130="","",IF(V130="","",IF(INDEX('Input Contact Information'!$I$2:$I$200,V130)="","",INDEX('Input Contact Information'!$I$2:$I$200,V130))))</f>
        <v/>
      </c>
      <c r="K130" s="1" t="str">
        <f>IF($B130="","",IF(V130="","",IF(INDEX('Input Contact Information'!$A$2:$A$200,V130)="","",INDEX('Input Contact Information'!$A$2:$A$200,V130))))</f>
        <v/>
      </c>
      <c r="L130" s="1" t="str">
        <f>IF($B130="","",IF(W130="","",IF(INDEX('Accounts Overview'!$I$2:$I$100,W130)="","",INDEX('Accounts Overview'!$I$2:$I$100,W130))))</f>
        <v/>
      </c>
      <c r="M130" s="1" t="str">
        <f>IF($B130="","",IF(V130="","",IF(INDEX('Input Contact Information'!$J$2:$J$200,V130)="","",INDEX('Input Contact Information'!$J$2:$J$200,V130))))</f>
        <v/>
      </c>
      <c r="N130" s="1" t="str">
        <f>IF($B130="","",IF(V130="","",IF(INDEX('Input Contact Information'!$K$2:$K$200,V130)="","",INDEX('Input Contact Information'!$K$2:$K$200,V130))))</f>
        <v/>
      </c>
      <c r="O130" s="1" t="str">
        <f>IF($B130="","",IF(V130="","",IF(INDEX('Input Contact Information'!$L$2:$L$200,V130)="","",INDEX('Input Contact Information'!$L$2:$L$200,V130))))</f>
        <v/>
      </c>
      <c r="P130" s="1" t="str">
        <f>IF($B130="","",IF((IF(V130="","",IF(INDEX('Input Contact Information'!$N$2:$N$200,V130)="","",INDEX('Input Contact Information'!$N$2:$N$200,V130))))&lt;&gt;"",IF(V130="","",IF(INDEX('Input Contact Information'!$N$2:$N$200,V130)="","",INDEX('Input Contact Information'!$N$2:$N$200,V130))),IF(V130="","",IF(INDEX('Input Contact Information'!$M$2:$M$200,V130)="","",INDEX('Input Contact Information'!$M$2:$M$200,V130)))))</f>
        <v/>
      </c>
      <c r="Q130" s="1" t="str">
        <f t="shared" ref="Q130:Q161" si="9">IF($B130="","",IF(P130="","",IF(P130="Tier 1","Monthly",IF(P130="Tier 2","Quarterly","Semi-annually"))))</f>
        <v/>
      </c>
      <c r="R130" s="1" t="str">
        <f>IF($B130="","",IF(X130="","",IF(INDEX('Engagements Overview'!$I$2:$I$200,X130)="","",INDEX('Engagements Overview'!$I$2:$I$200,X130))))</f>
        <v/>
      </c>
      <c r="S130" s="14" t="str">
        <f>IF($B130="","",IF(X130="","",IF(INDEX('Engagements Overview'!$K$2:$K$200,X130)="","",INDEX('Engagements Overview'!$K$2:$K$200,X130))))</f>
        <v/>
      </c>
      <c r="T130" s="1" t="str">
        <f>IF($B130="","",IF(V130="","",IF(INDEX('Input Contact Information'!$O$2:$O$200,V130)="","",INDEX('Input Contact Information'!$O$2:$O$200,V130))))</f>
        <v/>
      </c>
      <c r="U130" s="1" t="str">
        <f>IF($B130="","",IF(V130="","",IF(INDEX('Input Contact Information'!$P$2:$P$200,V130)="","",INDEX('Input Contact Information'!$P$2:$P$200,V130))))</f>
        <v/>
      </c>
      <c r="V130" s="1" t="str">
        <f>IF(B130="","",IFERROR(MATCH(B130&amp;"|"&amp;C130,'Input Contact Information'!$W$2:$W$200,0),""))</f>
        <v/>
      </c>
      <c r="W130" s="1" t="str">
        <f>IF(C130="","",IFERROR(MATCH(C130,'Accounts Overview'!$B$2:$B$100,0),""))</f>
        <v/>
      </c>
      <c r="X130" s="1" t="str">
        <f>IF(A130="","",IFERROR(MATCH(A130,'Engagements Overview'!$B$2:$B$200,0),""))</f>
        <v/>
      </c>
    </row>
    <row r="131" spans="1:24" ht="15" customHeight="1" x14ac:dyDescent="0.35">
      <c r="A131" s="13" t="str">
        <f t="shared" si="8"/>
        <v/>
      </c>
      <c r="B131" s="1" t="str">
        <f>IFERROR(INDEX('Input Contact Information'!$C$2:$C$200,MATCH(ROW()-1,'Input Contact Information'!$V$2:$V$200,0)),"")</f>
        <v/>
      </c>
      <c r="C131" s="1" t="str">
        <f>IFERROR(INDEX('Input Contact Information'!$B$2:$B$200,MATCH(ROW()-1,'Input Contact Information'!$V$2:$V$200,0)),"")</f>
        <v/>
      </c>
      <c r="D131" s="1" t="str">
        <f>IF($B131="","",IF(W131="","",INDEX('Accounts Overview'!$A$2:$A$100,W131)))</f>
        <v/>
      </c>
      <c r="E131" s="1" t="str">
        <f>IF($B131="","",IF(V131="","",IF(INDEX('Input Contact Information'!$D$2:$D$200,V131)="","",INDEX('Input Contact Information'!$D$2:$D$200,V131))))</f>
        <v/>
      </c>
      <c r="F131" s="1" t="str">
        <f>IF($B131="","",IF(V131="","",IF(INDEX('Input Contact Information'!$F$2:$F$200,V131)="","",INDEX('Input Contact Information'!$F$2:$F$200,V131))))</f>
        <v/>
      </c>
      <c r="G131" s="1" t="str">
        <f>IF($B131="","",IF(V131="","",IF(INDEX('Input Contact Information'!$E$2:$E$200,V131)="","",INDEX('Input Contact Information'!$E$2:$E$200,V131))))</f>
        <v/>
      </c>
      <c r="H131" s="1" t="str">
        <f>IF($B131="","",IF(V131="","",IF(INDEX('Input Contact Information'!$G$2:$G$200,V131)="","",INDEX('Input Contact Information'!$G$2:$G$200,V131))))</f>
        <v/>
      </c>
      <c r="I131" s="1" t="str">
        <f>IF($B131="","",IF(V131="","",IF(INDEX('Input Contact Information'!$H$2:$H$200,V131)="","",INDEX('Input Contact Information'!$H$2:$H$200,V131))))</f>
        <v/>
      </c>
      <c r="J131" s="1" t="str">
        <f>IF($B131="","",IF(V131="","",IF(INDEX('Input Contact Information'!$I$2:$I$200,V131)="","",INDEX('Input Contact Information'!$I$2:$I$200,V131))))</f>
        <v/>
      </c>
      <c r="K131" s="1" t="str">
        <f>IF($B131="","",IF(V131="","",IF(INDEX('Input Contact Information'!$A$2:$A$200,V131)="","",INDEX('Input Contact Information'!$A$2:$A$200,V131))))</f>
        <v/>
      </c>
      <c r="L131" s="1" t="str">
        <f>IF($B131="","",IF(W131="","",IF(INDEX('Accounts Overview'!$I$2:$I$100,W131)="","",INDEX('Accounts Overview'!$I$2:$I$100,W131))))</f>
        <v/>
      </c>
      <c r="M131" s="1" t="str">
        <f>IF($B131="","",IF(V131="","",IF(INDEX('Input Contact Information'!$J$2:$J$200,V131)="","",INDEX('Input Contact Information'!$J$2:$J$200,V131))))</f>
        <v/>
      </c>
      <c r="N131" s="1" t="str">
        <f>IF($B131="","",IF(V131="","",IF(INDEX('Input Contact Information'!$K$2:$K$200,V131)="","",INDEX('Input Contact Information'!$K$2:$K$200,V131))))</f>
        <v/>
      </c>
      <c r="O131" s="1" t="str">
        <f>IF($B131="","",IF(V131="","",IF(INDEX('Input Contact Information'!$L$2:$L$200,V131)="","",INDEX('Input Contact Information'!$L$2:$L$200,V131))))</f>
        <v/>
      </c>
      <c r="P131" s="1" t="str">
        <f>IF($B131="","",IF((IF(V131="","",IF(INDEX('Input Contact Information'!$N$2:$N$200,V131)="","",INDEX('Input Contact Information'!$N$2:$N$200,V131))))&lt;&gt;"",IF(V131="","",IF(INDEX('Input Contact Information'!$N$2:$N$200,V131)="","",INDEX('Input Contact Information'!$N$2:$N$200,V131))),IF(V131="","",IF(INDEX('Input Contact Information'!$M$2:$M$200,V131)="","",INDEX('Input Contact Information'!$M$2:$M$200,V131)))))</f>
        <v/>
      </c>
      <c r="Q131" s="1" t="str">
        <f t="shared" si="9"/>
        <v/>
      </c>
      <c r="R131" s="1" t="str">
        <f>IF($B131="","",IF(X131="","",IF(INDEX('Engagements Overview'!$I$2:$I$200,X131)="","",INDEX('Engagements Overview'!$I$2:$I$200,X131))))</f>
        <v/>
      </c>
      <c r="S131" s="14" t="str">
        <f>IF($B131="","",IF(X131="","",IF(INDEX('Engagements Overview'!$K$2:$K$200,X131)="","",INDEX('Engagements Overview'!$K$2:$K$200,X131))))</f>
        <v/>
      </c>
      <c r="T131" s="1" t="str">
        <f>IF($B131="","",IF(V131="","",IF(INDEX('Input Contact Information'!$O$2:$O$200,V131)="","",INDEX('Input Contact Information'!$O$2:$O$200,V131))))</f>
        <v/>
      </c>
      <c r="U131" s="1" t="str">
        <f>IF($B131="","",IF(V131="","",IF(INDEX('Input Contact Information'!$P$2:$P$200,V131)="","",INDEX('Input Contact Information'!$P$2:$P$200,V131))))</f>
        <v/>
      </c>
      <c r="V131" s="1" t="str">
        <f>IF(B131="","",IFERROR(MATCH(B131&amp;"|"&amp;C131,'Input Contact Information'!$W$2:$W$200,0),""))</f>
        <v/>
      </c>
      <c r="W131" s="1" t="str">
        <f>IF(C131="","",IFERROR(MATCH(C131,'Accounts Overview'!$B$2:$B$100,0),""))</f>
        <v/>
      </c>
      <c r="X131" s="1" t="str">
        <f>IF(A131="","",IFERROR(MATCH(A131,'Engagements Overview'!$B$2:$B$200,0),""))</f>
        <v/>
      </c>
    </row>
    <row r="132" spans="1:24" ht="15" customHeight="1" x14ac:dyDescent="0.35">
      <c r="A132" s="13" t="str">
        <f t="shared" si="8"/>
        <v/>
      </c>
      <c r="B132" s="1" t="str">
        <f>IFERROR(INDEX('Input Contact Information'!$C$2:$C$200,MATCH(ROW()-1,'Input Contact Information'!$V$2:$V$200,0)),"")</f>
        <v/>
      </c>
      <c r="C132" s="1" t="str">
        <f>IFERROR(INDEX('Input Contact Information'!$B$2:$B$200,MATCH(ROW()-1,'Input Contact Information'!$V$2:$V$200,0)),"")</f>
        <v/>
      </c>
      <c r="D132" s="1" t="str">
        <f>IF($B132="","",IF(W132="","",INDEX('Accounts Overview'!$A$2:$A$100,W132)))</f>
        <v/>
      </c>
      <c r="E132" s="1" t="str">
        <f>IF($B132="","",IF(V132="","",IF(INDEX('Input Contact Information'!$D$2:$D$200,V132)="","",INDEX('Input Contact Information'!$D$2:$D$200,V132))))</f>
        <v/>
      </c>
      <c r="F132" s="1" t="str">
        <f>IF($B132="","",IF(V132="","",IF(INDEX('Input Contact Information'!$F$2:$F$200,V132)="","",INDEX('Input Contact Information'!$F$2:$F$200,V132))))</f>
        <v/>
      </c>
      <c r="G132" s="1" t="str">
        <f>IF($B132="","",IF(V132="","",IF(INDEX('Input Contact Information'!$E$2:$E$200,V132)="","",INDEX('Input Contact Information'!$E$2:$E$200,V132))))</f>
        <v/>
      </c>
      <c r="H132" s="1" t="str">
        <f>IF($B132="","",IF(V132="","",IF(INDEX('Input Contact Information'!$G$2:$G$200,V132)="","",INDEX('Input Contact Information'!$G$2:$G$200,V132))))</f>
        <v/>
      </c>
      <c r="I132" s="1" t="str">
        <f>IF($B132="","",IF(V132="","",IF(INDEX('Input Contact Information'!$H$2:$H$200,V132)="","",INDEX('Input Contact Information'!$H$2:$H$200,V132))))</f>
        <v/>
      </c>
      <c r="J132" s="1" t="str">
        <f>IF($B132="","",IF(V132="","",IF(INDEX('Input Contact Information'!$I$2:$I$200,V132)="","",INDEX('Input Contact Information'!$I$2:$I$200,V132))))</f>
        <v/>
      </c>
      <c r="K132" s="1" t="str">
        <f>IF($B132="","",IF(V132="","",IF(INDEX('Input Contact Information'!$A$2:$A$200,V132)="","",INDEX('Input Contact Information'!$A$2:$A$200,V132))))</f>
        <v/>
      </c>
      <c r="L132" s="1" t="str">
        <f>IF($B132="","",IF(W132="","",IF(INDEX('Accounts Overview'!$I$2:$I$100,W132)="","",INDEX('Accounts Overview'!$I$2:$I$100,W132))))</f>
        <v/>
      </c>
      <c r="M132" s="1" t="str">
        <f>IF($B132="","",IF(V132="","",IF(INDEX('Input Contact Information'!$J$2:$J$200,V132)="","",INDEX('Input Contact Information'!$J$2:$J$200,V132))))</f>
        <v/>
      </c>
      <c r="N132" s="1" t="str">
        <f>IF($B132="","",IF(V132="","",IF(INDEX('Input Contact Information'!$K$2:$K$200,V132)="","",INDEX('Input Contact Information'!$K$2:$K$200,V132))))</f>
        <v/>
      </c>
      <c r="O132" s="1" t="str">
        <f>IF($B132="","",IF(V132="","",IF(INDEX('Input Contact Information'!$L$2:$L$200,V132)="","",INDEX('Input Contact Information'!$L$2:$L$200,V132))))</f>
        <v/>
      </c>
      <c r="P132" s="1" t="str">
        <f>IF($B132="","",IF((IF(V132="","",IF(INDEX('Input Contact Information'!$N$2:$N$200,V132)="","",INDEX('Input Contact Information'!$N$2:$N$200,V132))))&lt;&gt;"",IF(V132="","",IF(INDEX('Input Contact Information'!$N$2:$N$200,V132)="","",INDEX('Input Contact Information'!$N$2:$N$200,V132))),IF(V132="","",IF(INDEX('Input Contact Information'!$M$2:$M$200,V132)="","",INDEX('Input Contact Information'!$M$2:$M$200,V132)))))</f>
        <v/>
      </c>
      <c r="Q132" s="1" t="str">
        <f t="shared" si="9"/>
        <v/>
      </c>
      <c r="R132" s="1" t="str">
        <f>IF($B132="","",IF(X132="","",IF(INDEX('Engagements Overview'!$I$2:$I$200,X132)="","",INDEX('Engagements Overview'!$I$2:$I$200,X132))))</f>
        <v/>
      </c>
      <c r="S132" s="14" t="str">
        <f>IF($B132="","",IF(X132="","",IF(INDEX('Engagements Overview'!$K$2:$K$200,X132)="","",INDEX('Engagements Overview'!$K$2:$K$200,X132))))</f>
        <v/>
      </c>
      <c r="T132" s="1" t="str">
        <f>IF($B132="","",IF(V132="","",IF(INDEX('Input Contact Information'!$O$2:$O$200,V132)="","",INDEX('Input Contact Information'!$O$2:$O$200,V132))))</f>
        <v/>
      </c>
      <c r="U132" s="1" t="str">
        <f>IF($B132="","",IF(V132="","",IF(INDEX('Input Contact Information'!$P$2:$P$200,V132)="","",INDEX('Input Contact Information'!$P$2:$P$200,V132))))</f>
        <v/>
      </c>
      <c r="V132" s="1" t="str">
        <f>IF(B132="","",IFERROR(MATCH(B132&amp;"|"&amp;C132,'Input Contact Information'!$W$2:$W$200,0),""))</f>
        <v/>
      </c>
      <c r="W132" s="1" t="str">
        <f>IF(C132="","",IFERROR(MATCH(C132,'Accounts Overview'!$B$2:$B$100,0),""))</f>
        <v/>
      </c>
      <c r="X132" s="1" t="str">
        <f>IF(A132="","",IFERROR(MATCH(A132,'Engagements Overview'!$B$2:$B$200,0),""))</f>
        <v/>
      </c>
    </row>
    <row r="133" spans="1:24" ht="15" customHeight="1" x14ac:dyDescent="0.35">
      <c r="A133" s="13" t="str">
        <f t="shared" si="8"/>
        <v/>
      </c>
      <c r="B133" s="1" t="str">
        <f>IFERROR(INDEX('Input Contact Information'!$C$2:$C$200,MATCH(ROW()-1,'Input Contact Information'!$V$2:$V$200,0)),"")</f>
        <v/>
      </c>
      <c r="C133" s="1" t="str">
        <f>IFERROR(INDEX('Input Contact Information'!$B$2:$B$200,MATCH(ROW()-1,'Input Contact Information'!$V$2:$V$200,0)),"")</f>
        <v/>
      </c>
      <c r="D133" s="1" t="str">
        <f>IF($B133="","",IF(W133="","",INDEX('Accounts Overview'!$A$2:$A$100,W133)))</f>
        <v/>
      </c>
      <c r="E133" s="1" t="str">
        <f>IF($B133="","",IF(V133="","",IF(INDEX('Input Contact Information'!$D$2:$D$200,V133)="","",INDEX('Input Contact Information'!$D$2:$D$200,V133))))</f>
        <v/>
      </c>
      <c r="F133" s="1" t="str">
        <f>IF($B133="","",IF(V133="","",IF(INDEX('Input Contact Information'!$F$2:$F$200,V133)="","",INDEX('Input Contact Information'!$F$2:$F$200,V133))))</f>
        <v/>
      </c>
      <c r="G133" s="1" t="str">
        <f>IF($B133="","",IF(V133="","",IF(INDEX('Input Contact Information'!$E$2:$E$200,V133)="","",INDEX('Input Contact Information'!$E$2:$E$200,V133))))</f>
        <v/>
      </c>
      <c r="H133" s="1" t="str">
        <f>IF($B133="","",IF(V133="","",IF(INDEX('Input Contact Information'!$G$2:$G$200,V133)="","",INDEX('Input Contact Information'!$G$2:$G$200,V133))))</f>
        <v/>
      </c>
      <c r="I133" s="1" t="str">
        <f>IF($B133="","",IF(V133="","",IF(INDEX('Input Contact Information'!$H$2:$H$200,V133)="","",INDEX('Input Contact Information'!$H$2:$H$200,V133))))</f>
        <v/>
      </c>
      <c r="J133" s="1" t="str">
        <f>IF($B133="","",IF(V133="","",IF(INDEX('Input Contact Information'!$I$2:$I$200,V133)="","",INDEX('Input Contact Information'!$I$2:$I$200,V133))))</f>
        <v/>
      </c>
      <c r="K133" s="1" t="str">
        <f>IF($B133="","",IF(V133="","",IF(INDEX('Input Contact Information'!$A$2:$A$200,V133)="","",INDEX('Input Contact Information'!$A$2:$A$200,V133))))</f>
        <v/>
      </c>
      <c r="L133" s="1" t="str">
        <f>IF($B133="","",IF(W133="","",IF(INDEX('Accounts Overview'!$I$2:$I$100,W133)="","",INDEX('Accounts Overview'!$I$2:$I$100,W133))))</f>
        <v/>
      </c>
      <c r="M133" s="1" t="str">
        <f>IF($B133="","",IF(V133="","",IF(INDEX('Input Contact Information'!$J$2:$J$200,V133)="","",INDEX('Input Contact Information'!$J$2:$J$200,V133))))</f>
        <v/>
      </c>
      <c r="N133" s="1" t="str">
        <f>IF($B133="","",IF(V133="","",IF(INDEX('Input Contact Information'!$K$2:$K$200,V133)="","",INDEX('Input Contact Information'!$K$2:$K$200,V133))))</f>
        <v/>
      </c>
      <c r="O133" s="1" t="str">
        <f>IF($B133="","",IF(V133="","",IF(INDEX('Input Contact Information'!$L$2:$L$200,V133)="","",INDEX('Input Contact Information'!$L$2:$L$200,V133))))</f>
        <v/>
      </c>
      <c r="P133" s="1" t="str">
        <f>IF($B133="","",IF((IF(V133="","",IF(INDEX('Input Contact Information'!$N$2:$N$200,V133)="","",INDEX('Input Contact Information'!$N$2:$N$200,V133))))&lt;&gt;"",IF(V133="","",IF(INDEX('Input Contact Information'!$N$2:$N$200,V133)="","",INDEX('Input Contact Information'!$N$2:$N$200,V133))),IF(V133="","",IF(INDEX('Input Contact Information'!$M$2:$M$200,V133)="","",INDEX('Input Contact Information'!$M$2:$M$200,V133)))))</f>
        <v/>
      </c>
      <c r="Q133" s="1" t="str">
        <f t="shared" si="9"/>
        <v/>
      </c>
      <c r="R133" s="1" t="str">
        <f>IF($B133="","",IF(X133="","",IF(INDEX('Engagements Overview'!$I$2:$I$200,X133)="","",INDEX('Engagements Overview'!$I$2:$I$200,X133))))</f>
        <v/>
      </c>
      <c r="S133" s="14" t="str">
        <f>IF($B133="","",IF(X133="","",IF(INDEX('Engagements Overview'!$K$2:$K$200,X133)="","",INDEX('Engagements Overview'!$K$2:$K$200,X133))))</f>
        <v/>
      </c>
      <c r="T133" s="1" t="str">
        <f>IF($B133="","",IF(V133="","",IF(INDEX('Input Contact Information'!$O$2:$O$200,V133)="","",INDEX('Input Contact Information'!$O$2:$O$200,V133))))</f>
        <v/>
      </c>
      <c r="U133" s="1" t="str">
        <f>IF($B133="","",IF(V133="","",IF(INDEX('Input Contact Information'!$P$2:$P$200,V133)="","",INDEX('Input Contact Information'!$P$2:$P$200,V133))))</f>
        <v/>
      </c>
      <c r="V133" s="1" t="str">
        <f>IF(B133="","",IFERROR(MATCH(B133&amp;"|"&amp;C133,'Input Contact Information'!$W$2:$W$200,0),""))</f>
        <v/>
      </c>
      <c r="W133" s="1" t="str">
        <f>IF(C133="","",IFERROR(MATCH(C133,'Accounts Overview'!$B$2:$B$100,0),""))</f>
        <v/>
      </c>
      <c r="X133" s="1" t="str">
        <f>IF(A133="","",IFERROR(MATCH(A133,'Engagements Overview'!$B$2:$B$200,0),""))</f>
        <v/>
      </c>
    </row>
    <row r="134" spans="1:24" ht="15" customHeight="1" x14ac:dyDescent="0.35">
      <c r="A134" s="13" t="str">
        <f t="shared" si="8"/>
        <v/>
      </c>
      <c r="B134" s="1" t="str">
        <f>IFERROR(INDEX('Input Contact Information'!$C$2:$C$200,MATCH(ROW()-1,'Input Contact Information'!$V$2:$V$200,0)),"")</f>
        <v/>
      </c>
      <c r="C134" s="1" t="str">
        <f>IFERROR(INDEX('Input Contact Information'!$B$2:$B$200,MATCH(ROW()-1,'Input Contact Information'!$V$2:$V$200,0)),"")</f>
        <v/>
      </c>
      <c r="D134" s="1" t="str">
        <f>IF($B134="","",IF(W134="","",INDEX('Accounts Overview'!$A$2:$A$100,W134)))</f>
        <v/>
      </c>
      <c r="E134" s="1" t="str">
        <f>IF($B134="","",IF(V134="","",IF(INDEX('Input Contact Information'!$D$2:$D$200,V134)="","",INDEX('Input Contact Information'!$D$2:$D$200,V134))))</f>
        <v/>
      </c>
      <c r="F134" s="1" t="str">
        <f>IF($B134="","",IF(V134="","",IF(INDEX('Input Contact Information'!$F$2:$F$200,V134)="","",INDEX('Input Contact Information'!$F$2:$F$200,V134))))</f>
        <v/>
      </c>
      <c r="G134" s="1" t="str">
        <f>IF($B134="","",IF(V134="","",IF(INDEX('Input Contact Information'!$E$2:$E$200,V134)="","",INDEX('Input Contact Information'!$E$2:$E$200,V134))))</f>
        <v/>
      </c>
      <c r="H134" s="1" t="str">
        <f>IF($B134="","",IF(V134="","",IF(INDEX('Input Contact Information'!$G$2:$G$200,V134)="","",INDEX('Input Contact Information'!$G$2:$G$200,V134))))</f>
        <v/>
      </c>
      <c r="I134" s="1" t="str">
        <f>IF($B134="","",IF(V134="","",IF(INDEX('Input Contact Information'!$H$2:$H$200,V134)="","",INDEX('Input Contact Information'!$H$2:$H$200,V134))))</f>
        <v/>
      </c>
      <c r="J134" s="1" t="str">
        <f>IF($B134="","",IF(V134="","",IF(INDEX('Input Contact Information'!$I$2:$I$200,V134)="","",INDEX('Input Contact Information'!$I$2:$I$200,V134))))</f>
        <v/>
      </c>
      <c r="K134" s="1" t="str">
        <f>IF($B134="","",IF(V134="","",IF(INDEX('Input Contact Information'!$A$2:$A$200,V134)="","",INDEX('Input Contact Information'!$A$2:$A$200,V134))))</f>
        <v/>
      </c>
      <c r="L134" s="1" t="str">
        <f>IF($B134="","",IF(W134="","",IF(INDEX('Accounts Overview'!$I$2:$I$100,W134)="","",INDEX('Accounts Overview'!$I$2:$I$100,W134))))</f>
        <v/>
      </c>
      <c r="M134" s="1" t="str">
        <f>IF($B134="","",IF(V134="","",IF(INDEX('Input Contact Information'!$J$2:$J$200,V134)="","",INDEX('Input Contact Information'!$J$2:$J$200,V134))))</f>
        <v/>
      </c>
      <c r="N134" s="1" t="str">
        <f>IF($B134="","",IF(V134="","",IF(INDEX('Input Contact Information'!$K$2:$K$200,V134)="","",INDEX('Input Contact Information'!$K$2:$K$200,V134))))</f>
        <v/>
      </c>
      <c r="O134" s="1" t="str">
        <f>IF($B134="","",IF(V134="","",IF(INDEX('Input Contact Information'!$L$2:$L$200,V134)="","",INDEX('Input Contact Information'!$L$2:$L$200,V134))))</f>
        <v/>
      </c>
      <c r="P134" s="1" t="str">
        <f>IF($B134="","",IF((IF(V134="","",IF(INDEX('Input Contact Information'!$N$2:$N$200,V134)="","",INDEX('Input Contact Information'!$N$2:$N$200,V134))))&lt;&gt;"",IF(V134="","",IF(INDEX('Input Contact Information'!$N$2:$N$200,V134)="","",INDEX('Input Contact Information'!$N$2:$N$200,V134))),IF(V134="","",IF(INDEX('Input Contact Information'!$M$2:$M$200,V134)="","",INDEX('Input Contact Information'!$M$2:$M$200,V134)))))</f>
        <v/>
      </c>
      <c r="Q134" s="1" t="str">
        <f t="shared" si="9"/>
        <v/>
      </c>
      <c r="R134" s="1" t="str">
        <f>IF($B134="","",IF(X134="","",IF(INDEX('Engagements Overview'!$I$2:$I$200,X134)="","",INDEX('Engagements Overview'!$I$2:$I$200,X134))))</f>
        <v/>
      </c>
      <c r="S134" s="14" t="str">
        <f>IF($B134="","",IF(X134="","",IF(INDEX('Engagements Overview'!$K$2:$K$200,X134)="","",INDEX('Engagements Overview'!$K$2:$K$200,X134))))</f>
        <v/>
      </c>
      <c r="T134" s="1" t="str">
        <f>IF($B134="","",IF(V134="","",IF(INDEX('Input Contact Information'!$O$2:$O$200,V134)="","",INDEX('Input Contact Information'!$O$2:$O$200,V134))))</f>
        <v/>
      </c>
      <c r="U134" s="1" t="str">
        <f>IF($B134="","",IF(V134="","",IF(INDEX('Input Contact Information'!$P$2:$P$200,V134)="","",INDEX('Input Contact Information'!$P$2:$P$200,V134))))</f>
        <v/>
      </c>
      <c r="V134" s="1" t="str">
        <f>IF(B134="","",IFERROR(MATCH(B134&amp;"|"&amp;C134,'Input Contact Information'!$W$2:$W$200,0),""))</f>
        <v/>
      </c>
      <c r="W134" s="1" t="str">
        <f>IF(C134="","",IFERROR(MATCH(C134,'Accounts Overview'!$B$2:$B$100,0),""))</f>
        <v/>
      </c>
      <c r="X134" s="1" t="str">
        <f>IF(A134="","",IFERROR(MATCH(A134,'Engagements Overview'!$B$2:$B$200,0),""))</f>
        <v/>
      </c>
    </row>
    <row r="135" spans="1:24" ht="15" customHeight="1" x14ac:dyDescent="0.35">
      <c r="A135" s="13" t="str">
        <f t="shared" si="8"/>
        <v/>
      </c>
      <c r="B135" s="1" t="str">
        <f>IFERROR(INDEX('Input Contact Information'!$C$2:$C$200,MATCH(ROW()-1,'Input Contact Information'!$V$2:$V$200,0)),"")</f>
        <v/>
      </c>
      <c r="C135" s="1" t="str">
        <f>IFERROR(INDEX('Input Contact Information'!$B$2:$B$200,MATCH(ROW()-1,'Input Contact Information'!$V$2:$V$200,0)),"")</f>
        <v/>
      </c>
      <c r="D135" s="1" t="str">
        <f>IF($B135="","",IF(W135="","",INDEX('Accounts Overview'!$A$2:$A$100,W135)))</f>
        <v/>
      </c>
      <c r="E135" s="1" t="str">
        <f>IF($B135="","",IF(V135="","",IF(INDEX('Input Contact Information'!$D$2:$D$200,V135)="","",INDEX('Input Contact Information'!$D$2:$D$200,V135))))</f>
        <v/>
      </c>
      <c r="F135" s="1" t="str">
        <f>IF($B135="","",IF(V135="","",IF(INDEX('Input Contact Information'!$F$2:$F$200,V135)="","",INDEX('Input Contact Information'!$F$2:$F$200,V135))))</f>
        <v/>
      </c>
      <c r="G135" s="1" t="str">
        <f>IF($B135="","",IF(V135="","",IF(INDEX('Input Contact Information'!$E$2:$E$200,V135)="","",INDEX('Input Contact Information'!$E$2:$E$200,V135))))</f>
        <v/>
      </c>
      <c r="H135" s="1" t="str">
        <f>IF($B135="","",IF(V135="","",IF(INDEX('Input Contact Information'!$G$2:$G$200,V135)="","",INDEX('Input Contact Information'!$G$2:$G$200,V135))))</f>
        <v/>
      </c>
      <c r="I135" s="1" t="str">
        <f>IF($B135="","",IF(V135="","",IF(INDEX('Input Contact Information'!$H$2:$H$200,V135)="","",INDEX('Input Contact Information'!$H$2:$H$200,V135))))</f>
        <v/>
      </c>
      <c r="J135" s="1" t="str">
        <f>IF($B135="","",IF(V135="","",IF(INDEX('Input Contact Information'!$I$2:$I$200,V135)="","",INDEX('Input Contact Information'!$I$2:$I$200,V135))))</f>
        <v/>
      </c>
      <c r="K135" s="1" t="str">
        <f>IF($B135="","",IF(V135="","",IF(INDEX('Input Contact Information'!$A$2:$A$200,V135)="","",INDEX('Input Contact Information'!$A$2:$A$200,V135))))</f>
        <v/>
      </c>
      <c r="L135" s="1" t="str">
        <f>IF($B135="","",IF(W135="","",IF(INDEX('Accounts Overview'!$I$2:$I$100,W135)="","",INDEX('Accounts Overview'!$I$2:$I$100,W135))))</f>
        <v/>
      </c>
      <c r="M135" s="1" t="str">
        <f>IF($B135="","",IF(V135="","",IF(INDEX('Input Contact Information'!$J$2:$J$200,V135)="","",INDEX('Input Contact Information'!$J$2:$J$200,V135))))</f>
        <v/>
      </c>
      <c r="N135" s="1" t="str">
        <f>IF($B135="","",IF(V135="","",IF(INDEX('Input Contact Information'!$K$2:$K$200,V135)="","",INDEX('Input Contact Information'!$K$2:$K$200,V135))))</f>
        <v/>
      </c>
      <c r="O135" s="1" t="str">
        <f>IF($B135="","",IF(V135="","",IF(INDEX('Input Contact Information'!$L$2:$L$200,V135)="","",INDEX('Input Contact Information'!$L$2:$L$200,V135))))</f>
        <v/>
      </c>
      <c r="P135" s="1" t="str">
        <f>IF($B135="","",IF((IF(V135="","",IF(INDEX('Input Contact Information'!$N$2:$N$200,V135)="","",INDEX('Input Contact Information'!$N$2:$N$200,V135))))&lt;&gt;"",IF(V135="","",IF(INDEX('Input Contact Information'!$N$2:$N$200,V135)="","",INDEX('Input Contact Information'!$N$2:$N$200,V135))),IF(V135="","",IF(INDEX('Input Contact Information'!$M$2:$M$200,V135)="","",INDEX('Input Contact Information'!$M$2:$M$200,V135)))))</f>
        <v/>
      </c>
      <c r="Q135" s="1" t="str">
        <f t="shared" si="9"/>
        <v/>
      </c>
      <c r="R135" s="1" t="str">
        <f>IF($B135="","",IF(X135="","",IF(INDEX('Engagements Overview'!$I$2:$I$200,X135)="","",INDEX('Engagements Overview'!$I$2:$I$200,X135))))</f>
        <v/>
      </c>
      <c r="S135" s="14" t="str">
        <f>IF($B135="","",IF(X135="","",IF(INDEX('Engagements Overview'!$K$2:$K$200,X135)="","",INDEX('Engagements Overview'!$K$2:$K$200,X135))))</f>
        <v/>
      </c>
      <c r="T135" s="1" t="str">
        <f>IF($B135="","",IF(V135="","",IF(INDEX('Input Contact Information'!$O$2:$O$200,V135)="","",INDEX('Input Contact Information'!$O$2:$O$200,V135))))</f>
        <v/>
      </c>
      <c r="U135" s="1" t="str">
        <f>IF($B135="","",IF(V135="","",IF(INDEX('Input Contact Information'!$P$2:$P$200,V135)="","",INDEX('Input Contact Information'!$P$2:$P$200,V135))))</f>
        <v/>
      </c>
      <c r="V135" s="1" t="str">
        <f>IF(B135="","",IFERROR(MATCH(B135&amp;"|"&amp;C135,'Input Contact Information'!$W$2:$W$200,0),""))</f>
        <v/>
      </c>
      <c r="W135" s="1" t="str">
        <f>IF(C135="","",IFERROR(MATCH(C135,'Accounts Overview'!$B$2:$B$100,0),""))</f>
        <v/>
      </c>
      <c r="X135" s="1" t="str">
        <f>IF(A135="","",IFERROR(MATCH(A135,'Engagements Overview'!$B$2:$B$200,0),""))</f>
        <v/>
      </c>
    </row>
    <row r="136" spans="1:24" ht="15" customHeight="1" x14ac:dyDescent="0.35">
      <c r="A136" s="13" t="str">
        <f t="shared" si="8"/>
        <v/>
      </c>
      <c r="B136" s="1" t="str">
        <f>IFERROR(INDEX('Input Contact Information'!$C$2:$C$200,MATCH(ROW()-1,'Input Contact Information'!$V$2:$V$200,0)),"")</f>
        <v/>
      </c>
      <c r="C136" s="1" t="str">
        <f>IFERROR(INDEX('Input Contact Information'!$B$2:$B$200,MATCH(ROW()-1,'Input Contact Information'!$V$2:$V$200,0)),"")</f>
        <v/>
      </c>
      <c r="D136" s="1" t="str">
        <f>IF($B136="","",IF(W136="","",INDEX('Accounts Overview'!$A$2:$A$100,W136)))</f>
        <v/>
      </c>
      <c r="E136" s="1" t="str">
        <f>IF($B136="","",IF(V136="","",IF(INDEX('Input Contact Information'!$D$2:$D$200,V136)="","",INDEX('Input Contact Information'!$D$2:$D$200,V136))))</f>
        <v/>
      </c>
      <c r="F136" s="1" t="str">
        <f>IF($B136="","",IF(V136="","",IF(INDEX('Input Contact Information'!$F$2:$F$200,V136)="","",INDEX('Input Contact Information'!$F$2:$F$200,V136))))</f>
        <v/>
      </c>
      <c r="G136" s="1" t="str">
        <f>IF($B136="","",IF(V136="","",IF(INDEX('Input Contact Information'!$E$2:$E$200,V136)="","",INDEX('Input Contact Information'!$E$2:$E$200,V136))))</f>
        <v/>
      </c>
      <c r="H136" s="1" t="str">
        <f>IF($B136="","",IF(V136="","",IF(INDEX('Input Contact Information'!$G$2:$G$200,V136)="","",INDEX('Input Contact Information'!$G$2:$G$200,V136))))</f>
        <v/>
      </c>
      <c r="I136" s="1" t="str">
        <f>IF($B136="","",IF(V136="","",IF(INDEX('Input Contact Information'!$H$2:$H$200,V136)="","",INDEX('Input Contact Information'!$H$2:$H$200,V136))))</f>
        <v/>
      </c>
      <c r="J136" s="1" t="str">
        <f>IF($B136="","",IF(V136="","",IF(INDEX('Input Contact Information'!$I$2:$I$200,V136)="","",INDEX('Input Contact Information'!$I$2:$I$200,V136))))</f>
        <v/>
      </c>
      <c r="K136" s="1" t="str">
        <f>IF($B136="","",IF(V136="","",IF(INDEX('Input Contact Information'!$A$2:$A$200,V136)="","",INDEX('Input Contact Information'!$A$2:$A$200,V136))))</f>
        <v/>
      </c>
      <c r="L136" s="1" t="str">
        <f>IF($B136="","",IF(W136="","",IF(INDEX('Accounts Overview'!$I$2:$I$100,W136)="","",INDEX('Accounts Overview'!$I$2:$I$100,W136))))</f>
        <v/>
      </c>
      <c r="M136" s="1" t="str">
        <f>IF($B136="","",IF(V136="","",IF(INDEX('Input Contact Information'!$J$2:$J$200,V136)="","",INDEX('Input Contact Information'!$J$2:$J$200,V136))))</f>
        <v/>
      </c>
      <c r="N136" s="1" t="str">
        <f>IF($B136="","",IF(V136="","",IF(INDEX('Input Contact Information'!$K$2:$K$200,V136)="","",INDEX('Input Contact Information'!$K$2:$K$200,V136))))</f>
        <v/>
      </c>
      <c r="O136" s="1" t="str">
        <f>IF($B136="","",IF(V136="","",IF(INDEX('Input Contact Information'!$L$2:$L$200,V136)="","",INDEX('Input Contact Information'!$L$2:$L$200,V136))))</f>
        <v/>
      </c>
      <c r="P136" s="1" t="str">
        <f>IF($B136="","",IF((IF(V136="","",IF(INDEX('Input Contact Information'!$N$2:$N$200,V136)="","",INDEX('Input Contact Information'!$N$2:$N$200,V136))))&lt;&gt;"",IF(V136="","",IF(INDEX('Input Contact Information'!$N$2:$N$200,V136)="","",INDEX('Input Contact Information'!$N$2:$N$200,V136))),IF(V136="","",IF(INDEX('Input Contact Information'!$M$2:$M$200,V136)="","",INDEX('Input Contact Information'!$M$2:$M$200,V136)))))</f>
        <v/>
      </c>
      <c r="Q136" s="1" t="str">
        <f t="shared" si="9"/>
        <v/>
      </c>
      <c r="R136" s="1" t="str">
        <f>IF($B136="","",IF(X136="","",IF(INDEX('Engagements Overview'!$I$2:$I$200,X136)="","",INDEX('Engagements Overview'!$I$2:$I$200,X136))))</f>
        <v/>
      </c>
      <c r="S136" s="14" t="str">
        <f>IF($B136="","",IF(X136="","",IF(INDEX('Engagements Overview'!$K$2:$K$200,X136)="","",INDEX('Engagements Overview'!$K$2:$K$200,X136))))</f>
        <v/>
      </c>
      <c r="T136" s="1" t="str">
        <f>IF($B136="","",IF(V136="","",IF(INDEX('Input Contact Information'!$O$2:$O$200,V136)="","",INDEX('Input Contact Information'!$O$2:$O$200,V136))))</f>
        <v/>
      </c>
      <c r="U136" s="1" t="str">
        <f>IF($B136="","",IF(V136="","",IF(INDEX('Input Contact Information'!$P$2:$P$200,V136)="","",INDEX('Input Contact Information'!$P$2:$P$200,V136))))</f>
        <v/>
      </c>
      <c r="V136" s="1" t="str">
        <f>IF(B136="","",IFERROR(MATCH(B136&amp;"|"&amp;C136,'Input Contact Information'!$W$2:$W$200,0),""))</f>
        <v/>
      </c>
      <c r="W136" s="1" t="str">
        <f>IF(C136="","",IFERROR(MATCH(C136,'Accounts Overview'!$B$2:$B$100,0),""))</f>
        <v/>
      </c>
      <c r="X136" s="1" t="str">
        <f>IF(A136="","",IFERROR(MATCH(A136,'Engagements Overview'!$B$2:$B$200,0),""))</f>
        <v/>
      </c>
    </row>
    <row r="137" spans="1:24" ht="15" customHeight="1" x14ac:dyDescent="0.35">
      <c r="A137" s="13" t="str">
        <f t="shared" si="8"/>
        <v/>
      </c>
      <c r="B137" s="1" t="str">
        <f>IFERROR(INDEX('Input Contact Information'!$C$2:$C$200,MATCH(ROW()-1,'Input Contact Information'!$V$2:$V$200,0)),"")</f>
        <v/>
      </c>
      <c r="C137" s="1" t="str">
        <f>IFERROR(INDEX('Input Contact Information'!$B$2:$B$200,MATCH(ROW()-1,'Input Contact Information'!$V$2:$V$200,0)),"")</f>
        <v/>
      </c>
      <c r="D137" s="1" t="str">
        <f>IF($B137="","",IF(W137="","",INDEX('Accounts Overview'!$A$2:$A$100,W137)))</f>
        <v/>
      </c>
      <c r="E137" s="1" t="str">
        <f>IF($B137="","",IF(V137="","",IF(INDEX('Input Contact Information'!$D$2:$D$200,V137)="","",INDEX('Input Contact Information'!$D$2:$D$200,V137))))</f>
        <v/>
      </c>
      <c r="F137" s="1" t="str">
        <f>IF($B137="","",IF(V137="","",IF(INDEX('Input Contact Information'!$F$2:$F$200,V137)="","",INDEX('Input Contact Information'!$F$2:$F$200,V137))))</f>
        <v/>
      </c>
      <c r="G137" s="1" t="str">
        <f>IF($B137="","",IF(V137="","",IF(INDEX('Input Contact Information'!$E$2:$E$200,V137)="","",INDEX('Input Contact Information'!$E$2:$E$200,V137))))</f>
        <v/>
      </c>
      <c r="H137" s="1" t="str">
        <f>IF($B137="","",IF(V137="","",IF(INDEX('Input Contact Information'!$G$2:$G$200,V137)="","",INDEX('Input Contact Information'!$G$2:$G$200,V137))))</f>
        <v/>
      </c>
      <c r="I137" s="1" t="str">
        <f>IF($B137="","",IF(V137="","",IF(INDEX('Input Contact Information'!$H$2:$H$200,V137)="","",INDEX('Input Contact Information'!$H$2:$H$200,V137))))</f>
        <v/>
      </c>
      <c r="J137" s="1" t="str">
        <f>IF($B137="","",IF(V137="","",IF(INDEX('Input Contact Information'!$I$2:$I$200,V137)="","",INDEX('Input Contact Information'!$I$2:$I$200,V137))))</f>
        <v/>
      </c>
      <c r="K137" s="1" t="str">
        <f>IF($B137="","",IF(V137="","",IF(INDEX('Input Contact Information'!$A$2:$A$200,V137)="","",INDEX('Input Contact Information'!$A$2:$A$200,V137))))</f>
        <v/>
      </c>
      <c r="L137" s="1" t="str">
        <f>IF($B137="","",IF(W137="","",IF(INDEX('Accounts Overview'!$I$2:$I$100,W137)="","",INDEX('Accounts Overview'!$I$2:$I$100,W137))))</f>
        <v/>
      </c>
      <c r="M137" s="1" t="str">
        <f>IF($B137="","",IF(V137="","",IF(INDEX('Input Contact Information'!$J$2:$J$200,V137)="","",INDEX('Input Contact Information'!$J$2:$J$200,V137))))</f>
        <v/>
      </c>
      <c r="N137" s="1" t="str">
        <f>IF($B137="","",IF(V137="","",IF(INDEX('Input Contact Information'!$K$2:$K$200,V137)="","",INDEX('Input Contact Information'!$K$2:$K$200,V137))))</f>
        <v/>
      </c>
      <c r="O137" s="1" t="str">
        <f>IF($B137="","",IF(V137="","",IF(INDEX('Input Contact Information'!$L$2:$L$200,V137)="","",INDEX('Input Contact Information'!$L$2:$L$200,V137))))</f>
        <v/>
      </c>
      <c r="P137" s="1" t="str">
        <f>IF($B137="","",IF((IF(V137="","",IF(INDEX('Input Contact Information'!$N$2:$N$200,V137)="","",INDEX('Input Contact Information'!$N$2:$N$200,V137))))&lt;&gt;"",IF(V137="","",IF(INDEX('Input Contact Information'!$N$2:$N$200,V137)="","",INDEX('Input Contact Information'!$N$2:$N$200,V137))),IF(V137="","",IF(INDEX('Input Contact Information'!$M$2:$M$200,V137)="","",INDEX('Input Contact Information'!$M$2:$M$200,V137)))))</f>
        <v/>
      </c>
      <c r="Q137" s="1" t="str">
        <f t="shared" si="9"/>
        <v/>
      </c>
      <c r="R137" s="1" t="str">
        <f>IF($B137="","",IF(X137="","",IF(INDEX('Engagements Overview'!$I$2:$I$200,X137)="","",INDEX('Engagements Overview'!$I$2:$I$200,X137))))</f>
        <v/>
      </c>
      <c r="S137" s="14" t="str">
        <f>IF($B137="","",IF(X137="","",IF(INDEX('Engagements Overview'!$K$2:$K$200,X137)="","",INDEX('Engagements Overview'!$K$2:$K$200,X137))))</f>
        <v/>
      </c>
      <c r="T137" s="1" t="str">
        <f>IF($B137="","",IF(V137="","",IF(INDEX('Input Contact Information'!$O$2:$O$200,V137)="","",INDEX('Input Contact Information'!$O$2:$O$200,V137))))</f>
        <v/>
      </c>
      <c r="U137" s="1" t="str">
        <f>IF($B137="","",IF(V137="","",IF(INDEX('Input Contact Information'!$P$2:$P$200,V137)="","",INDEX('Input Contact Information'!$P$2:$P$200,V137))))</f>
        <v/>
      </c>
      <c r="V137" s="1" t="str">
        <f>IF(B137="","",IFERROR(MATCH(B137&amp;"|"&amp;C137,'Input Contact Information'!$W$2:$W$200,0),""))</f>
        <v/>
      </c>
      <c r="W137" s="1" t="str">
        <f>IF(C137="","",IFERROR(MATCH(C137,'Accounts Overview'!$B$2:$B$100,0),""))</f>
        <v/>
      </c>
      <c r="X137" s="1" t="str">
        <f>IF(A137="","",IFERROR(MATCH(A137,'Engagements Overview'!$B$2:$B$200,0),""))</f>
        <v/>
      </c>
    </row>
    <row r="138" spans="1:24" ht="15" customHeight="1" x14ac:dyDescent="0.35">
      <c r="A138" s="13" t="str">
        <f t="shared" si="8"/>
        <v/>
      </c>
      <c r="B138" s="1" t="str">
        <f>IFERROR(INDEX('Input Contact Information'!$C$2:$C$200,MATCH(ROW()-1,'Input Contact Information'!$V$2:$V$200,0)),"")</f>
        <v/>
      </c>
      <c r="C138" s="1" t="str">
        <f>IFERROR(INDEX('Input Contact Information'!$B$2:$B$200,MATCH(ROW()-1,'Input Contact Information'!$V$2:$V$200,0)),"")</f>
        <v/>
      </c>
      <c r="D138" s="1" t="str">
        <f>IF($B138="","",IF(W138="","",INDEX('Accounts Overview'!$A$2:$A$100,W138)))</f>
        <v/>
      </c>
      <c r="E138" s="1" t="str">
        <f>IF($B138="","",IF(V138="","",IF(INDEX('Input Contact Information'!$D$2:$D$200,V138)="","",INDEX('Input Contact Information'!$D$2:$D$200,V138))))</f>
        <v/>
      </c>
      <c r="F138" s="1" t="str">
        <f>IF($B138="","",IF(V138="","",IF(INDEX('Input Contact Information'!$F$2:$F$200,V138)="","",INDEX('Input Contact Information'!$F$2:$F$200,V138))))</f>
        <v/>
      </c>
      <c r="G138" s="1" t="str">
        <f>IF($B138="","",IF(V138="","",IF(INDEX('Input Contact Information'!$E$2:$E$200,V138)="","",INDEX('Input Contact Information'!$E$2:$E$200,V138))))</f>
        <v/>
      </c>
      <c r="H138" s="1" t="str">
        <f>IF($B138="","",IF(V138="","",IF(INDEX('Input Contact Information'!$G$2:$G$200,V138)="","",INDEX('Input Contact Information'!$G$2:$G$200,V138))))</f>
        <v/>
      </c>
      <c r="I138" s="1" t="str">
        <f>IF($B138="","",IF(V138="","",IF(INDEX('Input Contact Information'!$H$2:$H$200,V138)="","",INDEX('Input Contact Information'!$H$2:$H$200,V138))))</f>
        <v/>
      </c>
      <c r="J138" s="1" t="str">
        <f>IF($B138="","",IF(V138="","",IF(INDEX('Input Contact Information'!$I$2:$I$200,V138)="","",INDEX('Input Contact Information'!$I$2:$I$200,V138))))</f>
        <v/>
      </c>
      <c r="K138" s="1" t="str">
        <f>IF($B138="","",IF(V138="","",IF(INDEX('Input Contact Information'!$A$2:$A$200,V138)="","",INDEX('Input Contact Information'!$A$2:$A$200,V138))))</f>
        <v/>
      </c>
      <c r="L138" s="1" t="str">
        <f>IF($B138="","",IF(W138="","",IF(INDEX('Accounts Overview'!$I$2:$I$100,W138)="","",INDEX('Accounts Overview'!$I$2:$I$100,W138))))</f>
        <v/>
      </c>
      <c r="M138" s="1" t="str">
        <f>IF($B138="","",IF(V138="","",IF(INDEX('Input Contact Information'!$J$2:$J$200,V138)="","",INDEX('Input Contact Information'!$J$2:$J$200,V138))))</f>
        <v/>
      </c>
      <c r="N138" s="1" t="str">
        <f>IF($B138="","",IF(V138="","",IF(INDEX('Input Contact Information'!$K$2:$K$200,V138)="","",INDEX('Input Contact Information'!$K$2:$K$200,V138))))</f>
        <v/>
      </c>
      <c r="O138" s="1" t="str">
        <f>IF($B138="","",IF(V138="","",IF(INDEX('Input Contact Information'!$L$2:$L$200,V138)="","",INDEX('Input Contact Information'!$L$2:$L$200,V138))))</f>
        <v/>
      </c>
      <c r="P138" s="1" t="str">
        <f>IF($B138="","",IF((IF(V138="","",IF(INDEX('Input Contact Information'!$N$2:$N$200,V138)="","",INDEX('Input Contact Information'!$N$2:$N$200,V138))))&lt;&gt;"",IF(V138="","",IF(INDEX('Input Contact Information'!$N$2:$N$200,V138)="","",INDEX('Input Contact Information'!$N$2:$N$200,V138))),IF(V138="","",IF(INDEX('Input Contact Information'!$M$2:$M$200,V138)="","",INDEX('Input Contact Information'!$M$2:$M$200,V138)))))</f>
        <v/>
      </c>
      <c r="Q138" s="1" t="str">
        <f t="shared" si="9"/>
        <v/>
      </c>
      <c r="R138" s="1" t="str">
        <f>IF($B138="","",IF(X138="","",IF(INDEX('Engagements Overview'!$I$2:$I$200,X138)="","",INDEX('Engagements Overview'!$I$2:$I$200,X138))))</f>
        <v/>
      </c>
      <c r="S138" s="14" t="str">
        <f>IF($B138="","",IF(X138="","",IF(INDEX('Engagements Overview'!$K$2:$K$200,X138)="","",INDEX('Engagements Overview'!$K$2:$K$200,X138))))</f>
        <v/>
      </c>
      <c r="T138" s="1" t="str">
        <f>IF($B138="","",IF(V138="","",IF(INDEX('Input Contact Information'!$O$2:$O$200,V138)="","",INDEX('Input Contact Information'!$O$2:$O$200,V138))))</f>
        <v/>
      </c>
      <c r="U138" s="1" t="str">
        <f>IF($B138="","",IF(V138="","",IF(INDEX('Input Contact Information'!$P$2:$P$200,V138)="","",INDEX('Input Contact Information'!$P$2:$P$200,V138))))</f>
        <v/>
      </c>
      <c r="V138" s="1" t="str">
        <f>IF(B138="","",IFERROR(MATCH(B138&amp;"|"&amp;C138,'Input Contact Information'!$W$2:$W$200,0),""))</f>
        <v/>
      </c>
      <c r="W138" s="1" t="str">
        <f>IF(C138="","",IFERROR(MATCH(C138,'Accounts Overview'!$B$2:$B$100,0),""))</f>
        <v/>
      </c>
      <c r="X138" s="1" t="str">
        <f>IF(A138="","",IFERROR(MATCH(A138,'Engagements Overview'!$B$2:$B$200,0),""))</f>
        <v/>
      </c>
    </row>
    <row r="139" spans="1:24" ht="15" customHeight="1" x14ac:dyDescent="0.35">
      <c r="A139" s="13" t="str">
        <f t="shared" si="8"/>
        <v/>
      </c>
      <c r="B139" s="1" t="str">
        <f>IFERROR(INDEX('Input Contact Information'!$C$2:$C$200,MATCH(ROW()-1,'Input Contact Information'!$V$2:$V$200,0)),"")</f>
        <v/>
      </c>
      <c r="C139" s="1" t="str">
        <f>IFERROR(INDEX('Input Contact Information'!$B$2:$B$200,MATCH(ROW()-1,'Input Contact Information'!$V$2:$V$200,0)),"")</f>
        <v/>
      </c>
      <c r="D139" s="1" t="str">
        <f>IF($B139="","",IF(W139="","",INDEX('Accounts Overview'!$A$2:$A$100,W139)))</f>
        <v/>
      </c>
      <c r="E139" s="1" t="str">
        <f>IF($B139="","",IF(V139="","",IF(INDEX('Input Contact Information'!$D$2:$D$200,V139)="","",INDEX('Input Contact Information'!$D$2:$D$200,V139))))</f>
        <v/>
      </c>
      <c r="F139" s="1" t="str">
        <f>IF($B139="","",IF(V139="","",IF(INDEX('Input Contact Information'!$F$2:$F$200,V139)="","",INDEX('Input Contact Information'!$F$2:$F$200,V139))))</f>
        <v/>
      </c>
      <c r="G139" s="1" t="str">
        <f>IF($B139="","",IF(V139="","",IF(INDEX('Input Contact Information'!$E$2:$E$200,V139)="","",INDEX('Input Contact Information'!$E$2:$E$200,V139))))</f>
        <v/>
      </c>
      <c r="H139" s="1" t="str">
        <f>IF($B139="","",IF(V139="","",IF(INDEX('Input Contact Information'!$G$2:$G$200,V139)="","",INDEX('Input Contact Information'!$G$2:$G$200,V139))))</f>
        <v/>
      </c>
      <c r="I139" s="1" t="str">
        <f>IF($B139="","",IF(V139="","",IF(INDEX('Input Contact Information'!$H$2:$H$200,V139)="","",INDEX('Input Contact Information'!$H$2:$H$200,V139))))</f>
        <v/>
      </c>
      <c r="J139" s="1" t="str">
        <f>IF($B139="","",IF(V139="","",IF(INDEX('Input Contact Information'!$I$2:$I$200,V139)="","",INDEX('Input Contact Information'!$I$2:$I$200,V139))))</f>
        <v/>
      </c>
      <c r="K139" s="1" t="str">
        <f>IF($B139="","",IF(V139="","",IF(INDEX('Input Contact Information'!$A$2:$A$200,V139)="","",INDEX('Input Contact Information'!$A$2:$A$200,V139))))</f>
        <v/>
      </c>
      <c r="L139" s="1" t="str">
        <f>IF($B139="","",IF(W139="","",IF(INDEX('Accounts Overview'!$I$2:$I$100,W139)="","",INDEX('Accounts Overview'!$I$2:$I$100,W139))))</f>
        <v/>
      </c>
      <c r="M139" s="1" t="str">
        <f>IF($B139="","",IF(V139="","",IF(INDEX('Input Contact Information'!$J$2:$J$200,V139)="","",INDEX('Input Contact Information'!$J$2:$J$200,V139))))</f>
        <v/>
      </c>
      <c r="N139" s="1" t="str">
        <f>IF($B139="","",IF(V139="","",IF(INDEX('Input Contact Information'!$K$2:$K$200,V139)="","",INDEX('Input Contact Information'!$K$2:$K$200,V139))))</f>
        <v/>
      </c>
      <c r="O139" s="1" t="str">
        <f>IF($B139="","",IF(V139="","",IF(INDEX('Input Contact Information'!$L$2:$L$200,V139)="","",INDEX('Input Contact Information'!$L$2:$L$200,V139))))</f>
        <v/>
      </c>
      <c r="P139" s="1" t="str">
        <f>IF($B139="","",IF((IF(V139="","",IF(INDEX('Input Contact Information'!$N$2:$N$200,V139)="","",INDEX('Input Contact Information'!$N$2:$N$200,V139))))&lt;&gt;"",IF(V139="","",IF(INDEX('Input Contact Information'!$N$2:$N$200,V139)="","",INDEX('Input Contact Information'!$N$2:$N$200,V139))),IF(V139="","",IF(INDEX('Input Contact Information'!$M$2:$M$200,V139)="","",INDEX('Input Contact Information'!$M$2:$M$200,V139)))))</f>
        <v/>
      </c>
      <c r="Q139" s="1" t="str">
        <f t="shared" si="9"/>
        <v/>
      </c>
      <c r="R139" s="1" t="str">
        <f>IF($B139="","",IF(X139="","",IF(INDEX('Engagements Overview'!$I$2:$I$200,X139)="","",INDEX('Engagements Overview'!$I$2:$I$200,X139))))</f>
        <v/>
      </c>
      <c r="S139" s="14" t="str">
        <f>IF($B139="","",IF(X139="","",IF(INDEX('Engagements Overview'!$K$2:$K$200,X139)="","",INDEX('Engagements Overview'!$K$2:$K$200,X139))))</f>
        <v/>
      </c>
      <c r="T139" s="1" t="str">
        <f>IF($B139="","",IF(V139="","",IF(INDEX('Input Contact Information'!$O$2:$O$200,V139)="","",INDEX('Input Contact Information'!$O$2:$O$200,V139))))</f>
        <v/>
      </c>
      <c r="U139" s="1" t="str">
        <f>IF($B139="","",IF(V139="","",IF(INDEX('Input Contact Information'!$P$2:$P$200,V139)="","",INDEX('Input Contact Information'!$P$2:$P$200,V139))))</f>
        <v/>
      </c>
      <c r="V139" s="1" t="str">
        <f>IF(B139="","",IFERROR(MATCH(B139&amp;"|"&amp;C139,'Input Contact Information'!$W$2:$W$200,0),""))</f>
        <v/>
      </c>
      <c r="W139" s="1" t="str">
        <f>IF(C139="","",IFERROR(MATCH(C139,'Accounts Overview'!$B$2:$B$100,0),""))</f>
        <v/>
      </c>
      <c r="X139" s="1" t="str">
        <f>IF(A139="","",IFERROR(MATCH(A139,'Engagements Overview'!$B$2:$B$200,0),""))</f>
        <v/>
      </c>
    </row>
    <row r="140" spans="1:24" ht="15" customHeight="1" x14ac:dyDescent="0.35">
      <c r="A140" s="13" t="str">
        <f t="shared" si="8"/>
        <v/>
      </c>
      <c r="B140" s="1" t="str">
        <f>IFERROR(INDEX('Input Contact Information'!$C$2:$C$200,MATCH(ROW()-1,'Input Contact Information'!$V$2:$V$200,0)),"")</f>
        <v/>
      </c>
      <c r="C140" s="1" t="str">
        <f>IFERROR(INDEX('Input Contact Information'!$B$2:$B$200,MATCH(ROW()-1,'Input Contact Information'!$V$2:$V$200,0)),"")</f>
        <v/>
      </c>
      <c r="D140" s="1" t="str">
        <f>IF($B140="","",IF(W140="","",INDEX('Accounts Overview'!$A$2:$A$100,W140)))</f>
        <v/>
      </c>
      <c r="E140" s="1" t="str">
        <f>IF($B140="","",IF(V140="","",IF(INDEX('Input Contact Information'!$D$2:$D$200,V140)="","",INDEX('Input Contact Information'!$D$2:$D$200,V140))))</f>
        <v/>
      </c>
      <c r="F140" s="1" t="str">
        <f>IF($B140="","",IF(V140="","",IF(INDEX('Input Contact Information'!$F$2:$F$200,V140)="","",INDEX('Input Contact Information'!$F$2:$F$200,V140))))</f>
        <v/>
      </c>
      <c r="G140" s="1" t="str">
        <f>IF($B140="","",IF(V140="","",IF(INDEX('Input Contact Information'!$E$2:$E$200,V140)="","",INDEX('Input Contact Information'!$E$2:$E$200,V140))))</f>
        <v/>
      </c>
      <c r="H140" s="1" t="str">
        <f>IF($B140="","",IF(V140="","",IF(INDEX('Input Contact Information'!$G$2:$G$200,V140)="","",INDEX('Input Contact Information'!$G$2:$G$200,V140))))</f>
        <v/>
      </c>
      <c r="I140" s="1" t="str">
        <f>IF($B140="","",IF(V140="","",IF(INDEX('Input Contact Information'!$H$2:$H$200,V140)="","",INDEX('Input Contact Information'!$H$2:$H$200,V140))))</f>
        <v/>
      </c>
      <c r="J140" s="1" t="str">
        <f>IF($B140="","",IF(V140="","",IF(INDEX('Input Contact Information'!$I$2:$I$200,V140)="","",INDEX('Input Contact Information'!$I$2:$I$200,V140))))</f>
        <v/>
      </c>
      <c r="K140" s="1" t="str">
        <f>IF($B140="","",IF(V140="","",IF(INDEX('Input Contact Information'!$A$2:$A$200,V140)="","",INDEX('Input Contact Information'!$A$2:$A$200,V140))))</f>
        <v/>
      </c>
      <c r="L140" s="1" t="str">
        <f>IF($B140="","",IF(W140="","",IF(INDEX('Accounts Overview'!$I$2:$I$100,W140)="","",INDEX('Accounts Overview'!$I$2:$I$100,W140))))</f>
        <v/>
      </c>
      <c r="M140" s="1" t="str">
        <f>IF($B140="","",IF(V140="","",IF(INDEX('Input Contact Information'!$J$2:$J$200,V140)="","",INDEX('Input Contact Information'!$J$2:$J$200,V140))))</f>
        <v/>
      </c>
      <c r="N140" s="1" t="str">
        <f>IF($B140="","",IF(V140="","",IF(INDEX('Input Contact Information'!$K$2:$K$200,V140)="","",INDEX('Input Contact Information'!$K$2:$K$200,V140))))</f>
        <v/>
      </c>
      <c r="O140" s="1" t="str">
        <f>IF($B140="","",IF(V140="","",IF(INDEX('Input Contact Information'!$L$2:$L$200,V140)="","",INDEX('Input Contact Information'!$L$2:$L$200,V140))))</f>
        <v/>
      </c>
      <c r="P140" s="1" t="str">
        <f>IF($B140="","",IF((IF(V140="","",IF(INDEX('Input Contact Information'!$N$2:$N$200,V140)="","",INDEX('Input Contact Information'!$N$2:$N$200,V140))))&lt;&gt;"",IF(V140="","",IF(INDEX('Input Contact Information'!$N$2:$N$200,V140)="","",INDEX('Input Contact Information'!$N$2:$N$200,V140))),IF(V140="","",IF(INDEX('Input Contact Information'!$M$2:$M$200,V140)="","",INDEX('Input Contact Information'!$M$2:$M$200,V140)))))</f>
        <v/>
      </c>
      <c r="Q140" s="1" t="str">
        <f t="shared" si="9"/>
        <v/>
      </c>
      <c r="R140" s="1" t="str">
        <f>IF($B140="","",IF(X140="","",IF(INDEX('Engagements Overview'!$I$2:$I$200,X140)="","",INDEX('Engagements Overview'!$I$2:$I$200,X140))))</f>
        <v/>
      </c>
      <c r="S140" s="14" t="str">
        <f>IF($B140="","",IF(X140="","",IF(INDEX('Engagements Overview'!$K$2:$K$200,X140)="","",INDEX('Engagements Overview'!$K$2:$K$200,X140))))</f>
        <v/>
      </c>
      <c r="T140" s="1" t="str">
        <f>IF($B140="","",IF(V140="","",IF(INDEX('Input Contact Information'!$O$2:$O$200,V140)="","",INDEX('Input Contact Information'!$O$2:$O$200,V140))))</f>
        <v/>
      </c>
      <c r="U140" s="1" t="str">
        <f>IF($B140="","",IF(V140="","",IF(INDEX('Input Contact Information'!$P$2:$P$200,V140)="","",INDEX('Input Contact Information'!$P$2:$P$200,V140))))</f>
        <v/>
      </c>
      <c r="V140" s="1" t="str">
        <f>IF(B140="","",IFERROR(MATCH(B140&amp;"|"&amp;C140,'Input Contact Information'!$W$2:$W$200,0),""))</f>
        <v/>
      </c>
      <c r="W140" s="1" t="str">
        <f>IF(C140="","",IFERROR(MATCH(C140,'Accounts Overview'!$B$2:$B$100,0),""))</f>
        <v/>
      </c>
      <c r="X140" s="1" t="str">
        <f>IF(A140="","",IFERROR(MATCH(A140,'Engagements Overview'!$B$2:$B$200,0),""))</f>
        <v/>
      </c>
    </row>
    <row r="141" spans="1:24" ht="15" customHeight="1" x14ac:dyDescent="0.35">
      <c r="A141" s="13" t="str">
        <f t="shared" si="8"/>
        <v/>
      </c>
      <c r="B141" s="1" t="str">
        <f>IFERROR(INDEX('Input Contact Information'!$C$2:$C$200,MATCH(ROW()-1,'Input Contact Information'!$V$2:$V$200,0)),"")</f>
        <v/>
      </c>
      <c r="C141" s="1" t="str">
        <f>IFERROR(INDEX('Input Contact Information'!$B$2:$B$200,MATCH(ROW()-1,'Input Contact Information'!$V$2:$V$200,0)),"")</f>
        <v/>
      </c>
      <c r="D141" s="1" t="str">
        <f>IF($B141="","",IF(W141="","",INDEX('Accounts Overview'!$A$2:$A$100,W141)))</f>
        <v/>
      </c>
      <c r="E141" s="1" t="str">
        <f>IF($B141="","",IF(V141="","",IF(INDEX('Input Contact Information'!$D$2:$D$200,V141)="","",INDEX('Input Contact Information'!$D$2:$D$200,V141))))</f>
        <v/>
      </c>
      <c r="F141" s="1" t="str">
        <f>IF($B141="","",IF(V141="","",IF(INDEX('Input Contact Information'!$F$2:$F$200,V141)="","",INDEX('Input Contact Information'!$F$2:$F$200,V141))))</f>
        <v/>
      </c>
      <c r="G141" s="1" t="str">
        <f>IF($B141="","",IF(V141="","",IF(INDEX('Input Contact Information'!$E$2:$E$200,V141)="","",INDEX('Input Contact Information'!$E$2:$E$200,V141))))</f>
        <v/>
      </c>
      <c r="H141" s="1" t="str">
        <f>IF($B141="","",IF(V141="","",IF(INDEX('Input Contact Information'!$G$2:$G$200,V141)="","",INDEX('Input Contact Information'!$G$2:$G$200,V141))))</f>
        <v/>
      </c>
      <c r="I141" s="1" t="str">
        <f>IF($B141="","",IF(V141="","",IF(INDEX('Input Contact Information'!$H$2:$H$200,V141)="","",INDEX('Input Contact Information'!$H$2:$H$200,V141))))</f>
        <v/>
      </c>
      <c r="J141" s="1" t="str">
        <f>IF($B141="","",IF(V141="","",IF(INDEX('Input Contact Information'!$I$2:$I$200,V141)="","",INDEX('Input Contact Information'!$I$2:$I$200,V141))))</f>
        <v/>
      </c>
      <c r="K141" s="1" t="str">
        <f>IF($B141="","",IF(V141="","",IF(INDEX('Input Contact Information'!$A$2:$A$200,V141)="","",INDEX('Input Contact Information'!$A$2:$A$200,V141))))</f>
        <v/>
      </c>
      <c r="L141" s="1" t="str">
        <f>IF($B141="","",IF(W141="","",IF(INDEX('Accounts Overview'!$I$2:$I$100,W141)="","",INDEX('Accounts Overview'!$I$2:$I$100,W141))))</f>
        <v/>
      </c>
      <c r="M141" s="1" t="str">
        <f>IF($B141="","",IF(V141="","",IF(INDEX('Input Contact Information'!$J$2:$J$200,V141)="","",INDEX('Input Contact Information'!$J$2:$J$200,V141))))</f>
        <v/>
      </c>
      <c r="N141" s="1" t="str">
        <f>IF($B141="","",IF(V141="","",IF(INDEX('Input Contact Information'!$K$2:$K$200,V141)="","",INDEX('Input Contact Information'!$K$2:$K$200,V141))))</f>
        <v/>
      </c>
      <c r="O141" s="1" t="str">
        <f>IF($B141="","",IF(V141="","",IF(INDEX('Input Contact Information'!$L$2:$L$200,V141)="","",INDEX('Input Contact Information'!$L$2:$L$200,V141))))</f>
        <v/>
      </c>
      <c r="P141" s="1" t="str">
        <f>IF($B141="","",IF((IF(V141="","",IF(INDEX('Input Contact Information'!$N$2:$N$200,V141)="","",INDEX('Input Contact Information'!$N$2:$N$200,V141))))&lt;&gt;"",IF(V141="","",IF(INDEX('Input Contact Information'!$N$2:$N$200,V141)="","",INDEX('Input Contact Information'!$N$2:$N$200,V141))),IF(V141="","",IF(INDEX('Input Contact Information'!$M$2:$M$200,V141)="","",INDEX('Input Contact Information'!$M$2:$M$200,V141)))))</f>
        <v/>
      </c>
      <c r="Q141" s="1" t="str">
        <f t="shared" si="9"/>
        <v/>
      </c>
      <c r="R141" s="1" t="str">
        <f>IF($B141="","",IF(X141="","",IF(INDEX('Engagements Overview'!$I$2:$I$200,X141)="","",INDEX('Engagements Overview'!$I$2:$I$200,X141))))</f>
        <v/>
      </c>
      <c r="S141" s="14" t="str">
        <f>IF($B141="","",IF(X141="","",IF(INDEX('Engagements Overview'!$K$2:$K$200,X141)="","",INDEX('Engagements Overview'!$K$2:$K$200,X141))))</f>
        <v/>
      </c>
      <c r="T141" s="1" t="str">
        <f>IF($B141="","",IF(V141="","",IF(INDEX('Input Contact Information'!$O$2:$O$200,V141)="","",INDEX('Input Contact Information'!$O$2:$O$200,V141))))</f>
        <v/>
      </c>
      <c r="U141" s="1" t="str">
        <f>IF($B141="","",IF(V141="","",IF(INDEX('Input Contact Information'!$P$2:$P$200,V141)="","",INDEX('Input Contact Information'!$P$2:$P$200,V141))))</f>
        <v/>
      </c>
      <c r="V141" s="1" t="str">
        <f>IF(B141="","",IFERROR(MATCH(B141&amp;"|"&amp;C141,'Input Contact Information'!$W$2:$W$200,0),""))</f>
        <v/>
      </c>
      <c r="W141" s="1" t="str">
        <f>IF(C141="","",IFERROR(MATCH(C141,'Accounts Overview'!$B$2:$B$100,0),""))</f>
        <v/>
      </c>
      <c r="X141" s="1" t="str">
        <f>IF(A141="","",IFERROR(MATCH(A141,'Engagements Overview'!$B$2:$B$200,0),""))</f>
        <v/>
      </c>
    </row>
    <row r="142" spans="1:24" ht="15" customHeight="1" x14ac:dyDescent="0.35">
      <c r="A142" s="13" t="str">
        <f t="shared" si="8"/>
        <v/>
      </c>
      <c r="B142" s="1" t="str">
        <f>IFERROR(INDEX('Input Contact Information'!$C$2:$C$200,MATCH(ROW()-1,'Input Contact Information'!$V$2:$V$200,0)),"")</f>
        <v/>
      </c>
      <c r="C142" s="1" t="str">
        <f>IFERROR(INDEX('Input Contact Information'!$B$2:$B$200,MATCH(ROW()-1,'Input Contact Information'!$V$2:$V$200,0)),"")</f>
        <v/>
      </c>
      <c r="D142" s="1" t="str">
        <f>IF($B142="","",IF(W142="","",INDEX('Accounts Overview'!$A$2:$A$100,W142)))</f>
        <v/>
      </c>
      <c r="E142" s="1" t="str">
        <f>IF($B142="","",IF(V142="","",IF(INDEX('Input Contact Information'!$D$2:$D$200,V142)="","",INDEX('Input Contact Information'!$D$2:$D$200,V142))))</f>
        <v/>
      </c>
      <c r="F142" s="1" t="str">
        <f>IF($B142="","",IF(V142="","",IF(INDEX('Input Contact Information'!$F$2:$F$200,V142)="","",INDEX('Input Contact Information'!$F$2:$F$200,V142))))</f>
        <v/>
      </c>
      <c r="G142" s="1" t="str">
        <f>IF($B142="","",IF(V142="","",IF(INDEX('Input Contact Information'!$E$2:$E$200,V142)="","",INDEX('Input Contact Information'!$E$2:$E$200,V142))))</f>
        <v/>
      </c>
      <c r="H142" s="1" t="str">
        <f>IF($B142="","",IF(V142="","",IF(INDEX('Input Contact Information'!$G$2:$G$200,V142)="","",INDEX('Input Contact Information'!$G$2:$G$200,V142))))</f>
        <v/>
      </c>
      <c r="I142" s="1" t="str">
        <f>IF($B142="","",IF(V142="","",IF(INDEX('Input Contact Information'!$H$2:$H$200,V142)="","",INDEX('Input Contact Information'!$H$2:$H$200,V142))))</f>
        <v/>
      </c>
      <c r="J142" s="1" t="str">
        <f>IF($B142="","",IF(V142="","",IF(INDEX('Input Contact Information'!$I$2:$I$200,V142)="","",INDEX('Input Contact Information'!$I$2:$I$200,V142))))</f>
        <v/>
      </c>
      <c r="K142" s="1" t="str">
        <f>IF($B142="","",IF(V142="","",IF(INDEX('Input Contact Information'!$A$2:$A$200,V142)="","",INDEX('Input Contact Information'!$A$2:$A$200,V142))))</f>
        <v/>
      </c>
      <c r="L142" s="1" t="str">
        <f>IF($B142="","",IF(W142="","",IF(INDEX('Accounts Overview'!$I$2:$I$100,W142)="","",INDEX('Accounts Overview'!$I$2:$I$100,W142))))</f>
        <v/>
      </c>
      <c r="M142" s="1" t="str">
        <f>IF($B142="","",IF(V142="","",IF(INDEX('Input Contact Information'!$J$2:$J$200,V142)="","",INDEX('Input Contact Information'!$J$2:$J$200,V142))))</f>
        <v/>
      </c>
      <c r="N142" s="1" t="str">
        <f>IF($B142="","",IF(V142="","",IF(INDEX('Input Contact Information'!$K$2:$K$200,V142)="","",INDEX('Input Contact Information'!$K$2:$K$200,V142))))</f>
        <v/>
      </c>
      <c r="O142" s="1" t="str">
        <f>IF($B142="","",IF(V142="","",IF(INDEX('Input Contact Information'!$L$2:$L$200,V142)="","",INDEX('Input Contact Information'!$L$2:$L$200,V142))))</f>
        <v/>
      </c>
      <c r="P142" s="1" t="str">
        <f>IF($B142="","",IF((IF(V142="","",IF(INDEX('Input Contact Information'!$N$2:$N$200,V142)="","",INDEX('Input Contact Information'!$N$2:$N$200,V142))))&lt;&gt;"",IF(V142="","",IF(INDEX('Input Contact Information'!$N$2:$N$200,V142)="","",INDEX('Input Contact Information'!$N$2:$N$200,V142))),IF(V142="","",IF(INDEX('Input Contact Information'!$M$2:$M$200,V142)="","",INDEX('Input Contact Information'!$M$2:$M$200,V142)))))</f>
        <v/>
      </c>
      <c r="Q142" s="1" t="str">
        <f t="shared" si="9"/>
        <v/>
      </c>
      <c r="R142" s="1" t="str">
        <f>IF($B142="","",IF(X142="","",IF(INDEX('Engagements Overview'!$I$2:$I$200,X142)="","",INDEX('Engagements Overview'!$I$2:$I$200,X142))))</f>
        <v/>
      </c>
      <c r="S142" s="14" t="str">
        <f>IF($B142="","",IF(X142="","",IF(INDEX('Engagements Overview'!$K$2:$K$200,X142)="","",INDEX('Engagements Overview'!$K$2:$K$200,X142))))</f>
        <v/>
      </c>
      <c r="T142" s="1" t="str">
        <f>IF($B142="","",IF(V142="","",IF(INDEX('Input Contact Information'!$O$2:$O$200,V142)="","",INDEX('Input Contact Information'!$O$2:$O$200,V142))))</f>
        <v/>
      </c>
      <c r="U142" s="1" t="str">
        <f>IF($B142="","",IF(V142="","",IF(INDEX('Input Contact Information'!$P$2:$P$200,V142)="","",INDEX('Input Contact Information'!$P$2:$P$200,V142))))</f>
        <v/>
      </c>
      <c r="V142" s="1" t="str">
        <f>IF(B142="","",IFERROR(MATCH(B142&amp;"|"&amp;C142,'Input Contact Information'!$W$2:$W$200,0),""))</f>
        <v/>
      </c>
      <c r="W142" s="1" t="str">
        <f>IF(C142="","",IFERROR(MATCH(C142,'Accounts Overview'!$B$2:$B$100,0),""))</f>
        <v/>
      </c>
      <c r="X142" s="1" t="str">
        <f>IF(A142="","",IFERROR(MATCH(A142,'Engagements Overview'!$B$2:$B$200,0),""))</f>
        <v/>
      </c>
    </row>
    <row r="143" spans="1:24" ht="15" customHeight="1" x14ac:dyDescent="0.35">
      <c r="A143" s="13" t="str">
        <f t="shared" si="8"/>
        <v/>
      </c>
      <c r="B143" s="1" t="str">
        <f>IFERROR(INDEX('Input Contact Information'!$C$2:$C$200,MATCH(ROW()-1,'Input Contact Information'!$V$2:$V$200,0)),"")</f>
        <v/>
      </c>
      <c r="C143" s="1" t="str">
        <f>IFERROR(INDEX('Input Contact Information'!$B$2:$B$200,MATCH(ROW()-1,'Input Contact Information'!$V$2:$V$200,0)),"")</f>
        <v/>
      </c>
      <c r="D143" s="1" t="str">
        <f>IF($B143="","",IF(W143="","",INDEX('Accounts Overview'!$A$2:$A$100,W143)))</f>
        <v/>
      </c>
      <c r="E143" s="1" t="str">
        <f>IF($B143="","",IF(V143="","",IF(INDEX('Input Contact Information'!$D$2:$D$200,V143)="","",INDEX('Input Contact Information'!$D$2:$D$200,V143))))</f>
        <v/>
      </c>
      <c r="F143" s="1" t="str">
        <f>IF($B143="","",IF(V143="","",IF(INDEX('Input Contact Information'!$F$2:$F$200,V143)="","",INDEX('Input Contact Information'!$F$2:$F$200,V143))))</f>
        <v/>
      </c>
      <c r="G143" s="1" t="str">
        <f>IF($B143="","",IF(V143="","",IF(INDEX('Input Contact Information'!$E$2:$E$200,V143)="","",INDEX('Input Contact Information'!$E$2:$E$200,V143))))</f>
        <v/>
      </c>
      <c r="H143" s="1" t="str">
        <f>IF($B143="","",IF(V143="","",IF(INDEX('Input Contact Information'!$G$2:$G$200,V143)="","",INDEX('Input Contact Information'!$G$2:$G$200,V143))))</f>
        <v/>
      </c>
      <c r="I143" s="1" t="str">
        <f>IF($B143="","",IF(V143="","",IF(INDEX('Input Contact Information'!$H$2:$H$200,V143)="","",INDEX('Input Contact Information'!$H$2:$H$200,V143))))</f>
        <v/>
      </c>
      <c r="J143" s="1" t="str">
        <f>IF($B143="","",IF(V143="","",IF(INDEX('Input Contact Information'!$I$2:$I$200,V143)="","",INDEX('Input Contact Information'!$I$2:$I$200,V143))))</f>
        <v/>
      </c>
      <c r="K143" s="1" t="str">
        <f>IF($B143="","",IF(V143="","",IF(INDEX('Input Contact Information'!$A$2:$A$200,V143)="","",INDEX('Input Contact Information'!$A$2:$A$200,V143))))</f>
        <v/>
      </c>
      <c r="L143" s="1" t="str">
        <f>IF($B143="","",IF(W143="","",IF(INDEX('Accounts Overview'!$I$2:$I$100,W143)="","",INDEX('Accounts Overview'!$I$2:$I$100,W143))))</f>
        <v/>
      </c>
      <c r="M143" s="1" t="str">
        <f>IF($B143="","",IF(V143="","",IF(INDEX('Input Contact Information'!$J$2:$J$200,V143)="","",INDEX('Input Contact Information'!$J$2:$J$200,V143))))</f>
        <v/>
      </c>
      <c r="N143" s="1" t="str">
        <f>IF($B143="","",IF(V143="","",IF(INDEX('Input Contact Information'!$K$2:$K$200,V143)="","",INDEX('Input Contact Information'!$K$2:$K$200,V143))))</f>
        <v/>
      </c>
      <c r="O143" s="1" t="str">
        <f>IF($B143="","",IF(V143="","",IF(INDEX('Input Contact Information'!$L$2:$L$200,V143)="","",INDEX('Input Contact Information'!$L$2:$L$200,V143))))</f>
        <v/>
      </c>
      <c r="P143" s="1" t="str">
        <f>IF($B143="","",IF((IF(V143="","",IF(INDEX('Input Contact Information'!$N$2:$N$200,V143)="","",INDEX('Input Contact Information'!$N$2:$N$200,V143))))&lt;&gt;"",IF(V143="","",IF(INDEX('Input Contact Information'!$N$2:$N$200,V143)="","",INDEX('Input Contact Information'!$N$2:$N$200,V143))),IF(V143="","",IF(INDEX('Input Contact Information'!$M$2:$M$200,V143)="","",INDEX('Input Contact Information'!$M$2:$M$200,V143)))))</f>
        <v/>
      </c>
      <c r="Q143" s="1" t="str">
        <f t="shared" si="9"/>
        <v/>
      </c>
      <c r="R143" s="1" t="str">
        <f>IF($B143="","",IF(X143="","",IF(INDEX('Engagements Overview'!$I$2:$I$200,X143)="","",INDEX('Engagements Overview'!$I$2:$I$200,X143))))</f>
        <v/>
      </c>
      <c r="S143" s="14" t="str">
        <f>IF($B143="","",IF(X143="","",IF(INDEX('Engagements Overview'!$K$2:$K$200,X143)="","",INDEX('Engagements Overview'!$K$2:$K$200,X143))))</f>
        <v/>
      </c>
      <c r="T143" s="1" t="str">
        <f>IF($B143="","",IF(V143="","",IF(INDEX('Input Contact Information'!$O$2:$O$200,V143)="","",INDEX('Input Contact Information'!$O$2:$O$200,V143))))</f>
        <v/>
      </c>
      <c r="U143" s="1" t="str">
        <f>IF($B143="","",IF(V143="","",IF(INDEX('Input Contact Information'!$P$2:$P$200,V143)="","",INDEX('Input Contact Information'!$P$2:$P$200,V143))))</f>
        <v/>
      </c>
      <c r="V143" s="1" t="str">
        <f>IF(B143="","",IFERROR(MATCH(B143&amp;"|"&amp;C143,'Input Contact Information'!$W$2:$W$200,0),""))</f>
        <v/>
      </c>
      <c r="W143" s="1" t="str">
        <f>IF(C143="","",IFERROR(MATCH(C143,'Accounts Overview'!$B$2:$B$100,0),""))</f>
        <v/>
      </c>
      <c r="X143" s="1" t="str">
        <f>IF(A143="","",IFERROR(MATCH(A143,'Engagements Overview'!$B$2:$B$200,0),""))</f>
        <v/>
      </c>
    </row>
    <row r="144" spans="1:24" ht="15" customHeight="1" x14ac:dyDescent="0.35">
      <c r="A144" s="13" t="str">
        <f t="shared" si="8"/>
        <v/>
      </c>
      <c r="B144" s="1" t="str">
        <f>IFERROR(INDEX('Input Contact Information'!$C$2:$C$200,MATCH(ROW()-1,'Input Contact Information'!$V$2:$V$200,0)),"")</f>
        <v/>
      </c>
      <c r="C144" s="1" t="str">
        <f>IFERROR(INDEX('Input Contact Information'!$B$2:$B$200,MATCH(ROW()-1,'Input Contact Information'!$V$2:$V$200,0)),"")</f>
        <v/>
      </c>
      <c r="D144" s="1" t="str">
        <f>IF($B144="","",IF(W144="","",INDEX('Accounts Overview'!$A$2:$A$100,W144)))</f>
        <v/>
      </c>
      <c r="E144" s="1" t="str">
        <f>IF($B144="","",IF(V144="","",IF(INDEX('Input Contact Information'!$D$2:$D$200,V144)="","",INDEX('Input Contact Information'!$D$2:$D$200,V144))))</f>
        <v/>
      </c>
      <c r="F144" s="1" t="str">
        <f>IF($B144="","",IF(V144="","",IF(INDEX('Input Contact Information'!$F$2:$F$200,V144)="","",INDEX('Input Contact Information'!$F$2:$F$200,V144))))</f>
        <v/>
      </c>
      <c r="G144" s="1" t="str">
        <f>IF($B144="","",IF(V144="","",IF(INDEX('Input Contact Information'!$E$2:$E$200,V144)="","",INDEX('Input Contact Information'!$E$2:$E$200,V144))))</f>
        <v/>
      </c>
      <c r="H144" s="1" t="str">
        <f>IF($B144="","",IF(V144="","",IF(INDEX('Input Contact Information'!$G$2:$G$200,V144)="","",INDEX('Input Contact Information'!$G$2:$G$200,V144))))</f>
        <v/>
      </c>
      <c r="I144" s="1" t="str">
        <f>IF($B144="","",IF(V144="","",IF(INDEX('Input Contact Information'!$H$2:$H$200,V144)="","",INDEX('Input Contact Information'!$H$2:$H$200,V144))))</f>
        <v/>
      </c>
      <c r="J144" s="1" t="str">
        <f>IF($B144="","",IF(V144="","",IF(INDEX('Input Contact Information'!$I$2:$I$200,V144)="","",INDEX('Input Contact Information'!$I$2:$I$200,V144))))</f>
        <v/>
      </c>
      <c r="K144" s="1" t="str">
        <f>IF($B144="","",IF(V144="","",IF(INDEX('Input Contact Information'!$A$2:$A$200,V144)="","",INDEX('Input Contact Information'!$A$2:$A$200,V144))))</f>
        <v/>
      </c>
      <c r="L144" s="1" t="str">
        <f>IF($B144="","",IF(W144="","",IF(INDEX('Accounts Overview'!$I$2:$I$100,W144)="","",INDEX('Accounts Overview'!$I$2:$I$100,W144))))</f>
        <v/>
      </c>
      <c r="M144" s="1" t="str">
        <f>IF($B144="","",IF(V144="","",IF(INDEX('Input Contact Information'!$J$2:$J$200,V144)="","",INDEX('Input Contact Information'!$J$2:$J$200,V144))))</f>
        <v/>
      </c>
      <c r="N144" s="1" t="str">
        <f>IF($B144="","",IF(V144="","",IF(INDEX('Input Contact Information'!$K$2:$K$200,V144)="","",INDEX('Input Contact Information'!$K$2:$K$200,V144))))</f>
        <v/>
      </c>
      <c r="O144" s="1" t="str">
        <f>IF($B144="","",IF(V144="","",IF(INDEX('Input Contact Information'!$L$2:$L$200,V144)="","",INDEX('Input Contact Information'!$L$2:$L$200,V144))))</f>
        <v/>
      </c>
      <c r="P144" s="1" t="str">
        <f>IF($B144="","",IF((IF(V144="","",IF(INDEX('Input Contact Information'!$N$2:$N$200,V144)="","",INDEX('Input Contact Information'!$N$2:$N$200,V144))))&lt;&gt;"",IF(V144="","",IF(INDEX('Input Contact Information'!$N$2:$N$200,V144)="","",INDEX('Input Contact Information'!$N$2:$N$200,V144))),IF(V144="","",IF(INDEX('Input Contact Information'!$M$2:$M$200,V144)="","",INDEX('Input Contact Information'!$M$2:$M$200,V144)))))</f>
        <v/>
      </c>
      <c r="Q144" s="1" t="str">
        <f t="shared" si="9"/>
        <v/>
      </c>
      <c r="R144" s="1" t="str">
        <f>IF($B144="","",IF(X144="","",IF(INDEX('Engagements Overview'!$I$2:$I$200,X144)="","",INDEX('Engagements Overview'!$I$2:$I$200,X144))))</f>
        <v/>
      </c>
      <c r="S144" s="14" t="str">
        <f>IF($B144="","",IF(X144="","",IF(INDEX('Engagements Overview'!$K$2:$K$200,X144)="","",INDEX('Engagements Overview'!$K$2:$K$200,X144))))</f>
        <v/>
      </c>
      <c r="T144" s="1" t="str">
        <f>IF($B144="","",IF(V144="","",IF(INDEX('Input Contact Information'!$O$2:$O$200,V144)="","",INDEX('Input Contact Information'!$O$2:$O$200,V144))))</f>
        <v/>
      </c>
      <c r="U144" s="1" t="str">
        <f>IF($B144="","",IF(V144="","",IF(INDEX('Input Contact Information'!$P$2:$P$200,V144)="","",INDEX('Input Contact Information'!$P$2:$P$200,V144))))</f>
        <v/>
      </c>
      <c r="V144" s="1" t="str">
        <f>IF(B144="","",IFERROR(MATCH(B144&amp;"|"&amp;C144,'Input Contact Information'!$W$2:$W$200,0),""))</f>
        <v/>
      </c>
      <c r="W144" s="1" t="str">
        <f>IF(C144="","",IFERROR(MATCH(C144,'Accounts Overview'!$B$2:$B$100,0),""))</f>
        <v/>
      </c>
      <c r="X144" s="1" t="str">
        <f>IF(A144="","",IFERROR(MATCH(A144,'Engagements Overview'!$B$2:$B$200,0),""))</f>
        <v/>
      </c>
    </row>
    <row r="145" spans="1:24" ht="15" customHeight="1" x14ac:dyDescent="0.35">
      <c r="A145" s="13" t="str">
        <f t="shared" si="8"/>
        <v/>
      </c>
      <c r="B145" s="1" t="str">
        <f>IFERROR(INDEX('Input Contact Information'!$C$2:$C$200,MATCH(ROW()-1,'Input Contact Information'!$V$2:$V$200,0)),"")</f>
        <v/>
      </c>
      <c r="C145" s="1" t="str">
        <f>IFERROR(INDEX('Input Contact Information'!$B$2:$B$200,MATCH(ROW()-1,'Input Contact Information'!$V$2:$V$200,0)),"")</f>
        <v/>
      </c>
      <c r="D145" s="1" t="str">
        <f>IF($B145="","",IF(W145="","",INDEX('Accounts Overview'!$A$2:$A$100,W145)))</f>
        <v/>
      </c>
      <c r="E145" s="1" t="str">
        <f>IF($B145="","",IF(V145="","",IF(INDEX('Input Contact Information'!$D$2:$D$200,V145)="","",INDEX('Input Contact Information'!$D$2:$D$200,V145))))</f>
        <v/>
      </c>
      <c r="F145" s="1" t="str">
        <f>IF($B145="","",IF(V145="","",IF(INDEX('Input Contact Information'!$F$2:$F$200,V145)="","",INDEX('Input Contact Information'!$F$2:$F$200,V145))))</f>
        <v/>
      </c>
      <c r="G145" s="1" t="str">
        <f>IF($B145="","",IF(V145="","",IF(INDEX('Input Contact Information'!$E$2:$E$200,V145)="","",INDEX('Input Contact Information'!$E$2:$E$200,V145))))</f>
        <v/>
      </c>
      <c r="H145" s="1" t="str">
        <f>IF($B145="","",IF(V145="","",IF(INDEX('Input Contact Information'!$G$2:$G$200,V145)="","",INDEX('Input Contact Information'!$G$2:$G$200,V145))))</f>
        <v/>
      </c>
      <c r="I145" s="1" t="str">
        <f>IF($B145="","",IF(V145="","",IF(INDEX('Input Contact Information'!$H$2:$H$200,V145)="","",INDEX('Input Contact Information'!$H$2:$H$200,V145))))</f>
        <v/>
      </c>
      <c r="J145" s="1" t="str">
        <f>IF($B145="","",IF(V145="","",IF(INDEX('Input Contact Information'!$I$2:$I$200,V145)="","",INDEX('Input Contact Information'!$I$2:$I$200,V145))))</f>
        <v/>
      </c>
      <c r="K145" s="1" t="str">
        <f>IF($B145="","",IF(V145="","",IF(INDEX('Input Contact Information'!$A$2:$A$200,V145)="","",INDEX('Input Contact Information'!$A$2:$A$200,V145))))</f>
        <v/>
      </c>
      <c r="L145" s="1" t="str">
        <f>IF($B145="","",IF(W145="","",IF(INDEX('Accounts Overview'!$I$2:$I$100,W145)="","",INDEX('Accounts Overview'!$I$2:$I$100,W145))))</f>
        <v/>
      </c>
      <c r="M145" s="1" t="str">
        <f>IF($B145="","",IF(V145="","",IF(INDEX('Input Contact Information'!$J$2:$J$200,V145)="","",INDEX('Input Contact Information'!$J$2:$J$200,V145))))</f>
        <v/>
      </c>
      <c r="N145" s="1" t="str">
        <f>IF($B145="","",IF(V145="","",IF(INDEX('Input Contact Information'!$K$2:$K$200,V145)="","",INDEX('Input Contact Information'!$K$2:$K$200,V145))))</f>
        <v/>
      </c>
      <c r="O145" s="1" t="str">
        <f>IF($B145="","",IF(V145="","",IF(INDEX('Input Contact Information'!$L$2:$L$200,V145)="","",INDEX('Input Contact Information'!$L$2:$L$200,V145))))</f>
        <v/>
      </c>
      <c r="P145" s="1" t="str">
        <f>IF($B145="","",IF((IF(V145="","",IF(INDEX('Input Contact Information'!$N$2:$N$200,V145)="","",INDEX('Input Contact Information'!$N$2:$N$200,V145))))&lt;&gt;"",IF(V145="","",IF(INDEX('Input Contact Information'!$N$2:$N$200,V145)="","",INDEX('Input Contact Information'!$N$2:$N$200,V145))),IF(V145="","",IF(INDEX('Input Contact Information'!$M$2:$M$200,V145)="","",INDEX('Input Contact Information'!$M$2:$M$200,V145)))))</f>
        <v/>
      </c>
      <c r="Q145" s="1" t="str">
        <f t="shared" si="9"/>
        <v/>
      </c>
      <c r="R145" s="1" t="str">
        <f>IF($B145="","",IF(X145="","",IF(INDEX('Engagements Overview'!$I$2:$I$200,X145)="","",INDEX('Engagements Overview'!$I$2:$I$200,X145))))</f>
        <v/>
      </c>
      <c r="S145" s="14" t="str">
        <f>IF($B145="","",IF(X145="","",IF(INDEX('Engagements Overview'!$K$2:$K$200,X145)="","",INDEX('Engagements Overview'!$K$2:$K$200,X145))))</f>
        <v/>
      </c>
      <c r="T145" s="1" t="str">
        <f>IF($B145="","",IF(V145="","",IF(INDEX('Input Contact Information'!$O$2:$O$200,V145)="","",INDEX('Input Contact Information'!$O$2:$O$200,V145))))</f>
        <v/>
      </c>
      <c r="U145" s="1" t="str">
        <f>IF($B145="","",IF(V145="","",IF(INDEX('Input Contact Information'!$P$2:$P$200,V145)="","",INDEX('Input Contact Information'!$P$2:$P$200,V145))))</f>
        <v/>
      </c>
      <c r="V145" s="1" t="str">
        <f>IF(B145="","",IFERROR(MATCH(B145&amp;"|"&amp;C145,'Input Contact Information'!$W$2:$W$200,0),""))</f>
        <v/>
      </c>
      <c r="W145" s="1" t="str">
        <f>IF(C145="","",IFERROR(MATCH(C145,'Accounts Overview'!$B$2:$B$100,0),""))</f>
        <v/>
      </c>
      <c r="X145" s="1" t="str">
        <f>IF(A145="","",IFERROR(MATCH(A145,'Engagements Overview'!$B$2:$B$200,0),""))</f>
        <v/>
      </c>
    </row>
    <row r="146" spans="1:24" ht="15" customHeight="1" x14ac:dyDescent="0.35">
      <c r="A146" s="13" t="str">
        <f t="shared" si="8"/>
        <v/>
      </c>
      <c r="B146" s="1" t="str">
        <f>IFERROR(INDEX('Input Contact Information'!$C$2:$C$200,MATCH(ROW()-1,'Input Contact Information'!$V$2:$V$200,0)),"")</f>
        <v/>
      </c>
      <c r="C146" s="1" t="str">
        <f>IFERROR(INDEX('Input Contact Information'!$B$2:$B$200,MATCH(ROW()-1,'Input Contact Information'!$V$2:$V$200,0)),"")</f>
        <v/>
      </c>
      <c r="D146" s="1" t="str">
        <f>IF($B146="","",IF(W146="","",INDEX('Accounts Overview'!$A$2:$A$100,W146)))</f>
        <v/>
      </c>
      <c r="E146" s="1" t="str">
        <f>IF($B146="","",IF(V146="","",IF(INDEX('Input Contact Information'!$D$2:$D$200,V146)="","",INDEX('Input Contact Information'!$D$2:$D$200,V146))))</f>
        <v/>
      </c>
      <c r="F146" s="1" t="str">
        <f>IF($B146="","",IF(V146="","",IF(INDEX('Input Contact Information'!$F$2:$F$200,V146)="","",INDEX('Input Contact Information'!$F$2:$F$200,V146))))</f>
        <v/>
      </c>
      <c r="G146" s="1" t="str">
        <f>IF($B146="","",IF(V146="","",IF(INDEX('Input Contact Information'!$E$2:$E$200,V146)="","",INDEX('Input Contact Information'!$E$2:$E$200,V146))))</f>
        <v/>
      </c>
      <c r="H146" s="1" t="str">
        <f>IF($B146="","",IF(V146="","",IF(INDEX('Input Contact Information'!$G$2:$G$200,V146)="","",INDEX('Input Contact Information'!$G$2:$G$200,V146))))</f>
        <v/>
      </c>
      <c r="I146" s="1" t="str">
        <f>IF($B146="","",IF(V146="","",IF(INDEX('Input Contact Information'!$H$2:$H$200,V146)="","",INDEX('Input Contact Information'!$H$2:$H$200,V146))))</f>
        <v/>
      </c>
      <c r="J146" s="1" t="str">
        <f>IF($B146="","",IF(V146="","",IF(INDEX('Input Contact Information'!$I$2:$I$200,V146)="","",INDEX('Input Contact Information'!$I$2:$I$200,V146))))</f>
        <v/>
      </c>
      <c r="K146" s="1" t="str">
        <f>IF($B146="","",IF(V146="","",IF(INDEX('Input Contact Information'!$A$2:$A$200,V146)="","",INDEX('Input Contact Information'!$A$2:$A$200,V146))))</f>
        <v/>
      </c>
      <c r="L146" s="1" t="str">
        <f>IF($B146="","",IF(W146="","",IF(INDEX('Accounts Overview'!$I$2:$I$100,W146)="","",INDEX('Accounts Overview'!$I$2:$I$100,W146))))</f>
        <v/>
      </c>
      <c r="M146" s="1" t="str">
        <f>IF($B146="","",IF(V146="","",IF(INDEX('Input Contact Information'!$J$2:$J$200,V146)="","",INDEX('Input Contact Information'!$J$2:$J$200,V146))))</f>
        <v/>
      </c>
      <c r="N146" s="1" t="str">
        <f>IF($B146="","",IF(V146="","",IF(INDEX('Input Contact Information'!$K$2:$K$200,V146)="","",INDEX('Input Contact Information'!$K$2:$K$200,V146))))</f>
        <v/>
      </c>
      <c r="O146" s="1" t="str">
        <f>IF($B146="","",IF(V146="","",IF(INDEX('Input Contact Information'!$L$2:$L$200,V146)="","",INDEX('Input Contact Information'!$L$2:$L$200,V146))))</f>
        <v/>
      </c>
      <c r="P146" s="1" t="str">
        <f>IF($B146="","",IF((IF(V146="","",IF(INDEX('Input Contact Information'!$N$2:$N$200,V146)="","",INDEX('Input Contact Information'!$N$2:$N$200,V146))))&lt;&gt;"",IF(V146="","",IF(INDEX('Input Contact Information'!$N$2:$N$200,V146)="","",INDEX('Input Contact Information'!$N$2:$N$200,V146))),IF(V146="","",IF(INDEX('Input Contact Information'!$M$2:$M$200,V146)="","",INDEX('Input Contact Information'!$M$2:$M$200,V146)))))</f>
        <v/>
      </c>
      <c r="Q146" s="1" t="str">
        <f t="shared" si="9"/>
        <v/>
      </c>
      <c r="R146" s="1" t="str">
        <f>IF($B146="","",IF(X146="","",IF(INDEX('Engagements Overview'!$I$2:$I$200,X146)="","",INDEX('Engagements Overview'!$I$2:$I$200,X146))))</f>
        <v/>
      </c>
      <c r="S146" s="14" t="str">
        <f>IF($B146="","",IF(X146="","",IF(INDEX('Engagements Overview'!$K$2:$K$200,X146)="","",INDEX('Engagements Overview'!$K$2:$K$200,X146))))</f>
        <v/>
      </c>
      <c r="T146" s="1" t="str">
        <f>IF($B146="","",IF(V146="","",IF(INDEX('Input Contact Information'!$O$2:$O$200,V146)="","",INDEX('Input Contact Information'!$O$2:$O$200,V146))))</f>
        <v/>
      </c>
      <c r="U146" s="1" t="str">
        <f>IF($B146="","",IF(V146="","",IF(INDEX('Input Contact Information'!$P$2:$P$200,V146)="","",INDEX('Input Contact Information'!$P$2:$P$200,V146))))</f>
        <v/>
      </c>
      <c r="V146" s="1" t="str">
        <f>IF(B146="","",IFERROR(MATCH(B146&amp;"|"&amp;C146,'Input Contact Information'!$W$2:$W$200,0),""))</f>
        <v/>
      </c>
      <c r="W146" s="1" t="str">
        <f>IF(C146="","",IFERROR(MATCH(C146,'Accounts Overview'!$B$2:$B$100,0),""))</f>
        <v/>
      </c>
      <c r="X146" s="1" t="str">
        <f>IF(A146="","",IFERROR(MATCH(A146,'Engagements Overview'!$B$2:$B$200,0),""))</f>
        <v/>
      </c>
    </row>
    <row r="147" spans="1:24" ht="15" customHeight="1" x14ac:dyDescent="0.35">
      <c r="A147" s="13" t="str">
        <f t="shared" si="8"/>
        <v/>
      </c>
      <c r="B147" s="1" t="str">
        <f>IFERROR(INDEX('Input Contact Information'!$C$2:$C$200,MATCH(ROW()-1,'Input Contact Information'!$V$2:$V$200,0)),"")</f>
        <v/>
      </c>
      <c r="C147" s="1" t="str">
        <f>IFERROR(INDEX('Input Contact Information'!$B$2:$B$200,MATCH(ROW()-1,'Input Contact Information'!$V$2:$V$200,0)),"")</f>
        <v/>
      </c>
      <c r="D147" s="1" t="str">
        <f>IF($B147="","",IF(W147="","",INDEX('Accounts Overview'!$A$2:$A$100,W147)))</f>
        <v/>
      </c>
      <c r="E147" s="1" t="str">
        <f>IF($B147="","",IF(V147="","",IF(INDEX('Input Contact Information'!$D$2:$D$200,V147)="","",INDEX('Input Contact Information'!$D$2:$D$200,V147))))</f>
        <v/>
      </c>
      <c r="F147" s="1" t="str">
        <f>IF($B147="","",IF(V147="","",IF(INDEX('Input Contact Information'!$F$2:$F$200,V147)="","",INDEX('Input Contact Information'!$F$2:$F$200,V147))))</f>
        <v/>
      </c>
      <c r="G147" s="1" t="str">
        <f>IF($B147="","",IF(V147="","",IF(INDEX('Input Contact Information'!$E$2:$E$200,V147)="","",INDEX('Input Contact Information'!$E$2:$E$200,V147))))</f>
        <v/>
      </c>
      <c r="H147" s="1" t="str">
        <f>IF($B147="","",IF(V147="","",IF(INDEX('Input Contact Information'!$G$2:$G$200,V147)="","",INDEX('Input Contact Information'!$G$2:$G$200,V147))))</f>
        <v/>
      </c>
      <c r="I147" s="1" t="str">
        <f>IF($B147="","",IF(V147="","",IF(INDEX('Input Contact Information'!$H$2:$H$200,V147)="","",INDEX('Input Contact Information'!$H$2:$H$200,V147))))</f>
        <v/>
      </c>
      <c r="J147" s="1" t="str">
        <f>IF($B147="","",IF(V147="","",IF(INDEX('Input Contact Information'!$I$2:$I$200,V147)="","",INDEX('Input Contact Information'!$I$2:$I$200,V147))))</f>
        <v/>
      </c>
      <c r="K147" s="1" t="str">
        <f>IF($B147="","",IF(V147="","",IF(INDEX('Input Contact Information'!$A$2:$A$200,V147)="","",INDEX('Input Contact Information'!$A$2:$A$200,V147))))</f>
        <v/>
      </c>
      <c r="L147" s="1" t="str">
        <f>IF($B147="","",IF(W147="","",IF(INDEX('Accounts Overview'!$I$2:$I$100,W147)="","",INDEX('Accounts Overview'!$I$2:$I$100,W147))))</f>
        <v/>
      </c>
      <c r="M147" s="1" t="str">
        <f>IF($B147="","",IF(V147="","",IF(INDEX('Input Contact Information'!$J$2:$J$200,V147)="","",INDEX('Input Contact Information'!$J$2:$J$200,V147))))</f>
        <v/>
      </c>
      <c r="N147" s="1" t="str">
        <f>IF($B147="","",IF(V147="","",IF(INDEX('Input Contact Information'!$K$2:$K$200,V147)="","",INDEX('Input Contact Information'!$K$2:$K$200,V147))))</f>
        <v/>
      </c>
      <c r="O147" s="1" t="str">
        <f>IF($B147="","",IF(V147="","",IF(INDEX('Input Contact Information'!$L$2:$L$200,V147)="","",INDEX('Input Contact Information'!$L$2:$L$200,V147))))</f>
        <v/>
      </c>
      <c r="P147" s="1" t="str">
        <f>IF($B147="","",IF((IF(V147="","",IF(INDEX('Input Contact Information'!$N$2:$N$200,V147)="","",INDEX('Input Contact Information'!$N$2:$N$200,V147))))&lt;&gt;"",IF(V147="","",IF(INDEX('Input Contact Information'!$N$2:$N$200,V147)="","",INDEX('Input Contact Information'!$N$2:$N$200,V147))),IF(V147="","",IF(INDEX('Input Contact Information'!$M$2:$M$200,V147)="","",INDEX('Input Contact Information'!$M$2:$M$200,V147)))))</f>
        <v/>
      </c>
      <c r="Q147" s="1" t="str">
        <f t="shared" si="9"/>
        <v/>
      </c>
      <c r="R147" s="1" t="str">
        <f>IF($B147="","",IF(X147="","",IF(INDEX('Engagements Overview'!$I$2:$I$200,X147)="","",INDEX('Engagements Overview'!$I$2:$I$200,X147))))</f>
        <v/>
      </c>
      <c r="S147" s="14" t="str">
        <f>IF($B147="","",IF(X147="","",IF(INDEX('Engagements Overview'!$K$2:$K$200,X147)="","",INDEX('Engagements Overview'!$K$2:$K$200,X147))))</f>
        <v/>
      </c>
      <c r="T147" s="1" t="str">
        <f>IF($B147="","",IF(V147="","",IF(INDEX('Input Contact Information'!$O$2:$O$200,V147)="","",INDEX('Input Contact Information'!$O$2:$O$200,V147))))</f>
        <v/>
      </c>
      <c r="U147" s="1" t="str">
        <f>IF($B147="","",IF(V147="","",IF(INDEX('Input Contact Information'!$P$2:$P$200,V147)="","",INDEX('Input Contact Information'!$P$2:$P$200,V147))))</f>
        <v/>
      </c>
      <c r="V147" s="1" t="str">
        <f>IF(B147="","",IFERROR(MATCH(B147&amp;"|"&amp;C147,'Input Contact Information'!$W$2:$W$200,0),""))</f>
        <v/>
      </c>
      <c r="W147" s="1" t="str">
        <f>IF(C147="","",IFERROR(MATCH(C147,'Accounts Overview'!$B$2:$B$100,0),""))</f>
        <v/>
      </c>
      <c r="X147" s="1" t="str">
        <f>IF(A147="","",IFERROR(MATCH(A147,'Engagements Overview'!$B$2:$B$200,0),""))</f>
        <v/>
      </c>
    </row>
    <row r="148" spans="1:24" ht="15" customHeight="1" x14ac:dyDescent="0.35">
      <c r="A148" s="13" t="str">
        <f t="shared" si="8"/>
        <v/>
      </c>
      <c r="B148" s="1" t="str">
        <f>IFERROR(INDEX('Input Contact Information'!$C$2:$C$200,MATCH(ROW()-1,'Input Contact Information'!$V$2:$V$200,0)),"")</f>
        <v/>
      </c>
      <c r="C148" s="1" t="str">
        <f>IFERROR(INDEX('Input Contact Information'!$B$2:$B$200,MATCH(ROW()-1,'Input Contact Information'!$V$2:$V$200,0)),"")</f>
        <v/>
      </c>
      <c r="D148" s="1" t="str">
        <f>IF($B148="","",IF(W148="","",INDEX('Accounts Overview'!$A$2:$A$100,W148)))</f>
        <v/>
      </c>
      <c r="E148" s="1" t="str">
        <f>IF($B148="","",IF(V148="","",IF(INDEX('Input Contact Information'!$D$2:$D$200,V148)="","",INDEX('Input Contact Information'!$D$2:$D$200,V148))))</f>
        <v/>
      </c>
      <c r="F148" s="1" t="str">
        <f>IF($B148="","",IF(V148="","",IF(INDEX('Input Contact Information'!$F$2:$F$200,V148)="","",INDEX('Input Contact Information'!$F$2:$F$200,V148))))</f>
        <v/>
      </c>
      <c r="G148" s="1" t="str">
        <f>IF($B148="","",IF(V148="","",IF(INDEX('Input Contact Information'!$E$2:$E$200,V148)="","",INDEX('Input Contact Information'!$E$2:$E$200,V148))))</f>
        <v/>
      </c>
      <c r="H148" s="1" t="str">
        <f>IF($B148="","",IF(V148="","",IF(INDEX('Input Contact Information'!$G$2:$G$200,V148)="","",INDEX('Input Contact Information'!$G$2:$G$200,V148))))</f>
        <v/>
      </c>
      <c r="I148" s="1" t="str">
        <f>IF($B148="","",IF(V148="","",IF(INDEX('Input Contact Information'!$H$2:$H$200,V148)="","",INDEX('Input Contact Information'!$H$2:$H$200,V148))))</f>
        <v/>
      </c>
      <c r="J148" s="1" t="str">
        <f>IF($B148="","",IF(V148="","",IF(INDEX('Input Contact Information'!$I$2:$I$200,V148)="","",INDEX('Input Contact Information'!$I$2:$I$200,V148))))</f>
        <v/>
      </c>
      <c r="K148" s="1" t="str">
        <f>IF($B148="","",IF(V148="","",IF(INDEX('Input Contact Information'!$A$2:$A$200,V148)="","",INDEX('Input Contact Information'!$A$2:$A$200,V148))))</f>
        <v/>
      </c>
      <c r="L148" s="1" t="str">
        <f>IF($B148="","",IF(W148="","",IF(INDEX('Accounts Overview'!$I$2:$I$100,W148)="","",INDEX('Accounts Overview'!$I$2:$I$100,W148))))</f>
        <v/>
      </c>
      <c r="M148" s="1" t="str">
        <f>IF($B148="","",IF(V148="","",IF(INDEX('Input Contact Information'!$J$2:$J$200,V148)="","",INDEX('Input Contact Information'!$J$2:$J$200,V148))))</f>
        <v/>
      </c>
      <c r="N148" s="1" t="str">
        <f>IF($B148="","",IF(V148="","",IF(INDEX('Input Contact Information'!$K$2:$K$200,V148)="","",INDEX('Input Contact Information'!$K$2:$K$200,V148))))</f>
        <v/>
      </c>
      <c r="O148" s="1" t="str">
        <f>IF($B148="","",IF(V148="","",IF(INDEX('Input Contact Information'!$L$2:$L$200,V148)="","",INDEX('Input Contact Information'!$L$2:$L$200,V148))))</f>
        <v/>
      </c>
      <c r="P148" s="1" t="str">
        <f>IF($B148="","",IF((IF(V148="","",IF(INDEX('Input Contact Information'!$N$2:$N$200,V148)="","",INDEX('Input Contact Information'!$N$2:$N$200,V148))))&lt;&gt;"",IF(V148="","",IF(INDEX('Input Contact Information'!$N$2:$N$200,V148)="","",INDEX('Input Contact Information'!$N$2:$N$200,V148))),IF(V148="","",IF(INDEX('Input Contact Information'!$M$2:$M$200,V148)="","",INDEX('Input Contact Information'!$M$2:$M$200,V148)))))</f>
        <v/>
      </c>
      <c r="Q148" s="1" t="str">
        <f t="shared" si="9"/>
        <v/>
      </c>
      <c r="R148" s="1" t="str">
        <f>IF($B148="","",IF(X148="","",IF(INDEX('Engagements Overview'!$I$2:$I$200,X148)="","",INDEX('Engagements Overview'!$I$2:$I$200,X148))))</f>
        <v/>
      </c>
      <c r="S148" s="14" t="str">
        <f>IF($B148="","",IF(X148="","",IF(INDEX('Engagements Overview'!$K$2:$K$200,X148)="","",INDEX('Engagements Overview'!$K$2:$K$200,X148))))</f>
        <v/>
      </c>
      <c r="T148" s="1" t="str">
        <f>IF($B148="","",IF(V148="","",IF(INDEX('Input Contact Information'!$O$2:$O$200,V148)="","",INDEX('Input Contact Information'!$O$2:$O$200,V148))))</f>
        <v/>
      </c>
      <c r="U148" s="1" t="str">
        <f>IF($B148="","",IF(V148="","",IF(INDEX('Input Contact Information'!$P$2:$P$200,V148)="","",INDEX('Input Contact Information'!$P$2:$P$200,V148))))</f>
        <v/>
      </c>
      <c r="V148" s="1" t="str">
        <f>IF(B148="","",IFERROR(MATCH(B148&amp;"|"&amp;C148,'Input Contact Information'!$W$2:$W$200,0),""))</f>
        <v/>
      </c>
      <c r="W148" s="1" t="str">
        <f>IF(C148="","",IFERROR(MATCH(C148,'Accounts Overview'!$B$2:$B$100,0),""))</f>
        <v/>
      </c>
      <c r="X148" s="1" t="str">
        <f>IF(A148="","",IFERROR(MATCH(A148,'Engagements Overview'!$B$2:$B$200,0),""))</f>
        <v/>
      </c>
    </row>
    <row r="149" spans="1:24" ht="15" customHeight="1" x14ac:dyDescent="0.35">
      <c r="A149" s="13" t="str">
        <f t="shared" si="8"/>
        <v/>
      </c>
      <c r="B149" s="1" t="str">
        <f>IFERROR(INDEX('Input Contact Information'!$C$2:$C$200,MATCH(ROW()-1,'Input Contact Information'!$V$2:$V$200,0)),"")</f>
        <v/>
      </c>
      <c r="C149" s="1" t="str">
        <f>IFERROR(INDEX('Input Contact Information'!$B$2:$B$200,MATCH(ROW()-1,'Input Contact Information'!$V$2:$V$200,0)),"")</f>
        <v/>
      </c>
      <c r="D149" s="1" t="str">
        <f>IF($B149="","",IF(W149="","",INDEX('Accounts Overview'!$A$2:$A$100,W149)))</f>
        <v/>
      </c>
      <c r="E149" s="1" t="str">
        <f>IF($B149="","",IF(V149="","",IF(INDEX('Input Contact Information'!$D$2:$D$200,V149)="","",INDEX('Input Contact Information'!$D$2:$D$200,V149))))</f>
        <v/>
      </c>
      <c r="F149" s="1" t="str">
        <f>IF($B149="","",IF(V149="","",IF(INDEX('Input Contact Information'!$F$2:$F$200,V149)="","",INDEX('Input Contact Information'!$F$2:$F$200,V149))))</f>
        <v/>
      </c>
      <c r="G149" s="1" t="str">
        <f>IF($B149="","",IF(V149="","",IF(INDEX('Input Contact Information'!$E$2:$E$200,V149)="","",INDEX('Input Contact Information'!$E$2:$E$200,V149))))</f>
        <v/>
      </c>
      <c r="H149" s="1" t="str">
        <f>IF($B149="","",IF(V149="","",IF(INDEX('Input Contact Information'!$G$2:$G$200,V149)="","",INDEX('Input Contact Information'!$G$2:$G$200,V149))))</f>
        <v/>
      </c>
      <c r="I149" s="1" t="str">
        <f>IF($B149="","",IF(V149="","",IF(INDEX('Input Contact Information'!$H$2:$H$200,V149)="","",INDEX('Input Contact Information'!$H$2:$H$200,V149))))</f>
        <v/>
      </c>
      <c r="J149" s="1" t="str">
        <f>IF($B149="","",IF(V149="","",IF(INDEX('Input Contact Information'!$I$2:$I$200,V149)="","",INDEX('Input Contact Information'!$I$2:$I$200,V149))))</f>
        <v/>
      </c>
      <c r="K149" s="1" t="str">
        <f>IF($B149="","",IF(V149="","",IF(INDEX('Input Contact Information'!$A$2:$A$200,V149)="","",INDEX('Input Contact Information'!$A$2:$A$200,V149))))</f>
        <v/>
      </c>
      <c r="L149" s="1" t="str">
        <f>IF($B149="","",IF(W149="","",IF(INDEX('Accounts Overview'!$I$2:$I$100,W149)="","",INDEX('Accounts Overview'!$I$2:$I$100,W149))))</f>
        <v/>
      </c>
      <c r="M149" s="1" t="str">
        <f>IF($B149="","",IF(V149="","",IF(INDEX('Input Contact Information'!$J$2:$J$200,V149)="","",INDEX('Input Contact Information'!$J$2:$J$200,V149))))</f>
        <v/>
      </c>
      <c r="N149" s="1" t="str">
        <f>IF($B149="","",IF(V149="","",IF(INDEX('Input Contact Information'!$K$2:$K$200,V149)="","",INDEX('Input Contact Information'!$K$2:$K$200,V149))))</f>
        <v/>
      </c>
      <c r="O149" s="1" t="str">
        <f>IF($B149="","",IF(V149="","",IF(INDEX('Input Contact Information'!$L$2:$L$200,V149)="","",INDEX('Input Contact Information'!$L$2:$L$200,V149))))</f>
        <v/>
      </c>
      <c r="P149" s="1" t="str">
        <f>IF($B149="","",IF((IF(V149="","",IF(INDEX('Input Contact Information'!$N$2:$N$200,V149)="","",INDEX('Input Contact Information'!$N$2:$N$200,V149))))&lt;&gt;"",IF(V149="","",IF(INDEX('Input Contact Information'!$N$2:$N$200,V149)="","",INDEX('Input Contact Information'!$N$2:$N$200,V149))),IF(V149="","",IF(INDEX('Input Contact Information'!$M$2:$M$200,V149)="","",INDEX('Input Contact Information'!$M$2:$M$200,V149)))))</f>
        <v/>
      </c>
      <c r="Q149" s="1" t="str">
        <f t="shared" si="9"/>
        <v/>
      </c>
      <c r="R149" s="1" t="str">
        <f>IF($B149="","",IF(X149="","",IF(INDEX('Engagements Overview'!$I$2:$I$200,X149)="","",INDEX('Engagements Overview'!$I$2:$I$200,X149))))</f>
        <v/>
      </c>
      <c r="S149" s="14" t="str">
        <f>IF($B149="","",IF(X149="","",IF(INDEX('Engagements Overview'!$K$2:$K$200,X149)="","",INDEX('Engagements Overview'!$K$2:$K$200,X149))))</f>
        <v/>
      </c>
      <c r="T149" s="1" t="str">
        <f>IF($B149="","",IF(V149="","",IF(INDEX('Input Contact Information'!$O$2:$O$200,V149)="","",INDEX('Input Contact Information'!$O$2:$O$200,V149))))</f>
        <v/>
      </c>
      <c r="U149" s="1" t="str">
        <f>IF($B149="","",IF(V149="","",IF(INDEX('Input Contact Information'!$P$2:$P$200,V149)="","",INDEX('Input Contact Information'!$P$2:$P$200,V149))))</f>
        <v/>
      </c>
      <c r="V149" s="1" t="str">
        <f>IF(B149="","",IFERROR(MATCH(B149&amp;"|"&amp;C149,'Input Contact Information'!$W$2:$W$200,0),""))</f>
        <v/>
      </c>
      <c r="W149" s="1" t="str">
        <f>IF(C149="","",IFERROR(MATCH(C149,'Accounts Overview'!$B$2:$B$100,0),""))</f>
        <v/>
      </c>
      <c r="X149" s="1" t="str">
        <f>IF(A149="","",IFERROR(MATCH(A149,'Engagements Overview'!$B$2:$B$200,0),""))</f>
        <v/>
      </c>
    </row>
    <row r="150" spans="1:24" ht="15" customHeight="1" x14ac:dyDescent="0.35">
      <c r="A150" s="13" t="str">
        <f t="shared" si="8"/>
        <v/>
      </c>
      <c r="B150" s="1" t="str">
        <f>IFERROR(INDEX('Input Contact Information'!$C$2:$C$200,MATCH(ROW()-1,'Input Contact Information'!$V$2:$V$200,0)),"")</f>
        <v/>
      </c>
      <c r="C150" s="1" t="str">
        <f>IFERROR(INDEX('Input Contact Information'!$B$2:$B$200,MATCH(ROW()-1,'Input Contact Information'!$V$2:$V$200,0)),"")</f>
        <v/>
      </c>
      <c r="D150" s="1" t="str">
        <f>IF($B150="","",IF(W150="","",INDEX('Accounts Overview'!$A$2:$A$100,W150)))</f>
        <v/>
      </c>
      <c r="E150" s="1" t="str">
        <f>IF($B150="","",IF(V150="","",IF(INDEX('Input Contact Information'!$D$2:$D$200,V150)="","",INDEX('Input Contact Information'!$D$2:$D$200,V150))))</f>
        <v/>
      </c>
      <c r="F150" s="1" t="str">
        <f>IF($B150="","",IF(V150="","",IF(INDEX('Input Contact Information'!$F$2:$F$200,V150)="","",INDEX('Input Contact Information'!$F$2:$F$200,V150))))</f>
        <v/>
      </c>
      <c r="G150" s="1" t="str">
        <f>IF($B150="","",IF(V150="","",IF(INDEX('Input Contact Information'!$E$2:$E$200,V150)="","",INDEX('Input Contact Information'!$E$2:$E$200,V150))))</f>
        <v/>
      </c>
      <c r="H150" s="1" t="str">
        <f>IF($B150="","",IF(V150="","",IF(INDEX('Input Contact Information'!$G$2:$G$200,V150)="","",INDEX('Input Contact Information'!$G$2:$G$200,V150))))</f>
        <v/>
      </c>
      <c r="I150" s="1" t="str">
        <f>IF($B150="","",IF(V150="","",IF(INDEX('Input Contact Information'!$H$2:$H$200,V150)="","",INDEX('Input Contact Information'!$H$2:$H$200,V150))))</f>
        <v/>
      </c>
      <c r="J150" s="1" t="str">
        <f>IF($B150="","",IF(V150="","",IF(INDEX('Input Contact Information'!$I$2:$I$200,V150)="","",INDEX('Input Contact Information'!$I$2:$I$200,V150))))</f>
        <v/>
      </c>
      <c r="K150" s="1" t="str">
        <f>IF($B150="","",IF(V150="","",IF(INDEX('Input Contact Information'!$A$2:$A$200,V150)="","",INDEX('Input Contact Information'!$A$2:$A$200,V150))))</f>
        <v/>
      </c>
      <c r="L150" s="1" t="str">
        <f>IF($B150="","",IF(W150="","",IF(INDEX('Accounts Overview'!$I$2:$I$100,W150)="","",INDEX('Accounts Overview'!$I$2:$I$100,W150))))</f>
        <v/>
      </c>
      <c r="M150" s="1" t="str">
        <f>IF($B150="","",IF(V150="","",IF(INDEX('Input Contact Information'!$J$2:$J$200,V150)="","",INDEX('Input Contact Information'!$J$2:$J$200,V150))))</f>
        <v/>
      </c>
      <c r="N150" s="1" t="str">
        <f>IF($B150="","",IF(V150="","",IF(INDEX('Input Contact Information'!$K$2:$K$200,V150)="","",INDEX('Input Contact Information'!$K$2:$K$200,V150))))</f>
        <v/>
      </c>
      <c r="O150" s="1" t="str">
        <f>IF($B150="","",IF(V150="","",IF(INDEX('Input Contact Information'!$L$2:$L$200,V150)="","",INDEX('Input Contact Information'!$L$2:$L$200,V150))))</f>
        <v/>
      </c>
      <c r="P150" s="1" t="str">
        <f>IF($B150="","",IF((IF(V150="","",IF(INDEX('Input Contact Information'!$N$2:$N$200,V150)="","",INDEX('Input Contact Information'!$N$2:$N$200,V150))))&lt;&gt;"",IF(V150="","",IF(INDEX('Input Contact Information'!$N$2:$N$200,V150)="","",INDEX('Input Contact Information'!$N$2:$N$200,V150))),IF(V150="","",IF(INDEX('Input Contact Information'!$M$2:$M$200,V150)="","",INDEX('Input Contact Information'!$M$2:$M$200,V150)))))</f>
        <v/>
      </c>
      <c r="Q150" s="1" t="str">
        <f t="shared" si="9"/>
        <v/>
      </c>
      <c r="R150" s="1" t="str">
        <f>IF($B150="","",IF(X150="","",IF(INDEX('Engagements Overview'!$I$2:$I$200,X150)="","",INDEX('Engagements Overview'!$I$2:$I$200,X150))))</f>
        <v/>
      </c>
      <c r="S150" s="14" t="str">
        <f>IF($B150="","",IF(X150="","",IF(INDEX('Engagements Overview'!$K$2:$K$200,X150)="","",INDEX('Engagements Overview'!$K$2:$K$200,X150))))</f>
        <v/>
      </c>
      <c r="T150" s="1" t="str">
        <f>IF($B150="","",IF(V150="","",IF(INDEX('Input Contact Information'!$O$2:$O$200,V150)="","",INDEX('Input Contact Information'!$O$2:$O$200,V150))))</f>
        <v/>
      </c>
      <c r="U150" s="1" t="str">
        <f>IF($B150="","",IF(V150="","",IF(INDEX('Input Contact Information'!$P$2:$P$200,V150)="","",INDEX('Input Contact Information'!$P$2:$P$200,V150))))</f>
        <v/>
      </c>
      <c r="V150" s="1" t="str">
        <f>IF(B150="","",IFERROR(MATCH(B150&amp;"|"&amp;C150,'Input Contact Information'!$W$2:$W$200,0),""))</f>
        <v/>
      </c>
      <c r="W150" s="1" t="str">
        <f>IF(C150="","",IFERROR(MATCH(C150,'Accounts Overview'!$B$2:$B$100,0),""))</f>
        <v/>
      </c>
      <c r="X150" s="1" t="str">
        <f>IF(A150="","",IFERROR(MATCH(A150,'Engagements Overview'!$B$2:$B$200,0),""))</f>
        <v/>
      </c>
    </row>
    <row r="151" spans="1:24" ht="15" customHeight="1" x14ac:dyDescent="0.35">
      <c r="A151" s="13" t="str">
        <f t="shared" si="8"/>
        <v/>
      </c>
      <c r="B151" s="1" t="str">
        <f>IFERROR(INDEX('Input Contact Information'!$C$2:$C$200,MATCH(ROW()-1,'Input Contact Information'!$V$2:$V$200,0)),"")</f>
        <v/>
      </c>
      <c r="C151" s="1" t="str">
        <f>IFERROR(INDEX('Input Contact Information'!$B$2:$B$200,MATCH(ROW()-1,'Input Contact Information'!$V$2:$V$200,0)),"")</f>
        <v/>
      </c>
      <c r="D151" s="1" t="str">
        <f>IF($B151="","",IF(W151="","",INDEX('Accounts Overview'!$A$2:$A$100,W151)))</f>
        <v/>
      </c>
      <c r="E151" s="1" t="str">
        <f>IF($B151="","",IF(V151="","",IF(INDEX('Input Contact Information'!$D$2:$D$200,V151)="","",INDEX('Input Contact Information'!$D$2:$D$200,V151))))</f>
        <v/>
      </c>
      <c r="F151" s="1" t="str">
        <f>IF($B151="","",IF(V151="","",IF(INDEX('Input Contact Information'!$F$2:$F$200,V151)="","",INDEX('Input Contact Information'!$F$2:$F$200,V151))))</f>
        <v/>
      </c>
      <c r="G151" s="1" t="str">
        <f>IF($B151="","",IF(V151="","",IF(INDEX('Input Contact Information'!$E$2:$E$200,V151)="","",INDEX('Input Contact Information'!$E$2:$E$200,V151))))</f>
        <v/>
      </c>
      <c r="H151" s="1" t="str">
        <f>IF($B151="","",IF(V151="","",IF(INDEX('Input Contact Information'!$G$2:$G$200,V151)="","",INDEX('Input Contact Information'!$G$2:$G$200,V151))))</f>
        <v/>
      </c>
      <c r="I151" s="1" t="str">
        <f>IF($B151="","",IF(V151="","",IF(INDEX('Input Contact Information'!$H$2:$H$200,V151)="","",INDEX('Input Contact Information'!$H$2:$H$200,V151))))</f>
        <v/>
      </c>
      <c r="J151" s="1" t="str">
        <f>IF($B151="","",IF(V151="","",IF(INDEX('Input Contact Information'!$I$2:$I$200,V151)="","",INDEX('Input Contact Information'!$I$2:$I$200,V151))))</f>
        <v/>
      </c>
      <c r="K151" s="1" t="str">
        <f>IF($B151="","",IF(V151="","",IF(INDEX('Input Contact Information'!$A$2:$A$200,V151)="","",INDEX('Input Contact Information'!$A$2:$A$200,V151))))</f>
        <v/>
      </c>
      <c r="L151" s="1" t="str">
        <f>IF($B151="","",IF(W151="","",IF(INDEX('Accounts Overview'!$I$2:$I$100,W151)="","",INDEX('Accounts Overview'!$I$2:$I$100,W151))))</f>
        <v/>
      </c>
      <c r="M151" s="1" t="str">
        <f>IF($B151="","",IF(V151="","",IF(INDEX('Input Contact Information'!$J$2:$J$200,V151)="","",INDEX('Input Contact Information'!$J$2:$J$200,V151))))</f>
        <v/>
      </c>
      <c r="N151" s="1" t="str">
        <f>IF($B151="","",IF(V151="","",IF(INDEX('Input Contact Information'!$K$2:$K$200,V151)="","",INDEX('Input Contact Information'!$K$2:$K$200,V151))))</f>
        <v/>
      </c>
      <c r="O151" s="1" t="str">
        <f>IF($B151="","",IF(V151="","",IF(INDEX('Input Contact Information'!$L$2:$L$200,V151)="","",INDEX('Input Contact Information'!$L$2:$L$200,V151))))</f>
        <v/>
      </c>
      <c r="P151" s="1" t="str">
        <f>IF($B151="","",IF((IF(V151="","",IF(INDEX('Input Contact Information'!$N$2:$N$200,V151)="","",INDEX('Input Contact Information'!$N$2:$N$200,V151))))&lt;&gt;"",IF(V151="","",IF(INDEX('Input Contact Information'!$N$2:$N$200,V151)="","",INDEX('Input Contact Information'!$N$2:$N$200,V151))),IF(V151="","",IF(INDEX('Input Contact Information'!$M$2:$M$200,V151)="","",INDEX('Input Contact Information'!$M$2:$M$200,V151)))))</f>
        <v/>
      </c>
      <c r="Q151" s="1" t="str">
        <f t="shared" si="9"/>
        <v/>
      </c>
      <c r="R151" s="1" t="str">
        <f>IF($B151="","",IF(X151="","",IF(INDEX('Engagements Overview'!$I$2:$I$200,X151)="","",INDEX('Engagements Overview'!$I$2:$I$200,X151))))</f>
        <v/>
      </c>
      <c r="S151" s="14" t="str">
        <f>IF($B151="","",IF(X151="","",IF(INDEX('Engagements Overview'!$K$2:$K$200,X151)="","",INDEX('Engagements Overview'!$K$2:$K$200,X151))))</f>
        <v/>
      </c>
      <c r="T151" s="1" t="str">
        <f>IF($B151="","",IF(V151="","",IF(INDEX('Input Contact Information'!$O$2:$O$200,V151)="","",INDEX('Input Contact Information'!$O$2:$O$200,V151))))</f>
        <v/>
      </c>
      <c r="U151" s="1" t="str">
        <f>IF($B151="","",IF(V151="","",IF(INDEX('Input Contact Information'!$P$2:$P$200,V151)="","",INDEX('Input Contact Information'!$P$2:$P$200,V151))))</f>
        <v/>
      </c>
      <c r="V151" s="1" t="str">
        <f>IF(B151="","",IFERROR(MATCH(B151&amp;"|"&amp;C151,'Input Contact Information'!$W$2:$W$200,0),""))</f>
        <v/>
      </c>
      <c r="W151" s="1" t="str">
        <f>IF(C151="","",IFERROR(MATCH(C151,'Accounts Overview'!$B$2:$B$100,0),""))</f>
        <v/>
      </c>
      <c r="X151" s="1" t="str">
        <f>IF(A151="","",IFERROR(MATCH(A151,'Engagements Overview'!$B$2:$B$200,0),""))</f>
        <v/>
      </c>
    </row>
    <row r="152" spans="1:24" ht="15" customHeight="1" x14ac:dyDescent="0.35">
      <c r="A152" s="13" t="str">
        <f t="shared" si="8"/>
        <v/>
      </c>
      <c r="B152" s="1" t="str">
        <f>IFERROR(INDEX('Input Contact Information'!$C$2:$C$200,MATCH(ROW()-1,'Input Contact Information'!$V$2:$V$200,0)),"")</f>
        <v/>
      </c>
      <c r="C152" s="1" t="str">
        <f>IFERROR(INDEX('Input Contact Information'!$B$2:$B$200,MATCH(ROW()-1,'Input Contact Information'!$V$2:$V$200,0)),"")</f>
        <v/>
      </c>
      <c r="D152" s="1" t="str">
        <f>IF($B152="","",IF(W152="","",INDEX('Accounts Overview'!$A$2:$A$100,W152)))</f>
        <v/>
      </c>
      <c r="E152" s="1" t="str">
        <f>IF($B152="","",IF(V152="","",IF(INDEX('Input Contact Information'!$D$2:$D$200,V152)="","",INDEX('Input Contact Information'!$D$2:$D$200,V152))))</f>
        <v/>
      </c>
      <c r="F152" s="1" t="str">
        <f>IF($B152="","",IF(V152="","",IF(INDEX('Input Contact Information'!$F$2:$F$200,V152)="","",INDEX('Input Contact Information'!$F$2:$F$200,V152))))</f>
        <v/>
      </c>
      <c r="G152" s="1" t="str">
        <f>IF($B152="","",IF(V152="","",IF(INDEX('Input Contact Information'!$E$2:$E$200,V152)="","",INDEX('Input Contact Information'!$E$2:$E$200,V152))))</f>
        <v/>
      </c>
      <c r="H152" s="1" t="str">
        <f>IF($B152="","",IF(V152="","",IF(INDEX('Input Contact Information'!$G$2:$G$200,V152)="","",INDEX('Input Contact Information'!$G$2:$G$200,V152))))</f>
        <v/>
      </c>
      <c r="I152" s="1" t="str">
        <f>IF($B152="","",IF(V152="","",IF(INDEX('Input Contact Information'!$H$2:$H$200,V152)="","",INDEX('Input Contact Information'!$H$2:$H$200,V152))))</f>
        <v/>
      </c>
      <c r="J152" s="1" t="str">
        <f>IF($B152="","",IF(V152="","",IF(INDEX('Input Contact Information'!$I$2:$I$200,V152)="","",INDEX('Input Contact Information'!$I$2:$I$200,V152))))</f>
        <v/>
      </c>
      <c r="K152" s="1" t="str">
        <f>IF($B152="","",IF(V152="","",IF(INDEX('Input Contact Information'!$A$2:$A$200,V152)="","",INDEX('Input Contact Information'!$A$2:$A$200,V152))))</f>
        <v/>
      </c>
      <c r="L152" s="1" t="str">
        <f>IF($B152="","",IF(W152="","",IF(INDEX('Accounts Overview'!$I$2:$I$100,W152)="","",INDEX('Accounts Overview'!$I$2:$I$100,W152))))</f>
        <v/>
      </c>
      <c r="M152" s="1" t="str">
        <f>IF($B152="","",IF(V152="","",IF(INDEX('Input Contact Information'!$J$2:$J$200,V152)="","",INDEX('Input Contact Information'!$J$2:$J$200,V152))))</f>
        <v/>
      </c>
      <c r="N152" s="1" t="str">
        <f>IF($B152="","",IF(V152="","",IF(INDEX('Input Contact Information'!$K$2:$K$200,V152)="","",INDEX('Input Contact Information'!$K$2:$K$200,V152))))</f>
        <v/>
      </c>
      <c r="O152" s="1" t="str">
        <f>IF($B152="","",IF(V152="","",IF(INDEX('Input Contact Information'!$L$2:$L$200,V152)="","",INDEX('Input Contact Information'!$L$2:$L$200,V152))))</f>
        <v/>
      </c>
      <c r="P152" s="1" t="str">
        <f>IF($B152="","",IF((IF(V152="","",IF(INDEX('Input Contact Information'!$N$2:$N$200,V152)="","",INDEX('Input Contact Information'!$N$2:$N$200,V152))))&lt;&gt;"",IF(V152="","",IF(INDEX('Input Contact Information'!$N$2:$N$200,V152)="","",INDEX('Input Contact Information'!$N$2:$N$200,V152))),IF(V152="","",IF(INDEX('Input Contact Information'!$M$2:$M$200,V152)="","",INDEX('Input Contact Information'!$M$2:$M$200,V152)))))</f>
        <v/>
      </c>
      <c r="Q152" s="1" t="str">
        <f t="shared" si="9"/>
        <v/>
      </c>
      <c r="R152" s="1" t="str">
        <f>IF($B152="","",IF(X152="","",IF(INDEX('Engagements Overview'!$I$2:$I$200,X152)="","",INDEX('Engagements Overview'!$I$2:$I$200,X152))))</f>
        <v/>
      </c>
      <c r="S152" s="14" t="str">
        <f>IF($B152="","",IF(X152="","",IF(INDEX('Engagements Overview'!$K$2:$K$200,X152)="","",INDEX('Engagements Overview'!$K$2:$K$200,X152))))</f>
        <v/>
      </c>
      <c r="T152" s="1" t="str">
        <f>IF($B152="","",IF(V152="","",IF(INDEX('Input Contact Information'!$O$2:$O$200,V152)="","",INDEX('Input Contact Information'!$O$2:$O$200,V152))))</f>
        <v/>
      </c>
      <c r="U152" s="1" t="str">
        <f>IF($B152="","",IF(V152="","",IF(INDEX('Input Contact Information'!$P$2:$P$200,V152)="","",INDEX('Input Contact Information'!$P$2:$P$200,V152))))</f>
        <v/>
      </c>
      <c r="V152" s="1" t="str">
        <f>IF(B152="","",IFERROR(MATCH(B152&amp;"|"&amp;C152,'Input Contact Information'!$W$2:$W$200,0),""))</f>
        <v/>
      </c>
      <c r="W152" s="1" t="str">
        <f>IF(C152="","",IFERROR(MATCH(C152,'Accounts Overview'!$B$2:$B$100,0),""))</f>
        <v/>
      </c>
      <c r="X152" s="1" t="str">
        <f>IF(A152="","",IFERROR(MATCH(A152,'Engagements Overview'!$B$2:$B$200,0),""))</f>
        <v/>
      </c>
    </row>
    <row r="153" spans="1:24" ht="15" customHeight="1" x14ac:dyDescent="0.35">
      <c r="A153" s="13" t="str">
        <f t="shared" si="8"/>
        <v/>
      </c>
      <c r="B153" s="1" t="str">
        <f>IFERROR(INDEX('Input Contact Information'!$C$2:$C$200,MATCH(ROW()-1,'Input Contact Information'!$V$2:$V$200,0)),"")</f>
        <v/>
      </c>
      <c r="C153" s="1" t="str">
        <f>IFERROR(INDEX('Input Contact Information'!$B$2:$B$200,MATCH(ROW()-1,'Input Contact Information'!$V$2:$V$200,0)),"")</f>
        <v/>
      </c>
      <c r="D153" s="1" t="str">
        <f>IF($B153="","",IF(W153="","",INDEX('Accounts Overview'!$A$2:$A$100,W153)))</f>
        <v/>
      </c>
      <c r="E153" s="1" t="str">
        <f>IF($B153="","",IF(V153="","",IF(INDEX('Input Contact Information'!$D$2:$D$200,V153)="","",INDEX('Input Contact Information'!$D$2:$D$200,V153))))</f>
        <v/>
      </c>
      <c r="F153" s="1" t="str">
        <f>IF($B153="","",IF(V153="","",IF(INDEX('Input Contact Information'!$F$2:$F$200,V153)="","",INDEX('Input Contact Information'!$F$2:$F$200,V153))))</f>
        <v/>
      </c>
      <c r="G153" s="1" t="str">
        <f>IF($B153="","",IF(V153="","",IF(INDEX('Input Contact Information'!$E$2:$E$200,V153)="","",INDEX('Input Contact Information'!$E$2:$E$200,V153))))</f>
        <v/>
      </c>
      <c r="H153" s="1" t="str">
        <f>IF($B153="","",IF(V153="","",IF(INDEX('Input Contact Information'!$G$2:$G$200,V153)="","",INDEX('Input Contact Information'!$G$2:$G$200,V153))))</f>
        <v/>
      </c>
      <c r="I153" s="1" t="str">
        <f>IF($B153="","",IF(V153="","",IF(INDEX('Input Contact Information'!$H$2:$H$200,V153)="","",INDEX('Input Contact Information'!$H$2:$H$200,V153))))</f>
        <v/>
      </c>
      <c r="J153" s="1" t="str">
        <f>IF($B153="","",IF(V153="","",IF(INDEX('Input Contact Information'!$I$2:$I$200,V153)="","",INDEX('Input Contact Information'!$I$2:$I$200,V153))))</f>
        <v/>
      </c>
      <c r="K153" s="1" t="str">
        <f>IF($B153="","",IF(V153="","",IF(INDEX('Input Contact Information'!$A$2:$A$200,V153)="","",INDEX('Input Contact Information'!$A$2:$A$200,V153))))</f>
        <v/>
      </c>
      <c r="L153" s="1" t="str">
        <f>IF($B153="","",IF(W153="","",IF(INDEX('Accounts Overview'!$I$2:$I$100,W153)="","",INDEX('Accounts Overview'!$I$2:$I$100,W153))))</f>
        <v/>
      </c>
      <c r="M153" s="1" t="str">
        <f>IF($B153="","",IF(V153="","",IF(INDEX('Input Contact Information'!$J$2:$J$200,V153)="","",INDEX('Input Contact Information'!$J$2:$J$200,V153))))</f>
        <v/>
      </c>
      <c r="N153" s="1" t="str">
        <f>IF($B153="","",IF(V153="","",IF(INDEX('Input Contact Information'!$K$2:$K$200,V153)="","",INDEX('Input Contact Information'!$K$2:$K$200,V153))))</f>
        <v/>
      </c>
      <c r="O153" s="1" t="str">
        <f>IF($B153="","",IF(V153="","",IF(INDEX('Input Contact Information'!$L$2:$L$200,V153)="","",INDEX('Input Contact Information'!$L$2:$L$200,V153))))</f>
        <v/>
      </c>
      <c r="P153" s="1" t="str">
        <f>IF($B153="","",IF((IF(V153="","",IF(INDEX('Input Contact Information'!$N$2:$N$200,V153)="","",INDEX('Input Contact Information'!$N$2:$N$200,V153))))&lt;&gt;"",IF(V153="","",IF(INDEX('Input Contact Information'!$N$2:$N$200,V153)="","",INDEX('Input Contact Information'!$N$2:$N$200,V153))),IF(V153="","",IF(INDEX('Input Contact Information'!$M$2:$M$200,V153)="","",INDEX('Input Contact Information'!$M$2:$M$200,V153)))))</f>
        <v/>
      </c>
      <c r="Q153" s="1" t="str">
        <f t="shared" si="9"/>
        <v/>
      </c>
      <c r="R153" s="1" t="str">
        <f>IF($B153="","",IF(X153="","",IF(INDEX('Engagements Overview'!$I$2:$I$200,X153)="","",INDEX('Engagements Overview'!$I$2:$I$200,X153))))</f>
        <v/>
      </c>
      <c r="S153" s="14" t="str">
        <f>IF($B153="","",IF(X153="","",IF(INDEX('Engagements Overview'!$K$2:$K$200,X153)="","",INDEX('Engagements Overview'!$K$2:$K$200,X153))))</f>
        <v/>
      </c>
      <c r="T153" s="1" t="str">
        <f>IF($B153="","",IF(V153="","",IF(INDEX('Input Contact Information'!$O$2:$O$200,V153)="","",INDEX('Input Contact Information'!$O$2:$O$200,V153))))</f>
        <v/>
      </c>
      <c r="U153" s="1" t="str">
        <f>IF($B153="","",IF(V153="","",IF(INDEX('Input Contact Information'!$P$2:$P$200,V153)="","",INDEX('Input Contact Information'!$P$2:$P$200,V153))))</f>
        <v/>
      </c>
      <c r="V153" s="1" t="str">
        <f>IF(B153="","",IFERROR(MATCH(B153&amp;"|"&amp;C153,'Input Contact Information'!$W$2:$W$200,0),""))</f>
        <v/>
      </c>
      <c r="W153" s="1" t="str">
        <f>IF(C153="","",IFERROR(MATCH(C153,'Accounts Overview'!$B$2:$B$100,0),""))</f>
        <v/>
      </c>
      <c r="X153" s="1" t="str">
        <f>IF(A153="","",IFERROR(MATCH(A153,'Engagements Overview'!$B$2:$B$200,0),""))</f>
        <v/>
      </c>
    </row>
    <row r="154" spans="1:24" ht="15" customHeight="1" x14ac:dyDescent="0.35">
      <c r="A154" s="13" t="str">
        <f t="shared" si="8"/>
        <v/>
      </c>
      <c r="B154" s="1" t="str">
        <f>IFERROR(INDEX('Input Contact Information'!$C$2:$C$200,MATCH(ROW()-1,'Input Contact Information'!$V$2:$V$200,0)),"")</f>
        <v/>
      </c>
      <c r="C154" s="1" t="str">
        <f>IFERROR(INDEX('Input Contact Information'!$B$2:$B$200,MATCH(ROW()-1,'Input Contact Information'!$V$2:$V$200,0)),"")</f>
        <v/>
      </c>
      <c r="D154" s="1" t="str">
        <f>IF($B154="","",IF(W154="","",INDEX('Accounts Overview'!$A$2:$A$100,W154)))</f>
        <v/>
      </c>
      <c r="E154" s="1" t="str">
        <f>IF($B154="","",IF(V154="","",IF(INDEX('Input Contact Information'!$D$2:$D$200,V154)="","",INDEX('Input Contact Information'!$D$2:$D$200,V154))))</f>
        <v/>
      </c>
      <c r="F154" s="1" t="str">
        <f>IF($B154="","",IF(V154="","",IF(INDEX('Input Contact Information'!$F$2:$F$200,V154)="","",INDEX('Input Contact Information'!$F$2:$F$200,V154))))</f>
        <v/>
      </c>
      <c r="G154" s="1" t="str">
        <f>IF($B154="","",IF(V154="","",IF(INDEX('Input Contact Information'!$E$2:$E$200,V154)="","",INDEX('Input Contact Information'!$E$2:$E$200,V154))))</f>
        <v/>
      </c>
      <c r="H154" s="1" t="str">
        <f>IF($B154="","",IF(V154="","",IF(INDEX('Input Contact Information'!$G$2:$G$200,V154)="","",INDEX('Input Contact Information'!$G$2:$G$200,V154))))</f>
        <v/>
      </c>
      <c r="I154" s="1" t="str">
        <f>IF($B154="","",IF(V154="","",IF(INDEX('Input Contact Information'!$H$2:$H$200,V154)="","",INDEX('Input Contact Information'!$H$2:$H$200,V154))))</f>
        <v/>
      </c>
      <c r="J154" s="1" t="str">
        <f>IF($B154="","",IF(V154="","",IF(INDEX('Input Contact Information'!$I$2:$I$200,V154)="","",INDEX('Input Contact Information'!$I$2:$I$200,V154))))</f>
        <v/>
      </c>
      <c r="K154" s="1" t="str">
        <f>IF($B154="","",IF(V154="","",IF(INDEX('Input Contact Information'!$A$2:$A$200,V154)="","",INDEX('Input Contact Information'!$A$2:$A$200,V154))))</f>
        <v/>
      </c>
      <c r="L154" s="1" t="str">
        <f>IF($B154="","",IF(W154="","",IF(INDEX('Accounts Overview'!$I$2:$I$100,W154)="","",INDEX('Accounts Overview'!$I$2:$I$100,W154))))</f>
        <v/>
      </c>
      <c r="M154" s="1" t="str">
        <f>IF($B154="","",IF(V154="","",IF(INDEX('Input Contact Information'!$J$2:$J$200,V154)="","",INDEX('Input Contact Information'!$J$2:$J$200,V154))))</f>
        <v/>
      </c>
      <c r="N154" s="1" t="str">
        <f>IF($B154="","",IF(V154="","",IF(INDEX('Input Contact Information'!$K$2:$K$200,V154)="","",INDEX('Input Contact Information'!$K$2:$K$200,V154))))</f>
        <v/>
      </c>
      <c r="O154" s="1" t="str">
        <f>IF($B154="","",IF(V154="","",IF(INDEX('Input Contact Information'!$L$2:$L$200,V154)="","",INDEX('Input Contact Information'!$L$2:$L$200,V154))))</f>
        <v/>
      </c>
      <c r="P154" s="1" t="str">
        <f>IF($B154="","",IF((IF(V154="","",IF(INDEX('Input Contact Information'!$N$2:$N$200,V154)="","",INDEX('Input Contact Information'!$N$2:$N$200,V154))))&lt;&gt;"",IF(V154="","",IF(INDEX('Input Contact Information'!$N$2:$N$200,V154)="","",INDEX('Input Contact Information'!$N$2:$N$200,V154))),IF(V154="","",IF(INDEX('Input Contact Information'!$M$2:$M$200,V154)="","",INDEX('Input Contact Information'!$M$2:$M$200,V154)))))</f>
        <v/>
      </c>
      <c r="Q154" s="1" t="str">
        <f t="shared" si="9"/>
        <v/>
      </c>
      <c r="R154" s="1" t="str">
        <f>IF($B154="","",IF(X154="","",IF(INDEX('Engagements Overview'!$I$2:$I$200,X154)="","",INDEX('Engagements Overview'!$I$2:$I$200,X154))))</f>
        <v/>
      </c>
      <c r="S154" s="14" t="str">
        <f>IF($B154="","",IF(X154="","",IF(INDEX('Engagements Overview'!$K$2:$K$200,X154)="","",INDEX('Engagements Overview'!$K$2:$K$200,X154))))</f>
        <v/>
      </c>
      <c r="T154" s="1" t="str">
        <f>IF($B154="","",IF(V154="","",IF(INDEX('Input Contact Information'!$O$2:$O$200,V154)="","",INDEX('Input Contact Information'!$O$2:$O$200,V154))))</f>
        <v/>
      </c>
      <c r="U154" s="1" t="str">
        <f>IF($B154="","",IF(V154="","",IF(INDEX('Input Contact Information'!$P$2:$P$200,V154)="","",INDEX('Input Contact Information'!$P$2:$P$200,V154))))</f>
        <v/>
      </c>
      <c r="V154" s="1" t="str">
        <f>IF(B154="","",IFERROR(MATCH(B154&amp;"|"&amp;C154,'Input Contact Information'!$W$2:$W$200,0),""))</f>
        <v/>
      </c>
      <c r="W154" s="1" t="str">
        <f>IF(C154="","",IFERROR(MATCH(C154,'Accounts Overview'!$B$2:$B$100,0),""))</f>
        <v/>
      </c>
      <c r="X154" s="1" t="str">
        <f>IF(A154="","",IFERROR(MATCH(A154,'Engagements Overview'!$B$2:$B$200,0),""))</f>
        <v/>
      </c>
    </row>
    <row r="155" spans="1:24" ht="15" customHeight="1" x14ac:dyDescent="0.35">
      <c r="A155" s="13" t="str">
        <f t="shared" si="8"/>
        <v/>
      </c>
      <c r="B155" s="1" t="str">
        <f>IFERROR(INDEX('Input Contact Information'!$C$2:$C$200,MATCH(ROW()-1,'Input Contact Information'!$V$2:$V$200,0)),"")</f>
        <v/>
      </c>
      <c r="C155" s="1" t="str">
        <f>IFERROR(INDEX('Input Contact Information'!$B$2:$B$200,MATCH(ROW()-1,'Input Contact Information'!$V$2:$V$200,0)),"")</f>
        <v/>
      </c>
      <c r="D155" s="1" t="str">
        <f>IF($B155="","",IF(W155="","",INDEX('Accounts Overview'!$A$2:$A$100,W155)))</f>
        <v/>
      </c>
      <c r="E155" s="1" t="str">
        <f>IF($B155="","",IF(V155="","",IF(INDEX('Input Contact Information'!$D$2:$D$200,V155)="","",INDEX('Input Contact Information'!$D$2:$D$200,V155))))</f>
        <v/>
      </c>
      <c r="F155" s="1" t="str">
        <f>IF($B155="","",IF(V155="","",IF(INDEX('Input Contact Information'!$F$2:$F$200,V155)="","",INDEX('Input Contact Information'!$F$2:$F$200,V155))))</f>
        <v/>
      </c>
      <c r="G155" s="1" t="str">
        <f>IF($B155="","",IF(V155="","",IF(INDEX('Input Contact Information'!$E$2:$E$200,V155)="","",INDEX('Input Contact Information'!$E$2:$E$200,V155))))</f>
        <v/>
      </c>
      <c r="H155" s="1" t="str">
        <f>IF($B155="","",IF(V155="","",IF(INDEX('Input Contact Information'!$G$2:$G$200,V155)="","",INDEX('Input Contact Information'!$G$2:$G$200,V155))))</f>
        <v/>
      </c>
      <c r="I155" s="1" t="str">
        <f>IF($B155="","",IF(V155="","",IF(INDEX('Input Contact Information'!$H$2:$H$200,V155)="","",INDEX('Input Contact Information'!$H$2:$H$200,V155))))</f>
        <v/>
      </c>
      <c r="J155" s="1" t="str">
        <f>IF($B155="","",IF(V155="","",IF(INDEX('Input Contact Information'!$I$2:$I$200,V155)="","",INDEX('Input Contact Information'!$I$2:$I$200,V155))))</f>
        <v/>
      </c>
      <c r="K155" s="1" t="str">
        <f>IF($B155="","",IF(V155="","",IF(INDEX('Input Contact Information'!$A$2:$A$200,V155)="","",INDEX('Input Contact Information'!$A$2:$A$200,V155))))</f>
        <v/>
      </c>
      <c r="L155" s="1" t="str">
        <f>IF($B155="","",IF(W155="","",IF(INDEX('Accounts Overview'!$I$2:$I$100,W155)="","",INDEX('Accounts Overview'!$I$2:$I$100,W155))))</f>
        <v/>
      </c>
      <c r="M155" s="1" t="str">
        <f>IF($B155="","",IF(V155="","",IF(INDEX('Input Contact Information'!$J$2:$J$200,V155)="","",INDEX('Input Contact Information'!$J$2:$J$200,V155))))</f>
        <v/>
      </c>
      <c r="N155" s="1" t="str">
        <f>IF($B155="","",IF(V155="","",IF(INDEX('Input Contact Information'!$K$2:$K$200,V155)="","",INDEX('Input Contact Information'!$K$2:$K$200,V155))))</f>
        <v/>
      </c>
      <c r="O155" s="1" t="str">
        <f>IF($B155="","",IF(V155="","",IF(INDEX('Input Contact Information'!$L$2:$L$200,V155)="","",INDEX('Input Contact Information'!$L$2:$L$200,V155))))</f>
        <v/>
      </c>
      <c r="P155" s="1" t="str">
        <f>IF($B155="","",IF((IF(V155="","",IF(INDEX('Input Contact Information'!$N$2:$N$200,V155)="","",INDEX('Input Contact Information'!$N$2:$N$200,V155))))&lt;&gt;"",IF(V155="","",IF(INDEX('Input Contact Information'!$N$2:$N$200,V155)="","",INDEX('Input Contact Information'!$N$2:$N$200,V155))),IF(V155="","",IF(INDEX('Input Contact Information'!$M$2:$M$200,V155)="","",INDEX('Input Contact Information'!$M$2:$M$200,V155)))))</f>
        <v/>
      </c>
      <c r="Q155" s="1" t="str">
        <f t="shared" si="9"/>
        <v/>
      </c>
      <c r="R155" s="1" t="str">
        <f>IF($B155="","",IF(X155="","",IF(INDEX('Engagements Overview'!$I$2:$I$200,X155)="","",INDEX('Engagements Overview'!$I$2:$I$200,X155))))</f>
        <v/>
      </c>
      <c r="S155" s="14" t="str">
        <f>IF($B155="","",IF(X155="","",IF(INDEX('Engagements Overview'!$K$2:$K$200,X155)="","",INDEX('Engagements Overview'!$K$2:$K$200,X155))))</f>
        <v/>
      </c>
      <c r="T155" s="1" t="str">
        <f>IF($B155="","",IF(V155="","",IF(INDEX('Input Contact Information'!$O$2:$O$200,V155)="","",INDEX('Input Contact Information'!$O$2:$O$200,V155))))</f>
        <v/>
      </c>
      <c r="U155" s="1" t="str">
        <f>IF($B155="","",IF(V155="","",IF(INDEX('Input Contact Information'!$P$2:$P$200,V155)="","",INDEX('Input Contact Information'!$P$2:$P$200,V155))))</f>
        <v/>
      </c>
      <c r="V155" s="1" t="str">
        <f>IF(B155="","",IFERROR(MATCH(B155&amp;"|"&amp;C155,'Input Contact Information'!$W$2:$W$200,0),""))</f>
        <v/>
      </c>
      <c r="W155" s="1" t="str">
        <f>IF(C155="","",IFERROR(MATCH(C155,'Accounts Overview'!$B$2:$B$100,0),""))</f>
        <v/>
      </c>
      <c r="X155" s="1" t="str">
        <f>IF(A155="","",IFERROR(MATCH(A155,'Engagements Overview'!$B$2:$B$200,0),""))</f>
        <v/>
      </c>
    </row>
    <row r="156" spans="1:24" ht="15" customHeight="1" x14ac:dyDescent="0.35">
      <c r="A156" s="13" t="str">
        <f t="shared" si="8"/>
        <v/>
      </c>
      <c r="B156" s="1" t="str">
        <f>IFERROR(INDEX('Input Contact Information'!$C$2:$C$200,MATCH(ROW()-1,'Input Contact Information'!$V$2:$V$200,0)),"")</f>
        <v/>
      </c>
      <c r="C156" s="1" t="str">
        <f>IFERROR(INDEX('Input Contact Information'!$B$2:$B$200,MATCH(ROW()-1,'Input Contact Information'!$V$2:$V$200,0)),"")</f>
        <v/>
      </c>
      <c r="D156" s="1" t="str">
        <f>IF($B156="","",IF(W156="","",INDEX('Accounts Overview'!$A$2:$A$100,W156)))</f>
        <v/>
      </c>
      <c r="E156" s="1" t="str">
        <f>IF($B156="","",IF(V156="","",IF(INDEX('Input Contact Information'!$D$2:$D$200,V156)="","",INDEX('Input Contact Information'!$D$2:$D$200,V156))))</f>
        <v/>
      </c>
      <c r="F156" s="1" t="str">
        <f>IF($B156="","",IF(V156="","",IF(INDEX('Input Contact Information'!$F$2:$F$200,V156)="","",INDEX('Input Contact Information'!$F$2:$F$200,V156))))</f>
        <v/>
      </c>
      <c r="G156" s="1" t="str">
        <f>IF($B156="","",IF(V156="","",IF(INDEX('Input Contact Information'!$E$2:$E$200,V156)="","",INDEX('Input Contact Information'!$E$2:$E$200,V156))))</f>
        <v/>
      </c>
      <c r="H156" s="1" t="str">
        <f>IF($B156="","",IF(V156="","",IF(INDEX('Input Contact Information'!$G$2:$G$200,V156)="","",INDEX('Input Contact Information'!$G$2:$G$200,V156))))</f>
        <v/>
      </c>
      <c r="I156" s="1" t="str">
        <f>IF($B156="","",IF(V156="","",IF(INDEX('Input Contact Information'!$H$2:$H$200,V156)="","",INDEX('Input Contact Information'!$H$2:$H$200,V156))))</f>
        <v/>
      </c>
      <c r="J156" s="1" t="str">
        <f>IF($B156="","",IF(V156="","",IF(INDEX('Input Contact Information'!$I$2:$I$200,V156)="","",INDEX('Input Contact Information'!$I$2:$I$200,V156))))</f>
        <v/>
      </c>
      <c r="K156" s="1" t="str">
        <f>IF($B156="","",IF(V156="","",IF(INDEX('Input Contact Information'!$A$2:$A$200,V156)="","",INDEX('Input Contact Information'!$A$2:$A$200,V156))))</f>
        <v/>
      </c>
      <c r="L156" s="1" t="str">
        <f>IF($B156="","",IF(W156="","",IF(INDEX('Accounts Overview'!$I$2:$I$100,W156)="","",INDEX('Accounts Overview'!$I$2:$I$100,W156))))</f>
        <v/>
      </c>
      <c r="M156" s="1" t="str">
        <f>IF($B156="","",IF(V156="","",IF(INDEX('Input Contact Information'!$J$2:$J$200,V156)="","",INDEX('Input Contact Information'!$J$2:$J$200,V156))))</f>
        <v/>
      </c>
      <c r="N156" s="1" t="str">
        <f>IF($B156="","",IF(V156="","",IF(INDEX('Input Contact Information'!$K$2:$K$200,V156)="","",INDEX('Input Contact Information'!$K$2:$K$200,V156))))</f>
        <v/>
      </c>
      <c r="O156" s="1" t="str">
        <f>IF($B156="","",IF(V156="","",IF(INDEX('Input Contact Information'!$L$2:$L$200,V156)="","",INDEX('Input Contact Information'!$L$2:$L$200,V156))))</f>
        <v/>
      </c>
      <c r="P156" s="1" t="str">
        <f>IF($B156="","",IF((IF(V156="","",IF(INDEX('Input Contact Information'!$N$2:$N$200,V156)="","",INDEX('Input Contact Information'!$N$2:$N$200,V156))))&lt;&gt;"",IF(V156="","",IF(INDEX('Input Contact Information'!$N$2:$N$200,V156)="","",INDEX('Input Contact Information'!$N$2:$N$200,V156))),IF(V156="","",IF(INDEX('Input Contact Information'!$M$2:$M$200,V156)="","",INDEX('Input Contact Information'!$M$2:$M$200,V156)))))</f>
        <v/>
      </c>
      <c r="Q156" s="1" t="str">
        <f t="shared" si="9"/>
        <v/>
      </c>
      <c r="R156" s="1" t="str">
        <f>IF($B156="","",IF(X156="","",IF(INDEX('Engagements Overview'!$I$2:$I$200,X156)="","",INDEX('Engagements Overview'!$I$2:$I$200,X156))))</f>
        <v/>
      </c>
      <c r="S156" s="14" t="str">
        <f>IF($B156="","",IF(X156="","",IF(INDEX('Engagements Overview'!$K$2:$K$200,X156)="","",INDEX('Engagements Overview'!$K$2:$K$200,X156))))</f>
        <v/>
      </c>
      <c r="T156" s="1" t="str">
        <f>IF($B156="","",IF(V156="","",IF(INDEX('Input Contact Information'!$O$2:$O$200,V156)="","",INDEX('Input Contact Information'!$O$2:$O$200,V156))))</f>
        <v/>
      </c>
      <c r="U156" s="1" t="str">
        <f>IF($B156="","",IF(V156="","",IF(INDEX('Input Contact Information'!$P$2:$P$200,V156)="","",INDEX('Input Contact Information'!$P$2:$P$200,V156))))</f>
        <v/>
      </c>
      <c r="V156" s="1" t="str">
        <f>IF(B156="","",IFERROR(MATCH(B156&amp;"|"&amp;C156,'Input Contact Information'!$W$2:$W$200,0),""))</f>
        <v/>
      </c>
      <c r="W156" s="1" t="str">
        <f>IF(C156="","",IFERROR(MATCH(C156,'Accounts Overview'!$B$2:$B$100,0),""))</f>
        <v/>
      </c>
      <c r="X156" s="1" t="str">
        <f>IF(A156="","",IFERROR(MATCH(A156,'Engagements Overview'!$B$2:$B$200,0),""))</f>
        <v/>
      </c>
    </row>
    <row r="157" spans="1:24" ht="15" customHeight="1" x14ac:dyDescent="0.35">
      <c r="A157" s="13" t="str">
        <f t="shared" si="8"/>
        <v/>
      </c>
      <c r="B157" s="1" t="str">
        <f>IFERROR(INDEX('Input Contact Information'!$C$2:$C$200,MATCH(ROW()-1,'Input Contact Information'!$V$2:$V$200,0)),"")</f>
        <v/>
      </c>
      <c r="C157" s="1" t="str">
        <f>IFERROR(INDEX('Input Contact Information'!$B$2:$B$200,MATCH(ROW()-1,'Input Contact Information'!$V$2:$V$200,0)),"")</f>
        <v/>
      </c>
      <c r="D157" s="1" t="str">
        <f>IF($B157="","",IF(W157="","",INDEX('Accounts Overview'!$A$2:$A$100,W157)))</f>
        <v/>
      </c>
      <c r="E157" s="1" t="str">
        <f>IF($B157="","",IF(V157="","",IF(INDEX('Input Contact Information'!$D$2:$D$200,V157)="","",INDEX('Input Contact Information'!$D$2:$D$200,V157))))</f>
        <v/>
      </c>
      <c r="F157" s="1" t="str">
        <f>IF($B157="","",IF(V157="","",IF(INDEX('Input Contact Information'!$F$2:$F$200,V157)="","",INDEX('Input Contact Information'!$F$2:$F$200,V157))))</f>
        <v/>
      </c>
      <c r="G157" s="1" t="str">
        <f>IF($B157="","",IF(V157="","",IF(INDEX('Input Contact Information'!$E$2:$E$200,V157)="","",INDEX('Input Contact Information'!$E$2:$E$200,V157))))</f>
        <v/>
      </c>
      <c r="H157" s="1" t="str">
        <f>IF($B157="","",IF(V157="","",IF(INDEX('Input Contact Information'!$G$2:$G$200,V157)="","",INDEX('Input Contact Information'!$G$2:$G$200,V157))))</f>
        <v/>
      </c>
      <c r="I157" s="1" t="str">
        <f>IF($B157="","",IF(V157="","",IF(INDEX('Input Contact Information'!$H$2:$H$200,V157)="","",INDEX('Input Contact Information'!$H$2:$H$200,V157))))</f>
        <v/>
      </c>
      <c r="J157" s="1" t="str">
        <f>IF($B157="","",IF(V157="","",IF(INDEX('Input Contact Information'!$I$2:$I$200,V157)="","",INDEX('Input Contact Information'!$I$2:$I$200,V157))))</f>
        <v/>
      </c>
      <c r="K157" s="1" t="str">
        <f>IF($B157="","",IF(V157="","",IF(INDEX('Input Contact Information'!$A$2:$A$200,V157)="","",INDEX('Input Contact Information'!$A$2:$A$200,V157))))</f>
        <v/>
      </c>
      <c r="L157" s="1" t="str">
        <f>IF($B157="","",IF(W157="","",IF(INDEX('Accounts Overview'!$I$2:$I$100,W157)="","",INDEX('Accounts Overview'!$I$2:$I$100,W157))))</f>
        <v/>
      </c>
      <c r="M157" s="1" t="str">
        <f>IF($B157="","",IF(V157="","",IF(INDEX('Input Contact Information'!$J$2:$J$200,V157)="","",INDEX('Input Contact Information'!$J$2:$J$200,V157))))</f>
        <v/>
      </c>
      <c r="N157" s="1" t="str">
        <f>IF($B157="","",IF(V157="","",IF(INDEX('Input Contact Information'!$K$2:$K$200,V157)="","",INDEX('Input Contact Information'!$K$2:$K$200,V157))))</f>
        <v/>
      </c>
      <c r="O157" s="1" t="str">
        <f>IF($B157="","",IF(V157="","",IF(INDEX('Input Contact Information'!$L$2:$L$200,V157)="","",INDEX('Input Contact Information'!$L$2:$L$200,V157))))</f>
        <v/>
      </c>
      <c r="P157" s="1" t="str">
        <f>IF($B157="","",IF((IF(V157="","",IF(INDEX('Input Contact Information'!$N$2:$N$200,V157)="","",INDEX('Input Contact Information'!$N$2:$N$200,V157))))&lt;&gt;"",IF(V157="","",IF(INDEX('Input Contact Information'!$N$2:$N$200,V157)="","",INDEX('Input Contact Information'!$N$2:$N$200,V157))),IF(V157="","",IF(INDEX('Input Contact Information'!$M$2:$M$200,V157)="","",INDEX('Input Contact Information'!$M$2:$M$200,V157)))))</f>
        <v/>
      </c>
      <c r="Q157" s="1" t="str">
        <f t="shared" si="9"/>
        <v/>
      </c>
      <c r="R157" s="1" t="str">
        <f>IF($B157="","",IF(X157="","",IF(INDEX('Engagements Overview'!$I$2:$I$200,X157)="","",INDEX('Engagements Overview'!$I$2:$I$200,X157))))</f>
        <v/>
      </c>
      <c r="S157" s="14" t="str">
        <f>IF($B157="","",IF(X157="","",IF(INDEX('Engagements Overview'!$K$2:$K$200,X157)="","",INDEX('Engagements Overview'!$K$2:$K$200,X157))))</f>
        <v/>
      </c>
      <c r="T157" s="1" t="str">
        <f>IF($B157="","",IF(V157="","",IF(INDEX('Input Contact Information'!$O$2:$O$200,V157)="","",INDEX('Input Contact Information'!$O$2:$O$200,V157))))</f>
        <v/>
      </c>
      <c r="U157" s="1" t="str">
        <f>IF($B157="","",IF(V157="","",IF(INDEX('Input Contact Information'!$P$2:$P$200,V157)="","",INDEX('Input Contact Information'!$P$2:$P$200,V157))))</f>
        <v/>
      </c>
      <c r="V157" s="1" t="str">
        <f>IF(B157="","",IFERROR(MATCH(B157&amp;"|"&amp;C157,'Input Contact Information'!$W$2:$W$200,0),""))</f>
        <v/>
      </c>
      <c r="W157" s="1" t="str">
        <f>IF(C157="","",IFERROR(MATCH(C157,'Accounts Overview'!$B$2:$B$100,0),""))</f>
        <v/>
      </c>
      <c r="X157" s="1" t="str">
        <f>IF(A157="","",IFERROR(MATCH(A157,'Engagements Overview'!$B$2:$B$200,0),""))</f>
        <v/>
      </c>
    </row>
    <row r="158" spans="1:24" ht="15" customHeight="1" x14ac:dyDescent="0.35">
      <c r="A158" s="13" t="str">
        <f t="shared" si="8"/>
        <v/>
      </c>
      <c r="B158" s="1" t="str">
        <f>IFERROR(INDEX('Input Contact Information'!$C$2:$C$200,MATCH(ROW()-1,'Input Contact Information'!$V$2:$V$200,0)),"")</f>
        <v/>
      </c>
      <c r="C158" s="1" t="str">
        <f>IFERROR(INDEX('Input Contact Information'!$B$2:$B$200,MATCH(ROW()-1,'Input Contact Information'!$V$2:$V$200,0)),"")</f>
        <v/>
      </c>
      <c r="D158" s="1" t="str">
        <f>IF($B158="","",IF(W158="","",INDEX('Accounts Overview'!$A$2:$A$100,W158)))</f>
        <v/>
      </c>
      <c r="E158" s="1" t="str">
        <f>IF($B158="","",IF(V158="","",IF(INDEX('Input Contact Information'!$D$2:$D$200,V158)="","",INDEX('Input Contact Information'!$D$2:$D$200,V158))))</f>
        <v/>
      </c>
      <c r="F158" s="1" t="str">
        <f>IF($B158="","",IF(V158="","",IF(INDEX('Input Contact Information'!$F$2:$F$200,V158)="","",INDEX('Input Contact Information'!$F$2:$F$200,V158))))</f>
        <v/>
      </c>
      <c r="G158" s="1" t="str">
        <f>IF($B158="","",IF(V158="","",IF(INDEX('Input Contact Information'!$E$2:$E$200,V158)="","",INDEX('Input Contact Information'!$E$2:$E$200,V158))))</f>
        <v/>
      </c>
      <c r="H158" s="1" t="str">
        <f>IF($B158="","",IF(V158="","",IF(INDEX('Input Contact Information'!$G$2:$G$200,V158)="","",INDEX('Input Contact Information'!$G$2:$G$200,V158))))</f>
        <v/>
      </c>
      <c r="I158" s="1" t="str">
        <f>IF($B158="","",IF(V158="","",IF(INDEX('Input Contact Information'!$H$2:$H$200,V158)="","",INDEX('Input Contact Information'!$H$2:$H$200,V158))))</f>
        <v/>
      </c>
      <c r="J158" s="1" t="str">
        <f>IF($B158="","",IF(V158="","",IF(INDEX('Input Contact Information'!$I$2:$I$200,V158)="","",INDEX('Input Contact Information'!$I$2:$I$200,V158))))</f>
        <v/>
      </c>
      <c r="K158" s="1" t="str">
        <f>IF($B158="","",IF(V158="","",IF(INDEX('Input Contact Information'!$A$2:$A$200,V158)="","",INDEX('Input Contact Information'!$A$2:$A$200,V158))))</f>
        <v/>
      </c>
      <c r="L158" s="1" t="str">
        <f>IF($B158="","",IF(W158="","",IF(INDEX('Accounts Overview'!$I$2:$I$100,W158)="","",INDEX('Accounts Overview'!$I$2:$I$100,W158))))</f>
        <v/>
      </c>
      <c r="M158" s="1" t="str">
        <f>IF($B158="","",IF(V158="","",IF(INDEX('Input Contact Information'!$J$2:$J$200,V158)="","",INDEX('Input Contact Information'!$J$2:$J$200,V158))))</f>
        <v/>
      </c>
      <c r="N158" s="1" t="str">
        <f>IF($B158="","",IF(V158="","",IF(INDEX('Input Contact Information'!$K$2:$K$200,V158)="","",INDEX('Input Contact Information'!$K$2:$K$200,V158))))</f>
        <v/>
      </c>
      <c r="O158" s="1" t="str">
        <f>IF($B158="","",IF(V158="","",IF(INDEX('Input Contact Information'!$L$2:$L$200,V158)="","",INDEX('Input Contact Information'!$L$2:$L$200,V158))))</f>
        <v/>
      </c>
      <c r="P158" s="1" t="str">
        <f>IF($B158="","",IF((IF(V158="","",IF(INDEX('Input Contact Information'!$N$2:$N$200,V158)="","",INDEX('Input Contact Information'!$N$2:$N$200,V158))))&lt;&gt;"",IF(V158="","",IF(INDEX('Input Contact Information'!$N$2:$N$200,V158)="","",INDEX('Input Contact Information'!$N$2:$N$200,V158))),IF(V158="","",IF(INDEX('Input Contact Information'!$M$2:$M$200,V158)="","",INDEX('Input Contact Information'!$M$2:$M$200,V158)))))</f>
        <v/>
      </c>
      <c r="Q158" s="1" t="str">
        <f t="shared" si="9"/>
        <v/>
      </c>
      <c r="R158" s="1" t="str">
        <f>IF($B158="","",IF(X158="","",IF(INDEX('Engagements Overview'!$I$2:$I$200,X158)="","",INDEX('Engagements Overview'!$I$2:$I$200,X158))))</f>
        <v/>
      </c>
      <c r="S158" s="14" t="str">
        <f>IF($B158="","",IF(X158="","",IF(INDEX('Engagements Overview'!$K$2:$K$200,X158)="","",INDEX('Engagements Overview'!$K$2:$K$200,X158))))</f>
        <v/>
      </c>
      <c r="T158" s="1" t="str">
        <f>IF($B158="","",IF(V158="","",IF(INDEX('Input Contact Information'!$O$2:$O$200,V158)="","",INDEX('Input Contact Information'!$O$2:$O$200,V158))))</f>
        <v/>
      </c>
      <c r="U158" s="1" t="str">
        <f>IF($B158="","",IF(V158="","",IF(INDEX('Input Contact Information'!$P$2:$P$200,V158)="","",INDEX('Input Contact Information'!$P$2:$P$200,V158))))</f>
        <v/>
      </c>
      <c r="V158" s="1" t="str">
        <f>IF(B158="","",IFERROR(MATCH(B158&amp;"|"&amp;C158,'Input Contact Information'!$W$2:$W$200,0),""))</f>
        <v/>
      </c>
      <c r="W158" s="1" t="str">
        <f>IF(C158="","",IFERROR(MATCH(C158,'Accounts Overview'!$B$2:$B$100,0),""))</f>
        <v/>
      </c>
      <c r="X158" s="1" t="str">
        <f>IF(A158="","",IFERROR(MATCH(A158,'Engagements Overview'!$B$2:$B$200,0),""))</f>
        <v/>
      </c>
    </row>
    <row r="159" spans="1:24" ht="15" customHeight="1" x14ac:dyDescent="0.35">
      <c r="A159" s="13" t="str">
        <f t="shared" si="8"/>
        <v/>
      </c>
      <c r="B159" s="1" t="str">
        <f>IFERROR(INDEX('Input Contact Information'!$C$2:$C$200,MATCH(ROW()-1,'Input Contact Information'!$V$2:$V$200,0)),"")</f>
        <v/>
      </c>
      <c r="C159" s="1" t="str">
        <f>IFERROR(INDEX('Input Contact Information'!$B$2:$B$200,MATCH(ROW()-1,'Input Contact Information'!$V$2:$V$200,0)),"")</f>
        <v/>
      </c>
      <c r="D159" s="1" t="str">
        <f>IF($B159="","",IF(W159="","",INDEX('Accounts Overview'!$A$2:$A$100,W159)))</f>
        <v/>
      </c>
      <c r="E159" s="1" t="str">
        <f>IF($B159="","",IF(V159="","",IF(INDEX('Input Contact Information'!$D$2:$D$200,V159)="","",INDEX('Input Contact Information'!$D$2:$D$200,V159))))</f>
        <v/>
      </c>
      <c r="F159" s="1" t="str">
        <f>IF($B159="","",IF(V159="","",IF(INDEX('Input Contact Information'!$F$2:$F$200,V159)="","",INDEX('Input Contact Information'!$F$2:$F$200,V159))))</f>
        <v/>
      </c>
      <c r="G159" s="1" t="str">
        <f>IF($B159="","",IF(V159="","",IF(INDEX('Input Contact Information'!$E$2:$E$200,V159)="","",INDEX('Input Contact Information'!$E$2:$E$200,V159))))</f>
        <v/>
      </c>
      <c r="H159" s="1" t="str">
        <f>IF($B159="","",IF(V159="","",IF(INDEX('Input Contact Information'!$G$2:$G$200,V159)="","",INDEX('Input Contact Information'!$G$2:$G$200,V159))))</f>
        <v/>
      </c>
      <c r="I159" s="1" t="str">
        <f>IF($B159="","",IF(V159="","",IF(INDEX('Input Contact Information'!$H$2:$H$200,V159)="","",INDEX('Input Contact Information'!$H$2:$H$200,V159))))</f>
        <v/>
      </c>
      <c r="J159" s="1" t="str">
        <f>IF($B159="","",IF(V159="","",IF(INDEX('Input Contact Information'!$I$2:$I$200,V159)="","",INDEX('Input Contact Information'!$I$2:$I$200,V159))))</f>
        <v/>
      </c>
      <c r="K159" s="1" t="str">
        <f>IF($B159="","",IF(V159="","",IF(INDEX('Input Contact Information'!$A$2:$A$200,V159)="","",INDEX('Input Contact Information'!$A$2:$A$200,V159))))</f>
        <v/>
      </c>
      <c r="L159" s="1" t="str">
        <f>IF($B159="","",IF(W159="","",IF(INDEX('Accounts Overview'!$I$2:$I$100,W159)="","",INDEX('Accounts Overview'!$I$2:$I$100,W159))))</f>
        <v/>
      </c>
      <c r="M159" s="1" t="str">
        <f>IF($B159="","",IF(V159="","",IF(INDEX('Input Contact Information'!$J$2:$J$200,V159)="","",INDEX('Input Contact Information'!$J$2:$J$200,V159))))</f>
        <v/>
      </c>
      <c r="N159" s="1" t="str">
        <f>IF($B159="","",IF(V159="","",IF(INDEX('Input Contact Information'!$K$2:$K$200,V159)="","",INDEX('Input Contact Information'!$K$2:$K$200,V159))))</f>
        <v/>
      </c>
      <c r="O159" s="1" t="str">
        <f>IF($B159="","",IF(V159="","",IF(INDEX('Input Contact Information'!$L$2:$L$200,V159)="","",INDEX('Input Contact Information'!$L$2:$L$200,V159))))</f>
        <v/>
      </c>
      <c r="P159" s="1" t="str">
        <f>IF($B159="","",IF((IF(V159="","",IF(INDEX('Input Contact Information'!$N$2:$N$200,V159)="","",INDEX('Input Contact Information'!$N$2:$N$200,V159))))&lt;&gt;"",IF(V159="","",IF(INDEX('Input Contact Information'!$N$2:$N$200,V159)="","",INDEX('Input Contact Information'!$N$2:$N$200,V159))),IF(V159="","",IF(INDEX('Input Contact Information'!$M$2:$M$200,V159)="","",INDEX('Input Contact Information'!$M$2:$M$200,V159)))))</f>
        <v/>
      </c>
      <c r="Q159" s="1" t="str">
        <f t="shared" si="9"/>
        <v/>
      </c>
      <c r="R159" s="1" t="str">
        <f>IF($B159="","",IF(X159="","",IF(INDEX('Engagements Overview'!$I$2:$I$200,X159)="","",INDEX('Engagements Overview'!$I$2:$I$200,X159))))</f>
        <v/>
      </c>
      <c r="S159" s="14" t="str">
        <f>IF($B159="","",IF(X159="","",IF(INDEX('Engagements Overview'!$K$2:$K$200,X159)="","",INDEX('Engagements Overview'!$K$2:$K$200,X159))))</f>
        <v/>
      </c>
      <c r="T159" s="1" t="str">
        <f>IF($B159="","",IF(V159="","",IF(INDEX('Input Contact Information'!$O$2:$O$200,V159)="","",INDEX('Input Contact Information'!$O$2:$O$200,V159))))</f>
        <v/>
      </c>
      <c r="U159" s="1" t="str">
        <f>IF($B159="","",IF(V159="","",IF(INDEX('Input Contact Information'!$P$2:$P$200,V159)="","",INDEX('Input Contact Information'!$P$2:$P$200,V159))))</f>
        <v/>
      </c>
      <c r="V159" s="1" t="str">
        <f>IF(B159="","",IFERROR(MATCH(B159&amp;"|"&amp;C159,'Input Contact Information'!$W$2:$W$200,0),""))</f>
        <v/>
      </c>
      <c r="W159" s="1" t="str">
        <f>IF(C159="","",IFERROR(MATCH(C159,'Accounts Overview'!$B$2:$B$100,0),""))</f>
        <v/>
      </c>
      <c r="X159" s="1" t="str">
        <f>IF(A159="","",IFERROR(MATCH(A159,'Engagements Overview'!$B$2:$B$200,0),""))</f>
        <v/>
      </c>
    </row>
    <row r="160" spans="1:24" ht="15" customHeight="1" x14ac:dyDescent="0.35">
      <c r="A160" s="13" t="str">
        <f t="shared" si="8"/>
        <v/>
      </c>
      <c r="B160" s="1" t="str">
        <f>IFERROR(INDEX('Input Contact Information'!$C$2:$C$200,MATCH(ROW()-1,'Input Contact Information'!$V$2:$V$200,0)),"")</f>
        <v/>
      </c>
      <c r="C160" s="1" t="str">
        <f>IFERROR(INDEX('Input Contact Information'!$B$2:$B$200,MATCH(ROW()-1,'Input Contact Information'!$V$2:$V$200,0)),"")</f>
        <v/>
      </c>
      <c r="D160" s="1" t="str">
        <f>IF($B160="","",IF(W160="","",INDEX('Accounts Overview'!$A$2:$A$100,W160)))</f>
        <v/>
      </c>
      <c r="E160" s="1" t="str">
        <f>IF($B160="","",IF(V160="","",IF(INDEX('Input Contact Information'!$D$2:$D$200,V160)="","",INDEX('Input Contact Information'!$D$2:$D$200,V160))))</f>
        <v/>
      </c>
      <c r="F160" s="1" t="str">
        <f>IF($B160="","",IF(V160="","",IF(INDEX('Input Contact Information'!$F$2:$F$200,V160)="","",INDEX('Input Contact Information'!$F$2:$F$200,V160))))</f>
        <v/>
      </c>
      <c r="G160" s="1" t="str">
        <f>IF($B160="","",IF(V160="","",IF(INDEX('Input Contact Information'!$E$2:$E$200,V160)="","",INDEX('Input Contact Information'!$E$2:$E$200,V160))))</f>
        <v/>
      </c>
      <c r="H160" s="1" t="str">
        <f>IF($B160="","",IF(V160="","",IF(INDEX('Input Contact Information'!$G$2:$G$200,V160)="","",INDEX('Input Contact Information'!$G$2:$G$200,V160))))</f>
        <v/>
      </c>
      <c r="I160" s="1" t="str">
        <f>IF($B160="","",IF(V160="","",IF(INDEX('Input Contact Information'!$H$2:$H$200,V160)="","",INDEX('Input Contact Information'!$H$2:$H$200,V160))))</f>
        <v/>
      </c>
      <c r="J160" s="1" t="str">
        <f>IF($B160="","",IF(V160="","",IF(INDEX('Input Contact Information'!$I$2:$I$200,V160)="","",INDEX('Input Contact Information'!$I$2:$I$200,V160))))</f>
        <v/>
      </c>
      <c r="K160" s="1" t="str">
        <f>IF($B160="","",IF(V160="","",IF(INDEX('Input Contact Information'!$A$2:$A$200,V160)="","",INDEX('Input Contact Information'!$A$2:$A$200,V160))))</f>
        <v/>
      </c>
      <c r="L160" s="1" t="str">
        <f>IF($B160="","",IF(W160="","",IF(INDEX('Accounts Overview'!$I$2:$I$100,W160)="","",INDEX('Accounts Overview'!$I$2:$I$100,W160))))</f>
        <v/>
      </c>
      <c r="M160" s="1" t="str">
        <f>IF($B160="","",IF(V160="","",IF(INDEX('Input Contact Information'!$J$2:$J$200,V160)="","",INDEX('Input Contact Information'!$J$2:$J$200,V160))))</f>
        <v/>
      </c>
      <c r="N160" s="1" t="str">
        <f>IF($B160="","",IF(V160="","",IF(INDEX('Input Contact Information'!$K$2:$K$200,V160)="","",INDEX('Input Contact Information'!$K$2:$K$200,V160))))</f>
        <v/>
      </c>
      <c r="O160" s="1" t="str">
        <f>IF($B160="","",IF(V160="","",IF(INDEX('Input Contact Information'!$L$2:$L$200,V160)="","",INDEX('Input Contact Information'!$L$2:$L$200,V160))))</f>
        <v/>
      </c>
      <c r="P160" s="1" t="str">
        <f>IF($B160="","",IF((IF(V160="","",IF(INDEX('Input Contact Information'!$N$2:$N$200,V160)="","",INDEX('Input Contact Information'!$N$2:$N$200,V160))))&lt;&gt;"",IF(V160="","",IF(INDEX('Input Contact Information'!$N$2:$N$200,V160)="","",INDEX('Input Contact Information'!$N$2:$N$200,V160))),IF(V160="","",IF(INDEX('Input Contact Information'!$M$2:$M$200,V160)="","",INDEX('Input Contact Information'!$M$2:$M$200,V160)))))</f>
        <v/>
      </c>
      <c r="Q160" s="1" t="str">
        <f t="shared" si="9"/>
        <v/>
      </c>
      <c r="R160" s="1" t="str">
        <f>IF($B160="","",IF(X160="","",IF(INDEX('Engagements Overview'!$I$2:$I$200,X160)="","",INDEX('Engagements Overview'!$I$2:$I$200,X160))))</f>
        <v/>
      </c>
      <c r="S160" s="14" t="str">
        <f>IF($B160="","",IF(X160="","",IF(INDEX('Engagements Overview'!$K$2:$K$200,X160)="","",INDEX('Engagements Overview'!$K$2:$K$200,X160))))</f>
        <v/>
      </c>
      <c r="T160" s="1" t="str">
        <f>IF($B160="","",IF(V160="","",IF(INDEX('Input Contact Information'!$O$2:$O$200,V160)="","",INDEX('Input Contact Information'!$O$2:$O$200,V160))))</f>
        <v/>
      </c>
      <c r="U160" s="1" t="str">
        <f>IF($B160="","",IF(V160="","",IF(INDEX('Input Contact Information'!$P$2:$P$200,V160)="","",INDEX('Input Contact Information'!$P$2:$P$200,V160))))</f>
        <v/>
      </c>
      <c r="V160" s="1" t="str">
        <f>IF(B160="","",IFERROR(MATCH(B160&amp;"|"&amp;C160,'Input Contact Information'!$W$2:$W$200,0),""))</f>
        <v/>
      </c>
      <c r="W160" s="1" t="str">
        <f>IF(C160="","",IFERROR(MATCH(C160,'Accounts Overview'!$B$2:$B$100,0),""))</f>
        <v/>
      </c>
      <c r="X160" s="1" t="str">
        <f>IF(A160="","",IFERROR(MATCH(A160,'Engagements Overview'!$B$2:$B$200,0),""))</f>
        <v/>
      </c>
    </row>
    <row r="161" spans="1:24" ht="15" customHeight="1" x14ac:dyDescent="0.35">
      <c r="A161" s="13" t="str">
        <f t="shared" si="8"/>
        <v/>
      </c>
      <c r="B161" s="1" t="str">
        <f>IFERROR(INDEX('Input Contact Information'!$C$2:$C$200,MATCH(ROW()-1,'Input Contact Information'!$V$2:$V$200,0)),"")</f>
        <v/>
      </c>
      <c r="C161" s="1" t="str">
        <f>IFERROR(INDEX('Input Contact Information'!$B$2:$B$200,MATCH(ROW()-1,'Input Contact Information'!$V$2:$V$200,0)),"")</f>
        <v/>
      </c>
      <c r="D161" s="1" t="str">
        <f>IF($B161="","",IF(W161="","",INDEX('Accounts Overview'!$A$2:$A$100,W161)))</f>
        <v/>
      </c>
      <c r="E161" s="1" t="str">
        <f>IF($B161="","",IF(V161="","",IF(INDEX('Input Contact Information'!$D$2:$D$200,V161)="","",INDEX('Input Contact Information'!$D$2:$D$200,V161))))</f>
        <v/>
      </c>
      <c r="F161" s="1" t="str">
        <f>IF($B161="","",IF(V161="","",IF(INDEX('Input Contact Information'!$F$2:$F$200,V161)="","",INDEX('Input Contact Information'!$F$2:$F$200,V161))))</f>
        <v/>
      </c>
      <c r="G161" s="1" t="str">
        <f>IF($B161="","",IF(V161="","",IF(INDEX('Input Contact Information'!$E$2:$E$200,V161)="","",INDEX('Input Contact Information'!$E$2:$E$200,V161))))</f>
        <v/>
      </c>
      <c r="H161" s="1" t="str">
        <f>IF($B161="","",IF(V161="","",IF(INDEX('Input Contact Information'!$G$2:$G$200,V161)="","",INDEX('Input Contact Information'!$G$2:$G$200,V161))))</f>
        <v/>
      </c>
      <c r="I161" s="1" t="str">
        <f>IF($B161="","",IF(V161="","",IF(INDEX('Input Contact Information'!$H$2:$H$200,V161)="","",INDEX('Input Contact Information'!$H$2:$H$200,V161))))</f>
        <v/>
      </c>
      <c r="J161" s="1" t="str">
        <f>IF($B161="","",IF(V161="","",IF(INDEX('Input Contact Information'!$I$2:$I$200,V161)="","",INDEX('Input Contact Information'!$I$2:$I$200,V161))))</f>
        <v/>
      </c>
      <c r="K161" s="1" t="str">
        <f>IF($B161="","",IF(V161="","",IF(INDEX('Input Contact Information'!$A$2:$A$200,V161)="","",INDEX('Input Contact Information'!$A$2:$A$200,V161))))</f>
        <v/>
      </c>
      <c r="L161" s="1" t="str">
        <f>IF($B161="","",IF(W161="","",IF(INDEX('Accounts Overview'!$I$2:$I$100,W161)="","",INDEX('Accounts Overview'!$I$2:$I$100,W161))))</f>
        <v/>
      </c>
      <c r="M161" s="1" t="str">
        <f>IF($B161="","",IF(V161="","",IF(INDEX('Input Contact Information'!$J$2:$J$200,V161)="","",INDEX('Input Contact Information'!$J$2:$J$200,V161))))</f>
        <v/>
      </c>
      <c r="N161" s="1" t="str">
        <f>IF($B161="","",IF(V161="","",IF(INDEX('Input Contact Information'!$K$2:$K$200,V161)="","",INDEX('Input Contact Information'!$K$2:$K$200,V161))))</f>
        <v/>
      </c>
      <c r="O161" s="1" t="str">
        <f>IF($B161="","",IF(V161="","",IF(INDEX('Input Contact Information'!$L$2:$L$200,V161)="","",INDEX('Input Contact Information'!$L$2:$L$200,V161))))</f>
        <v/>
      </c>
      <c r="P161" s="1" t="str">
        <f>IF($B161="","",IF((IF(V161="","",IF(INDEX('Input Contact Information'!$N$2:$N$200,V161)="","",INDEX('Input Contact Information'!$N$2:$N$200,V161))))&lt;&gt;"",IF(V161="","",IF(INDEX('Input Contact Information'!$N$2:$N$200,V161)="","",INDEX('Input Contact Information'!$N$2:$N$200,V161))),IF(V161="","",IF(INDEX('Input Contact Information'!$M$2:$M$200,V161)="","",INDEX('Input Contact Information'!$M$2:$M$200,V161)))))</f>
        <v/>
      </c>
      <c r="Q161" s="1" t="str">
        <f t="shared" si="9"/>
        <v/>
      </c>
      <c r="R161" s="1" t="str">
        <f>IF($B161="","",IF(X161="","",IF(INDEX('Engagements Overview'!$I$2:$I$200,X161)="","",INDEX('Engagements Overview'!$I$2:$I$200,X161))))</f>
        <v/>
      </c>
      <c r="S161" s="14" t="str">
        <f>IF($B161="","",IF(X161="","",IF(INDEX('Engagements Overview'!$K$2:$K$200,X161)="","",INDEX('Engagements Overview'!$K$2:$K$200,X161))))</f>
        <v/>
      </c>
      <c r="T161" s="1" t="str">
        <f>IF($B161="","",IF(V161="","",IF(INDEX('Input Contact Information'!$O$2:$O$200,V161)="","",INDEX('Input Contact Information'!$O$2:$O$200,V161))))</f>
        <v/>
      </c>
      <c r="U161" s="1" t="str">
        <f>IF($B161="","",IF(V161="","",IF(INDEX('Input Contact Information'!$P$2:$P$200,V161)="","",INDEX('Input Contact Information'!$P$2:$P$200,V161))))</f>
        <v/>
      </c>
      <c r="V161" s="1" t="str">
        <f>IF(B161="","",IFERROR(MATCH(B161&amp;"|"&amp;C161,'Input Contact Information'!$W$2:$W$200,0),""))</f>
        <v/>
      </c>
      <c r="W161" s="1" t="str">
        <f>IF(C161="","",IFERROR(MATCH(C161,'Accounts Overview'!$B$2:$B$100,0),""))</f>
        <v/>
      </c>
      <c r="X161" s="1" t="str">
        <f>IF(A161="","",IFERROR(MATCH(A161,'Engagements Overview'!$B$2:$B$200,0),""))</f>
        <v/>
      </c>
    </row>
    <row r="162" spans="1:24" ht="15" customHeight="1" x14ac:dyDescent="0.35">
      <c r="A162" s="13" t="str">
        <f t="shared" ref="A162:A193" si="10">IF(B162="","","CON"&amp;TEXT(ROW()-1,"0000"))</f>
        <v/>
      </c>
      <c r="B162" s="1" t="str">
        <f>IFERROR(INDEX('Input Contact Information'!$C$2:$C$200,MATCH(ROW()-1,'Input Contact Information'!$V$2:$V$200,0)),"")</f>
        <v/>
      </c>
      <c r="C162" s="1" t="str">
        <f>IFERROR(INDEX('Input Contact Information'!$B$2:$B$200,MATCH(ROW()-1,'Input Contact Information'!$V$2:$V$200,0)),"")</f>
        <v/>
      </c>
      <c r="D162" s="1" t="str">
        <f>IF($B162="","",IF(W162="","",INDEX('Accounts Overview'!$A$2:$A$100,W162)))</f>
        <v/>
      </c>
      <c r="E162" s="1" t="str">
        <f>IF($B162="","",IF(V162="","",IF(INDEX('Input Contact Information'!$D$2:$D$200,V162)="","",INDEX('Input Contact Information'!$D$2:$D$200,V162))))</f>
        <v/>
      </c>
      <c r="F162" s="1" t="str">
        <f>IF($B162="","",IF(V162="","",IF(INDEX('Input Contact Information'!$F$2:$F$200,V162)="","",INDEX('Input Contact Information'!$F$2:$F$200,V162))))</f>
        <v/>
      </c>
      <c r="G162" s="1" t="str">
        <f>IF($B162="","",IF(V162="","",IF(INDEX('Input Contact Information'!$E$2:$E$200,V162)="","",INDEX('Input Contact Information'!$E$2:$E$200,V162))))</f>
        <v/>
      </c>
      <c r="H162" s="1" t="str">
        <f>IF($B162="","",IF(V162="","",IF(INDEX('Input Contact Information'!$G$2:$G$200,V162)="","",INDEX('Input Contact Information'!$G$2:$G$200,V162))))</f>
        <v/>
      </c>
      <c r="I162" s="1" t="str">
        <f>IF($B162="","",IF(V162="","",IF(INDEX('Input Contact Information'!$H$2:$H$200,V162)="","",INDEX('Input Contact Information'!$H$2:$H$200,V162))))</f>
        <v/>
      </c>
      <c r="J162" s="1" t="str">
        <f>IF($B162="","",IF(V162="","",IF(INDEX('Input Contact Information'!$I$2:$I$200,V162)="","",INDEX('Input Contact Information'!$I$2:$I$200,V162))))</f>
        <v/>
      </c>
      <c r="K162" s="1" t="str">
        <f>IF($B162="","",IF(V162="","",IF(INDEX('Input Contact Information'!$A$2:$A$200,V162)="","",INDEX('Input Contact Information'!$A$2:$A$200,V162))))</f>
        <v/>
      </c>
      <c r="L162" s="1" t="str">
        <f>IF($B162="","",IF(W162="","",IF(INDEX('Accounts Overview'!$I$2:$I$100,W162)="","",INDEX('Accounts Overview'!$I$2:$I$100,W162))))</f>
        <v/>
      </c>
      <c r="M162" s="1" t="str">
        <f>IF($B162="","",IF(V162="","",IF(INDEX('Input Contact Information'!$J$2:$J$200,V162)="","",INDEX('Input Contact Information'!$J$2:$J$200,V162))))</f>
        <v/>
      </c>
      <c r="N162" s="1" t="str">
        <f>IF($B162="","",IF(V162="","",IF(INDEX('Input Contact Information'!$K$2:$K$200,V162)="","",INDEX('Input Contact Information'!$K$2:$K$200,V162))))</f>
        <v/>
      </c>
      <c r="O162" s="1" t="str">
        <f>IF($B162="","",IF(V162="","",IF(INDEX('Input Contact Information'!$L$2:$L$200,V162)="","",INDEX('Input Contact Information'!$L$2:$L$200,V162))))</f>
        <v/>
      </c>
      <c r="P162" s="1" t="str">
        <f>IF($B162="","",IF((IF(V162="","",IF(INDEX('Input Contact Information'!$N$2:$N$200,V162)="","",INDEX('Input Contact Information'!$N$2:$N$200,V162))))&lt;&gt;"",IF(V162="","",IF(INDEX('Input Contact Information'!$N$2:$N$200,V162)="","",INDEX('Input Contact Information'!$N$2:$N$200,V162))),IF(V162="","",IF(INDEX('Input Contact Information'!$M$2:$M$200,V162)="","",INDEX('Input Contact Information'!$M$2:$M$200,V162)))))</f>
        <v/>
      </c>
      <c r="Q162" s="1" t="str">
        <f t="shared" ref="Q162:Q193" si="11">IF($B162="","",IF(P162="","",IF(P162="Tier 1","Monthly",IF(P162="Tier 2","Quarterly","Semi-annually"))))</f>
        <v/>
      </c>
      <c r="R162" s="1" t="str">
        <f>IF($B162="","",IF(X162="","",IF(INDEX('Engagements Overview'!$I$2:$I$200,X162)="","",INDEX('Engagements Overview'!$I$2:$I$200,X162))))</f>
        <v/>
      </c>
      <c r="S162" s="14" t="str">
        <f>IF($B162="","",IF(X162="","",IF(INDEX('Engagements Overview'!$K$2:$K$200,X162)="","",INDEX('Engagements Overview'!$K$2:$K$200,X162))))</f>
        <v/>
      </c>
      <c r="T162" s="1" t="str">
        <f>IF($B162="","",IF(V162="","",IF(INDEX('Input Contact Information'!$O$2:$O$200,V162)="","",INDEX('Input Contact Information'!$O$2:$O$200,V162))))</f>
        <v/>
      </c>
      <c r="U162" s="1" t="str">
        <f>IF($B162="","",IF(V162="","",IF(INDEX('Input Contact Information'!$P$2:$P$200,V162)="","",INDEX('Input Contact Information'!$P$2:$P$200,V162))))</f>
        <v/>
      </c>
      <c r="V162" s="1" t="str">
        <f>IF(B162="","",IFERROR(MATCH(B162&amp;"|"&amp;C162,'Input Contact Information'!$W$2:$W$200,0),""))</f>
        <v/>
      </c>
      <c r="W162" s="1" t="str">
        <f>IF(C162="","",IFERROR(MATCH(C162,'Accounts Overview'!$B$2:$B$100,0),""))</f>
        <v/>
      </c>
      <c r="X162" s="1" t="str">
        <f>IF(A162="","",IFERROR(MATCH(A162,'Engagements Overview'!$B$2:$B$200,0),""))</f>
        <v/>
      </c>
    </row>
    <row r="163" spans="1:24" ht="15" customHeight="1" x14ac:dyDescent="0.35">
      <c r="A163" s="13" t="str">
        <f t="shared" si="10"/>
        <v/>
      </c>
      <c r="B163" s="1" t="str">
        <f>IFERROR(INDEX('Input Contact Information'!$C$2:$C$200,MATCH(ROW()-1,'Input Contact Information'!$V$2:$V$200,0)),"")</f>
        <v/>
      </c>
      <c r="C163" s="1" t="str">
        <f>IFERROR(INDEX('Input Contact Information'!$B$2:$B$200,MATCH(ROW()-1,'Input Contact Information'!$V$2:$V$200,0)),"")</f>
        <v/>
      </c>
      <c r="D163" s="1" t="str">
        <f>IF($B163="","",IF(W163="","",INDEX('Accounts Overview'!$A$2:$A$100,W163)))</f>
        <v/>
      </c>
      <c r="E163" s="1" t="str">
        <f>IF($B163="","",IF(V163="","",IF(INDEX('Input Contact Information'!$D$2:$D$200,V163)="","",INDEX('Input Contact Information'!$D$2:$D$200,V163))))</f>
        <v/>
      </c>
      <c r="F163" s="1" t="str">
        <f>IF($B163="","",IF(V163="","",IF(INDEX('Input Contact Information'!$F$2:$F$200,V163)="","",INDEX('Input Contact Information'!$F$2:$F$200,V163))))</f>
        <v/>
      </c>
      <c r="G163" s="1" t="str">
        <f>IF($B163="","",IF(V163="","",IF(INDEX('Input Contact Information'!$E$2:$E$200,V163)="","",INDEX('Input Contact Information'!$E$2:$E$200,V163))))</f>
        <v/>
      </c>
      <c r="H163" s="1" t="str">
        <f>IF($B163="","",IF(V163="","",IF(INDEX('Input Contact Information'!$G$2:$G$200,V163)="","",INDEX('Input Contact Information'!$G$2:$G$200,V163))))</f>
        <v/>
      </c>
      <c r="I163" s="1" t="str">
        <f>IF($B163="","",IF(V163="","",IF(INDEX('Input Contact Information'!$H$2:$H$200,V163)="","",INDEX('Input Contact Information'!$H$2:$H$200,V163))))</f>
        <v/>
      </c>
      <c r="J163" s="1" t="str">
        <f>IF($B163="","",IF(V163="","",IF(INDEX('Input Contact Information'!$I$2:$I$200,V163)="","",INDEX('Input Contact Information'!$I$2:$I$200,V163))))</f>
        <v/>
      </c>
      <c r="K163" s="1" t="str">
        <f>IF($B163="","",IF(V163="","",IF(INDEX('Input Contact Information'!$A$2:$A$200,V163)="","",INDEX('Input Contact Information'!$A$2:$A$200,V163))))</f>
        <v/>
      </c>
      <c r="L163" s="1" t="str">
        <f>IF($B163="","",IF(W163="","",IF(INDEX('Accounts Overview'!$I$2:$I$100,W163)="","",INDEX('Accounts Overview'!$I$2:$I$100,W163))))</f>
        <v/>
      </c>
      <c r="M163" s="1" t="str">
        <f>IF($B163="","",IF(V163="","",IF(INDEX('Input Contact Information'!$J$2:$J$200,V163)="","",INDEX('Input Contact Information'!$J$2:$J$200,V163))))</f>
        <v/>
      </c>
      <c r="N163" s="1" t="str">
        <f>IF($B163="","",IF(V163="","",IF(INDEX('Input Contact Information'!$K$2:$K$200,V163)="","",INDEX('Input Contact Information'!$K$2:$K$200,V163))))</f>
        <v/>
      </c>
      <c r="O163" s="1" t="str">
        <f>IF($B163="","",IF(V163="","",IF(INDEX('Input Contact Information'!$L$2:$L$200,V163)="","",INDEX('Input Contact Information'!$L$2:$L$200,V163))))</f>
        <v/>
      </c>
      <c r="P163" s="1" t="str">
        <f>IF($B163="","",IF((IF(V163="","",IF(INDEX('Input Contact Information'!$N$2:$N$200,V163)="","",INDEX('Input Contact Information'!$N$2:$N$200,V163))))&lt;&gt;"",IF(V163="","",IF(INDEX('Input Contact Information'!$N$2:$N$200,V163)="","",INDEX('Input Contact Information'!$N$2:$N$200,V163))),IF(V163="","",IF(INDEX('Input Contact Information'!$M$2:$M$200,V163)="","",INDEX('Input Contact Information'!$M$2:$M$200,V163)))))</f>
        <v/>
      </c>
      <c r="Q163" s="1" t="str">
        <f t="shared" si="11"/>
        <v/>
      </c>
      <c r="R163" s="1" t="str">
        <f>IF($B163="","",IF(X163="","",IF(INDEX('Engagements Overview'!$I$2:$I$200,X163)="","",INDEX('Engagements Overview'!$I$2:$I$200,X163))))</f>
        <v/>
      </c>
      <c r="S163" s="14" t="str">
        <f>IF($B163="","",IF(X163="","",IF(INDEX('Engagements Overview'!$K$2:$K$200,X163)="","",INDEX('Engagements Overview'!$K$2:$K$200,X163))))</f>
        <v/>
      </c>
      <c r="T163" s="1" t="str">
        <f>IF($B163="","",IF(V163="","",IF(INDEX('Input Contact Information'!$O$2:$O$200,V163)="","",INDEX('Input Contact Information'!$O$2:$O$200,V163))))</f>
        <v/>
      </c>
      <c r="U163" s="1" t="str">
        <f>IF($B163="","",IF(V163="","",IF(INDEX('Input Contact Information'!$P$2:$P$200,V163)="","",INDEX('Input Contact Information'!$P$2:$P$200,V163))))</f>
        <v/>
      </c>
      <c r="V163" s="1" t="str">
        <f>IF(B163="","",IFERROR(MATCH(B163&amp;"|"&amp;C163,'Input Contact Information'!$W$2:$W$200,0),""))</f>
        <v/>
      </c>
      <c r="W163" s="1" t="str">
        <f>IF(C163="","",IFERROR(MATCH(C163,'Accounts Overview'!$B$2:$B$100,0),""))</f>
        <v/>
      </c>
      <c r="X163" s="1" t="str">
        <f>IF(A163="","",IFERROR(MATCH(A163,'Engagements Overview'!$B$2:$B$200,0),""))</f>
        <v/>
      </c>
    </row>
    <row r="164" spans="1:24" ht="15" customHeight="1" x14ac:dyDescent="0.35">
      <c r="A164" s="13" t="str">
        <f t="shared" si="10"/>
        <v/>
      </c>
      <c r="B164" s="1" t="str">
        <f>IFERROR(INDEX('Input Contact Information'!$C$2:$C$200,MATCH(ROW()-1,'Input Contact Information'!$V$2:$V$200,0)),"")</f>
        <v/>
      </c>
      <c r="C164" s="1" t="str">
        <f>IFERROR(INDEX('Input Contact Information'!$B$2:$B$200,MATCH(ROW()-1,'Input Contact Information'!$V$2:$V$200,0)),"")</f>
        <v/>
      </c>
      <c r="D164" s="1" t="str">
        <f>IF($B164="","",IF(W164="","",INDEX('Accounts Overview'!$A$2:$A$100,W164)))</f>
        <v/>
      </c>
      <c r="E164" s="1" t="str">
        <f>IF($B164="","",IF(V164="","",IF(INDEX('Input Contact Information'!$D$2:$D$200,V164)="","",INDEX('Input Contact Information'!$D$2:$D$200,V164))))</f>
        <v/>
      </c>
      <c r="F164" s="1" t="str">
        <f>IF($B164="","",IF(V164="","",IF(INDEX('Input Contact Information'!$F$2:$F$200,V164)="","",INDEX('Input Contact Information'!$F$2:$F$200,V164))))</f>
        <v/>
      </c>
      <c r="G164" s="1" t="str">
        <f>IF($B164="","",IF(V164="","",IF(INDEX('Input Contact Information'!$E$2:$E$200,V164)="","",INDEX('Input Contact Information'!$E$2:$E$200,V164))))</f>
        <v/>
      </c>
      <c r="H164" s="1" t="str">
        <f>IF($B164="","",IF(V164="","",IF(INDEX('Input Contact Information'!$G$2:$G$200,V164)="","",INDEX('Input Contact Information'!$G$2:$G$200,V164))))</f>
        <v/>
      </c>
      <c r="I164" s="1" t="str">
        <f>IF($B164="","",IF(V164="","",IF(INDEX('Input Contact Information'!$H$2:$H$200,V164)="","",INDEX('Input Contact Information'!$H$2:$H$200,V164))))</f>
        <v/>
      </c>
      <c r="J164" s="1" t="str">
        <f>IF($B164="","",IF(V164="","",IF(INDEX('Input Contact Information'!$I$2:$I$200,V164)="","",INDEX('Input Contact Information'!$I$2:$I$200,V164))))</f>
        <v/>
      </c>
      <c r="K164" s="1" t="str">
        <f>IF($B164="","",IF(V164="","",IF(INDEX('Input Contact Information'!$A$2:$A$200,V164)="","",INDEX('Input Contact Information'!$A$2:$A$200,V164))))</f>
        <v/>
      </c>
      <c r="L164" s="1" t="str">
        <f>IF($B164="","",IF(W164="","",IF(INDEX('Accounts Overview'!$I$2:$I$100,W164)="","",INDEX('Accounts Overview'!$I$2:$I$100,W164))))</f>
        <v/>
      </c>
      <c r="M164" s="1" t="str">
        <f>IF($B164="","",IF(V164="","",IF(INDEX('Input Contact Information'!$J$2:$J$200,V164)="","",INDEX('Input Contact Information'!$J$2:$J$200,V164))))</f>
        <v/>
      </c>
      <c r="N164" s="1" t="str">
        <f>IF($B164="","",IF(V164="","",IF(INDEX('Input Contact Information'!$K$2:$K$200,V164)="","",INDEX('Input Contact Information'!$K$2:$K$200,V164))))</f>
        <v/>
      </c>
      <c r="O164" s="1" t="str">
        <f>IF($B164="","",IF(V164="","",IF(INDEX('Input Contact Information'!$L$2:$L$200,V164)="","",INDEX('Input Contact Information'!$L$2:$L$200,V164))))</f>
        <v/>
      </c>
      <c r="P164" s="1" t="str">
        <f>IF($B164="","",IF((IF(V164="","",IF(INDEX('Input Contact Information'!$N$2:$N$200,V164)="","",INDEX('Input Contact Information'!$N$2:$N$200,V164))))&lt;&gt;"",IF(V164="","",IF(INDEX('Input Contact Information'!$N$2:$N$200,V164)="","",INDEX('Input Contact Information'!$N$2:$N$200,V164))),IF(V164="","",IF(INDEX('Input Contact Information'!$M$2:$M$200,V164)="","",INDEX('Input Contact Information'!$M$2:$M$200,V164)))))</f>
        <v/>
      </c>
      <c r="Q164" s="1" t="str">
        <f t="shared" si="11"/>
        <v/>
      </c>
      <c r="R164" s="1" t="str">
        <f>IF($B164="","",IF(X164="","",IF(INDEX('Engagements Overview'!$I$2:$I$200,X164)="","",INDEX('Engagements Overview'!$I$2:$I$200,X164))))</f>
        <v/>
      </c>
      <c r="S164" s="14" t="str">
        <f>IF($B164="","",IF(X164="","",IF(INDEX('Engagements Overview'!$K$2:$K$200,X164)="","",INDEX('Engagements Overview'!$K$2:$K$200,X164))))</f>
        <v/>
      </c>
      <c r="T164" s="1" t="str">
        <f>IF($B164="","",IF(V164="","",IF(INDEX('Input Contact Information'!$O$2:$O$200,V164)="","",INDEX('Input Contact Information'!$O$2:$O$200,V164))))</f>
        <v/>
      </c>
      <c r="U164" s="1" t="str">
        <f>IF($B164="","",IF(V164="","",IF(INDEX('Input Contact Information'!$P$2:$P$200,V164)="","",INDEX('Input Contact Information'!$P$2:$P$200,V164))))</f>
        <v/>
      </c>
      <c r="V164" s="1" t="str">
        <f>IF(B164="","",IFERROR(MATCH(B164&amp;"|"&amp;C164,'Input Contact Information'!$W$2:$W$200,0),""))</f>
        <v/>
      </c>
      <c r="W164" s="1" t="str">
        <f>IF(C164="","",IFERROR(MATCH(C164,'Accounts Overview'!$B$2:$B$100,0),""))</f>
        <v/>
      </c>
      <c r="X164" s="1" t="str">
        <f>IF(A164="","",IFERROR(MATCH(A164,'Engagements Overview'!$B$2:$B$200,0),""))</f>
        <v/>
      </c>
    </row>
    <row r="165" spans="1:24" ht="15" customHeight="1" x14ac:dyDescent="0.35">
      <c r="A165" s="13" t="str">
        <f t="shared" si="10"/>
        <v/>
      </c>
      <c r="B165" s="1" t="str">
        <f>IFERROR(INDEX('Input Contact Information'!$C$2:$C$200,MATCH(ROW()-1,'Input Contact Information'!$V$2:$V$200,0)),"")</f>
        <v/>
      </c>
      <c r="C165" s="1" t="str">
        <f>IFERROR(INDEX('Input Contact Information'!$B$2:$B$200,MATCH(ROW()-1,'Input Contact Information'!$V$2:$V$200,0)),"")</f>
        <v/>
      </c>
      <c r="D165" s="1" t="str">
        <f>IF($B165="","",IF(W165="","",INDEX('Accounts Overview'!$A$2:$A$100,W165)))</f>
        <v/>
      </c>
      <c r="E165" s="1" t="str">
        <f>IF($B165="","",IF(V165="","",IF(INDEX('Input Contact Information'!$D$2:$D$200,V165)="","",INDEX('Input Contact Information'!$D$2:$D$200,V165))))</f>
        <v/>
      </c>
      <c r="F165" s="1" t="str">
        <f>IF($B165="","",IF(V165="","",IF(INDEX('Input Contact Information'!$F$2:$F$200,V165)="","",INDEX('Input Contact Information'!$F$2:$F$200,V165))))</f>
        <v/>
      </c>
      <c r="G165" s="1" t="str">
        <f>IF($B165="","",IF(V165="","",IF(INDEX('Input Contact Information'!$E$2:$E$200,V165)="","",INDEX('Input Contact Information'!$E$2:$E$200,V165))))</f>
        <v/>
      </c>
      <c r="H165" s="1" t="str">
        <f>IF($B165="","",IF(V165="","",IF(INDEX('Input Contact Information'!$G$2:$G$200,V165)="","",INDEX('Input Contact Information'!$G$2:$G$200,V165))))</f>
        <v/>
      </c>
      <c r="I165" s="1" t="str">
        <f>IF($B165="","",IF(V165="","",IF(INDEX('Input Contact Information'!$H$2:$H$200,V165)="","",INDEX('Input Contact Information'!$H$2:$H$200,V165))))</f>
        <v/>
      </c>
      <c r="J165" s="1" t="str">
        <f>IF($B165="","",IF(V165="","",IF(INDEX('Input Contact Information'!$I$2:$I$200,V165)="","",INDEX('Input Contact Information'!$I$2:$I$200,V165))))</f>
        <v/>
      </c>
      <c r="K165" s="1" t="str">
        <f>IF($B165="","",IF(V165="","",IF(INDEX('Input Contact Information'!$A$2:$A$200,V165)="","",INDEX('Input Contact Information'!$A$2:$A$200,V165))))</f>
        <v/>
      </c>
      <c r="L165" s="1" t="str">
        <f>IF($B165="","",IF(W165="","",IF(INDEX('Accounts Overview'!$I$2:$I$100,W165)="","",INDEX('Accounts Overview'!$I$2:$I$100,W165))))</f>
        <v/>
      </c>
      <c r="M165" s="1" t="str">
        <f>IF($B165="","",IF(V165="","",IF(INDEX('Input Contact Information'!$J$2:$J$200,V165)="","",INDEX('Input Contact Information'!$J$2:$J$200,V165))))</f>
        <v/>
      </c>
      <c r="N165" s="1" t="str">
        <f>IF($B165="","",IF(V165="","",IF(INDEX('Input Contact Information'!$K$2:$K$200,V165)="","",INDEX('Input Contact Information'!$K$2:$K$200,V165))))</f>
        <v/>
      </c>
      <c r="O165" s="1" t="str">
        <f>IF($B165="","",IF(V165="","",IF(INDEX('Input Contact Information'!$L$2:$L$200,V165)="","",INDEX('Input Contact Information'!$L$2:$L$200,V165))))</f>
        <v/>
      </c>
      <c r="P165" s="1" t="str">
        <f>IF($B165="","",IF((IF(V165="","",IF(INDEX('Input Contact Information'!$N$2:$N$200,V165)="","",INDEX('Input Contact Information'!$N$2:$N$200,V165))))&lt;&gt;"",IF(V165="","",IF(INDEX('Input Contact Information'!$N$2:$N$200,V165)="","",INDEX('Input Contact Information'!$N$2:$N$200,V165))),IF(V165="","",IF(INDEX('Input Contact Information'!$M$2:$M$200,V165)="","",INDEX('Input Contact Information'!$M$2:$M$200,V165)))))</f>
        <v/>
      </c>
      <c r="Q165" s="1" t="str">
        <f t="shared" si="11"/>
        <v/>
      </c>
      <c r="R165" s="1" t="str">
        <f>IF($B165="","",IF(X165="","",IF(INDEX('Engagements Overview'!$I$2:$I$200,X165)="","",INDEX('Engagements Overview'!$I$2:$I$200,X165))))</f>
        <v/>
      </c>
      <c r="S165" s="14" t="str">
        <f>IF($B165="","",IF(X165="","",IF(INDEX('Engagements Overview'!$K$2:$K$200,X165)="","",INDEX('Engagements Overview'!$K$2:$K$200,X165))))</f>
        <v/>
      </c>
      <c r="T165" s="1" t="str">
        <f>IF($B165="","",IF(V165="","",IF(INDEX('Input Contact Information'!$O$2:$O$200,V165)="","",INDEX('Input Contact Information'!$O$2:$O$200,V165))))</f>
        <v/>
      </c>
      <c r="U165" s="1" t="str">
        <f>IF($B165="","",IF(V165="","",IF(INDEX('Input Contact Information'!$P$2:$P$200,V165)="","",INDEX('Input Contact Information'!$P$2:$P$200,V165))))</f>
        <v/>
      </c>
      <c r="V165" s="1" t="str">
        <f>IF(B165="","",IFERROR(MATCH(B165&amp;"|"&amp;C165,'Input Contact Information'!$W$2:$W$200,0),""))</f>
        <v/>
      </c>
      <c r="W165" s="1" t="str">
        <f>IF(C165="","",IFERROR(MATCH(C165,'Accounts Overview'!$B$2:$B$100,0),""))</f>
        <v/>
      </c>
      <c r="X165" s="1" t="str">
        <f>IF(A165="","",IFERROR(MATCH(A165,'Engagements Overview'!$B$2:$B$200,0),""))</f>
        <v/>
      </c>
    </row>
    <row r="166" spans="1:24" ht="15" customHeight="1" x14ac:dyDescent="0.35">
      <c r="A166" s="13" t="str">
        <f t="shared" si="10"/>
        <v/>
      </c>
      <c r="B166" s="1" t="str">
        <f>IFERROR(INDEX('Input Contact Information'!$C$2:$C$200,MATCH(ROW()-1,'Input Contact Information'!$V$2:$V$200,0)),"")</f>
        <v/>
      </c>
      <c r="C166" s="1" t="str">
        <f>IFERROR(INDEX('Input Contact Information'!$B$2:$B$200,MATCH(ROW()-1,'Input Contact Information'!$V$2:$V$200,0)),"")</f>
        <v/>
      </c>
      <c r="D166" s="1" t="str">
        <f>IF($B166="","",IF(W166="","",INDEX('Accounts Overview'!$A$2:$A$100,W166)))</f>
        <v/>
      </c>
      <c r="E166" s="1" t="str">
        <f>IF($B166="","",IF(V166="","",IF(INDEX('Input Contact Information'!$D$2:$D$200,V166)="","",INDEX('Input Contact Information'!$D$2:$D$200,V166))))</f>
        <v/>
      </c>
      <c r="F166" s="1" t="str">
        <f>IF($B166="","",IF(V166="","",IF(INDEX('Input Contact Information'!$F$2:$F$200,V166)="","",INDEX('Input Contact Information'!$F$2:$F$200,V166))))</f>
        <v/>
      </c>
      <c r="G166" s="1" t="str">
        <f>IF($B166="","",IF(V166="","",IF(INDEX('Input Contact Information'!$E$2:$E$200,V166)="","",INDEX('Input Contact Information'!$E$2:$E$200,V166))))</f>
        <v/>
      </c>
      <c r="H166" s="1" t="str">
        <f>IF($B166="","",IF(V166="","",IF(INDEX('Input Contact Information'!$G$2:$G$200,V166)="","",INDEX('Input Contact Information'!$G$2:$G$200,V166))))</f>
        <v/>
      </c>
      <c r="I166" s="1" t="str">
        <f>IF($B166="","",IF(V166="","",IF(INDEX('Input Contact Information'!$H$2:$H$200,V166)="","",INDEX('Input Contact Information'!$H$2:$H$200,V166))))</f>
        <v/>
      </c>
      <c r="J166" s="1" t="str">
        <f>IF($B166="","",IF(V166="","",IF(INDEX('Input Contact Information'!$I$2:$I$200,V166)="","",INDEX('Input Contact Information'!$I$2:$I$200,V166))))</f>
        <v/>
      </c>
      <c r="K166" s="1" t="str">
        <f>IF($B166="","",IF(V166="","",IF(INDEX('Input Contact Information'!$A$2:$A$200,V166)="","",INDEX('Input Contact Information'!$A$2:$A$200,V166))))</f>
        <v/>
      </c>
      <c r="L166" s="1" t="str">
        <f>IF($B166="","",IF(W166="","",IF(INDEX('Accounts Overview'!$I$2:$I$100,W166)="","",INDEX('Accounts Overview'!$I$2:$I$100,W166))))</f>
        <v/>
      </c>
      <c r="M166" s="1" t="str">
        <f>IF($B166="","",IF(V166="","",IF(INDEX('Input Contact Information'!$J$2:$J$200,V166)="","",INDEX('Input Contact Information'!$J$2:$J$200,V166))))</f>
        <v/>
      </c>
      <c r="N166" s="1" t="str">
        <f>IF($B166="","",IF(V166="","",IF(INDEX('Input Contact Information'!$K$2:$K$200,V166)="","",INDEX('Input Contact Information'!$K$2:$K$200,V166))))</f>
        <v/>
      </c>
      <c r="O166" s="1" t="str">
        <f>IF($B166="","",IF(V166="","",IF(INDEX('Input Contact Information'!$L$2:$L$200,V166)="","",INDEX('Input Contact Information'!$L$2:$L$200,V166))))</f>
        <v/>
      </c>
      <c r="P166" s="1" t="str">
        <f>IF($B166="","",IF((IF(V166="","",IF(INDEX('Input Contact Information'!$N$2:$N$200,V166)="","",INDEX('Input Contact Information'!$N$2:$N$200,V166))))&lt;&gt;"",IF(V166="","",IF(INDEX('Input Contact Information'!$N$2:$N$200,V166)="","",INDEX('Input Contact Information'!$N$2:$N$200,V166))),IF(V166="","",IF(INDEX('Input Contact Information'!$M$2:$M$200,V166)="","",INDEX('Input Contact Information'!$M$2:$M$200,V166)))))</f>
        <v/>
      </c>
      <c r="Q166" s="1" t="str">
        <f t="shared" si="11"/>
        <v/>
      </c>
      <c r="R166" s="1" t="str">
        <f>IF($B166="","",IF(X166="","",IF(INDEX('Engagements Overview'!$I$2:$I$200,X166)="","",INDEX('Engagements Overview'!$I$2:$I$200,X166))))</f>
        <v/>
      </c>
      <c r="S166" s="14" t="str">
        <f>IF($B166="","",IF(X166="","",IF(INDEX('Engagements Overview'!$K$2:$K$200,X166)="","",INDEX('Engagements Overview'!$K$2:$K$200,X166))))</f>
        <v/>
      </c>
      <c r="T166" s="1" t="str">
        <f>IF($B166="","",IF(V166="","",IF(INDEX('Input Contact Information'!$O$2:$O$200,V166)="","",INDEX('Input Contact Information'!$O$2:$O$200,V166))))</f>
        <v/>
      </c>
      <c r="U166" s="1" t="str">
        <f>IF($B166="","",IF(V166="","",IF(INDEX('Input Contact Information'!$P$2:$P$200,V166)="","",INDEX('Input Contact Information'!$P$2:$P$200,V166))))</f>
        <v/>
      </c>
      <c r="V166" s="1" t="str">
        <f>IF(B166="","",IFERROR(MATCH(B166&amp;"|"&amp;C166,'Input Contact Information'!$W$2:$W$200,0),""))</f>
        <v/>
      </c>
      <c r="W166" s="1" t="str">
        <f>IF(C166="","",IFERROR(MATCH(C166,'Accounts Overview'!$B$2:$B$100,0),""))</f>
        <v/>
      </c>
      <c r="X166" s="1" t="str">
        <f>IF(A166="","",IFERROR(MATCH(A166,'Engagements Overview'!$B$2:$B$200,0),""))</f>
        <v/>
      </c>
    </row>
    <row r="167" spans="1:24" ht="15" customHeight="1" x14ac:dyDescent="0.35">
      <c r="A167" s="13" t="str">
        <f t="shared" si="10"/>
        <v/>
      </c>
      <c r="B167" s="1" t="str">
        <f>IFERROR(INDEX('Input Contact Information'!$C$2:$C$200,MATCH(ROW()-1,'Input Contact Information'!$V$2:$V$200,0)),"")</f>
        <v/>
      </c>
      <c r="C167" s="1" t="str">
        <f>IFERROR(INDEX('Input Contact Information'!$B$2:$B$200,MATCH(ROW()-1,'Input Contact Information'!$V$2:$V$200,0)),"")</f>
        <v/>
      </c>
      <c r="D167" s="1" t="str">
        <f>IF($B167="","",IF(W167="","",INDEX('Accounts Overview'!$A$2:$A$100,W167)))</f>
        <v/>
      </c>
      <c r="E167" s="1" t="str">
        <f>IF($B167="","",IF(V167="","",IF(INDEX('Input Contact Information'!$D$2:$D$200,V167)="","",INDEX('Input Contact Information'!$D$2:$D$200,V167))))</f>
        <v/>
      </c>
      <c r="F167" s="1" t="str">
        <f>IF($B167="","",IF(V167="","",IF(INDEX('Input Contact Information'!$F$2:$F$200,V167)="","",INDEX('Input Contact Information'!$F$2:$F$200,V167))))</f>
        <v/>
      </c>
      <c r="G167" s="1" t="str">
        <f>IF($B167="","",IF(V167="","",IF(INDEX('Input Contact Information'!$E$2:$E$200,V167)="","",INDEX('Input Contact Information'!$E$2:$E$200,V167))))</f>
        <v/>
      </c>
      <c r="H167" s="1" t="str">
        <f>IF($B167="","",IF(V167="","",IF(INDEX('Input Contact Information'!$G$2:$G$200,V167)="","",INDEX('Input Contact Information'!$G$2:$G$200,V167))))</f>
        <v/>
      </c>
      <c r="I167" s="1" t="str">
        <f>IF($B167="","",IF(V167="","",IF(INDEX('Input Contact Information'!$H$2:$H$200,V167)="","",INDEX('Input Contact Information'!$H$2:$H$200,V167))))</f>
        <v/>
      </c>
      <c r="J167" s="1" t="str">
        <f>IF($B167="","",IF(V167="","",IF(INDEX('Input Contact Information'!$I$2:$I$200,V167)="","",INDEX('Input Contact Information'!$I$2:$I$200,V167))))</f>
        <v/>
      </c>
      <c r="K167" s="1" t="str">
        <f>IF($B167="","",IF(V167="","",IF(INDEX('Input Contact Information'!$A$2:$A$200,V167)="","",INDEX('Input Contact Information'!$A$2:$A$200,V167))))</f>
        <v/>
      </c>
      <c r="L167" s="1" t="str">
        <f>IF($B167="","",IF(W167="","",IF(INDEX('Accounts Overview'!$I$2:$I$100,W167)="","",INDEX('Accounts Overview'!$I$2:$I$100,W167))))</f>
        <v/>
      </c>
      <c r="M167" s="1" t="str">
        <f>IF($B167="","",IF(V167="","",IF(INDEX('Input Contact Information'!$J$2:$J$200,V167)="","",INDEX('Input Contact Information'!$J$2:$J$200,V167))))</f>
        <v/>
      </c>
      <c r="N167" s="1" t="str">
        <f>IF($B167="","",IF(V167="","",IF(INDEX('Input Contact Information'!$K$2:$K$200,V167)="","",INDEX('Input Contact Information'!$K$2:$K$200,V167))))</f>
        <v/>
      </c>
      <c r="O167" s="1" t="str">
        <f>IF($B167="","",IF(V167="","",IF(INDEX('Input Contact Information'!$L$2:$L$200,V167)="","",INDEX('Input Contact Information'!$L$2:$L$200,V167))))</f>
        <v/>
      </c>
      <c r="P167" s="1" t="str">
        <f>IF($B167="","",IF((IF(V167="","",IF(INDEX('Input Contact Information'!$N$2:$N$200,V167)="","",INDEX('Input Contact Information'!$N$2:$N$200,V167))))&lt;&gt;"",IF(V167="","",IF(INDEX('Input Contact Information'!$N$2:$N$200,V167)="","",INDEX('Input Contact Information'!$N$2:$N$200,V167))),IF(V167="","",IF(INDEX('Input Contact Information'!$M$2:$M$200,V167)="","",INDEX('Input Contact Information'!$M$2:$M$200,V167)))))</f>
        <v/>
      </c>
      <c r="Q167" s="1" t="str">
        <f t="shared" si="11"/>
        <v/>
      </c>
      <c r="R167" s="1" t="str">
        <f>IF($B167="","",IF(X167="","",IF(INDEX('Engagements Overview'!$I$2:$I$200,X167)="","",INDEX('Engagements Overview'!$I$2:$I$200,X167))))</f>
        <v/>
      </c>
      <c r="S167" s="14" t="str">
        <f>IF($B167="","",IF(X167="","",IF(INDEX('Engagements Overview'!$K$2:$K$200,X167)="","",INDEX('Engagements Overview'!$K$2:$K$200,X167))))</f>
        <v/>
      </c>
      <c r="T167" s="1" t="str">
        <f>IF($B167="","",IF(V167="","",IF(INDEX('Input Contact Information'!$O$2:$O$200,V167)="","",INDEX('Input Contact Information'!$O$2:$O$200,V167))))</f>
        <v/>
      </c>
      <c r="U167" s="1" t="str">
        <f>IF($B167="","",IF(V167="","",IF(INDEX('Input Contact Information'!$P$2:$P$200,V167)="","",INDEX('Input Contact Information'!$P$2:$P$200,V167))))</f>
        <v/>
      </c>
      <c r="V167" s="1" t="str">
        <f>IF(B167="","",IFERROR(MATCH(B167&amp;"|"&amp;C167,'Input Contact Information'!$W$2:$W$200,0),""))</f>
        <v/>
      </c>
      <c r="W167" s="1" t="str">
        <f>IF(C167="","",IFERROR(MATCH(C167,'Accounts Overview'!$B$2:$B$100,0),""))</f>
        <v/>
      </c>
      <c r="X167" s="1" t="str">
        <f>IF(A167="","",IFERROR(MATCH(A167,'Engagements Overview'!$B$2:$B$200,0),""))</f>
        <v/>
      </c>
    </row>
    <row r="168" spans="1:24" ht="15" customHeight="1" x14ac:dyDescent="0.35">
      <c r="A168" s="13" t="str">
        <f t="shared" si="10"/>
        <v/>
      </c>
      <c r="B168" s="1" t="str">
        <f>IFERROR(INDEX('Input Contact Information'!$C$2:$C$200,MATCH(ROW()-1,'Input Contact Information'!$V$2:$V$200,0)),"")</f>
        <v/>
      </c>
      <c r="C168" s="1" t="str">
        <f>IFERROR(INDEX('Input Contact Information'!$B$2:$B$200,MATCH(ROW()-1,'Input Contact Information'!$V$2:$V$200,0)),"")</f>
        <v/>
      </c>
      <c r="D168" s="1" t="str">
        <f>IF($B168="","",IF(W168="","",INDEX('Accounts Overview'!$A$2:$A$100,W168)))</f>
        <v/>
      </c>
      <c r="E168" s="1" t="str">
        <f>IF($B168="","",IF(V168="","",IF(INDEX('Input Contact Information'!$D$2:$D$200,V168)="","",INDEX('Input Contact Information'!$D$2:$D$200,V168))))</f>
        <v/>
      </c>
      <c r="F168" s="1" t="str">
        <f>IF($B168="","",IF(V168="","",IF(INDEX('Input Contact Information'!$F$2:$F$200,V168)="","",INDEX('Input Contact Information'!$F$2:$F$200,V168))))</f>
        <v/>
      </c>
      <c r="G168" s="1" t="str">
        <f>IF($B168="","",IF(V168="","",IF(INDEX('Input Contact Information'!$E$2:$E$200,V168)="","",INDEX('Input Contact Information'!$E$2:$E$200,V168))))</f>
        <v/>
      </c>
      <c r="H168" s="1" t="str">
        <f>IF($B168="","",IF(V168="","",IF(INDEX('Input Contact Information'!$G$2:$G$200,V168)="","",INDEX('Input Contact Information'!$G$2:$G$200,V168))))</f>
        <v/>
      </c>
      <c r="I168" s="1" t="str">
        <f>IF($B168="","",IF(V168="","",IF(INDEX('Input Contact Information'!$H$2:$H$200,V168)="","",INDEX('Input Contact Information'!$H$2:$H$200,V168))))</f>
        <v/>
      </c>
      <c r="J168" s="1" t="str">
        <f>IF($B168="","",IF(V168="","",IF(INDEX('Input Contact Information'!$I$2:$I$200,V168)="","",INDEX('Input Contact Information'!$I$2:$I$200,V168))))</f>
        <v/>
      </c>
      <c r="K168" s="1" t="str">
        <f>IF($B168="","",IF(V168="","",IF(INDEX('Input Contact Information'!$A$2:$A$200,V168)="","",INDEX('Input Contact Information'!$A$2:$A$200,V168))))</f>
        <v/>
      </c>
      <c r="L168" s="1" t="str">
        <f>IF($B168="","",IF(W168="","",IF(INDEX('Accounts Overview'!$I$2:$I$100,W168)="","",INDEX('Accounts Overview'!$I$2:$I$100,W168))))</f>
        <v/>
      </c>
      <c r="M168" s="1" t="str">
        <f>IF($B168="","",IF(V168="","",IF(INDEX('Input Contact Information'!$J$2:$J$200,V168)="","",INDEX('Input Contact Information'!$J$2:$J$200,V168))))</f>
        <v/>
      </c>
      <c r="N168" s="1" t="str">
        <f>IF($B168="","",IF(V168="","",IF(INDEX('Input Contact Information'!$K$2:$K$200,V168)="","",INDEX('Input Contact Information'!$K$2:$K$200,V168))))</f>
        <v/>
      </c>
      <c r="O168" s="1" t="str">
        <f>IF($B168="","",IF(V168="","",IF(INDEX('Input Contact Information'!$L$2:$L$200,V168)="","",INDEX('Input Contact Information'!$L$2:$L$200,V168))))</f>
        <v/>
      </c>
      <c r="P168" s="1" t="str">
        <f>IF($B168="","",IF((IF(V168="","",IF(INDEX('Input Contact Information'!$N$2:$N$200,V168)="","",INDEX('Input Contact Information'!$N$2:$N$200,V168))))&lt;&gt;"",IF(V168="","",IF(INDEX('Input Contact Information'!$N$2:$N$200,V168)="","",INDEX('Input Contact Information'!$N$2:$N$200,V168))),IF(V168="","",IF(INDEX('Input Contact Information'!$M$2:$M$200,V168)="","",INDEX('Input Contact Information'!$M$2:$M$200,V168)))))</f>
        <v/>
      </c>
      <c r="Q168" s="1" t="str">
        <f t="shared" si="11"/>
        <v/>
      </c>
      <c r="R168" s="1" t="str">
        <f>IF($B168="","",IF(X168="","",IF(INDEX('Engagements Overview'!$I$2:$I$200,X168)="","",INDEX('Engagements Overview'!$I$2:$I$200,X168))))</f>
        <v/>
      </c>
      <c r="S168" s="14" t="str">
        <f>IF($B168="","",IF(X168="","",IF(INDEX('Engagements Overview'!$K$2:$K$200,X168)="","",INDEX('Engagements Overview'!$K$2:$K$200,X168))))</f>
        <v/>
      </c>
      <c r="T168" s="1" t="str">
        <f>IF($B168="","",IF(V168="","",IF(INDEX('Input Contact Information'!$O$2:$O$200,V168)="","",INDEX('Input Contact Information'!$O$2:$O$200,V168))))</f>
        <v/>
      </c>
      <c r="U168" s="1" t="str">
        <f>IF($B168="","",IF(V168="","",IF(INDEX('Input Contact Information'!$P$2:$P$200,V168)="","",INDEX('Input Contact Information'!$P$2:$P$200,V168))))</f>
        <v/>
      </c>
      <c r="V168" s="1" t="str">
        <f>IF(B168="","",IFERROR(MATCH(B168&amp;"|"&amp;C168,'Input Contact Information'!$W$2:$W$200,0),""))</f>
        <v/>
      </c>
      <c r="W168" s="1" t="str">
        <f>IF(C168="","",IFERROR(MATCH(C168,'Accounts Overview'!$B$2:$B$100,0),""))</f>
        <v/>
      </c>
      <c r="X168" s="1" t="str">
        <f>IF(A168="","",IFERROR(MATCH(A168,'Engagements Overview'!$B$2:$B$200,0),""))</f>
        <v/>
      </c>
    </row>
    <row r="169" spans="1:24" ht="15" customHeight="1" x14ac:dyDescent="0.35">
      <c r="A169" s="13" t="str">
        <f t="shared" si="10"/>
        <v/>
      </c>
      <c r="B169" s="1" t="str">
        <f>IFERROR(INDEX('Input Contact Information'!$C$2:$C$200,MATCH(ROW()-1,'Input Contact Information'!$V$2:$V$200,0)),"")</f>
        <v/>
      </c>
      <c r="C169" s="1" t="str">
        <f>IFERROR(INDEX('Input Contact Information'!$B$2:$B$200,MATCH(ROW()-1,'Input Contact Information'!$V$2:$V$200,0)),"")</f>
        <v/>
      </c>
      <c r="D169" s="1" t="str">
        <f>IF($B169="","",IF(W169="","",INDEX('Accounts Overview'!$A$2:$A$100,W169)))</f>
        <v/>
      </c>
      <c r="E169" s="1" t="str">
        <f>IF($B169="","",IF(V169="","",IF(INDEX('Input Contact Information'!$D$2:$D$200,V169)="","",INDEX('Input Contact Information'!$D$2:$D$200,V169))))</f>
        <v/>
      </c>
      <c r="F169" s="1" t="str">
        <f>IF($B169="","",IF(V169="","",IF(INDEX('Input Contact Information'!$F$2:$F$200,V169)="","",INDEX('Input Contact Information'!$F$2:$F$200,V169))))</f>
        <v/>
      </c>
      <c r="G169" s="1" t="str">
        <f>IF($B169="","",IF(V169="","",IF(INDEX('Input Contact Information'!$E$2:$E$200,V169)="","",INDEX('Input Contact Information'!$E$2:$E$200,V169))))</f>
        <v/>
      </c>
      <c r="H169" s="1" t="str">
        <f>IF($B169="","",IF(V169="","",IF(INDEX('Input Contact Information'!$G$2:$G$200,V169)="","",INDEX('Input Contact Information'!$G$2:$G$200,V169))))</f>
        <v/>
      </c>
      <c r="I169" s="1" t="str">
        <f>IF($B169="","",IF(V169="","",IF(INDEX('Input Contact Information'!$H$2:$H$200,V169)="","",INDEX('Input Contact Information'!$H$2:$H$200,V169))))</f>
        <v/>
      </c>
      <c r="J169" s="1" t="str">
        <f>IF($B169="","",IF(V169="","",IF(INDEX('Input Contact Information'!$I$2:$I$200,V169)="","",INDEX('Input Contact Information'!$I$2:$I$200,V169))))</f>
        <v/>
      </c>
      <c r="K169" s="1" t="str">
        <f>IF($B169="","",IF(V169="","",IF(INDEX('Input Contact Information'!$A$2:$A$200,V169)="","",INDEX('Input Contact Information'!$A$2:$A$200,V169))))</f>
        <v/>
      </c>
      <c r="L169" s="1" t="str">
        <f>IF($B169="","",IF(W169="","",IF(INDEX('Accounts Overview'!$I$2:$I$100,W169)="","",INDEX('Accounts Overview'!$I$2:$I$100,W169))))</f>
        <v/>
      </c>
      <c r="M169" s="1" t="str">
        <f>IF($B169="","",IF(V169="","",IF(INDEX('Input Contact Information'!$J$2:$J$200,V169)="","",INDEX('Input Contact Information'!$J$2:$J$200,V169))))</f>
        <v/>
      </c>
      <c r="N169" s="1" t="str">
        <f>IF($B169="","",IF(V169="","",IF(INDEX('Input Contact Information'!$K$2:$K$200,V169)="","",INDEX('Input Contact Information'!$K$2:$K$200,V169))))</f>
        <v/>
      </c>
      <c r="O169" s="1" t="str">
        <f>IF($B169="","",IF(V169="","",IF(INDEX('Input Contact Information'!$L$2:$L$200,V169)="","",INDEX('Input Contact Information'!$L$2:$L$200,V169))))</f>
        <v/>
      </c>
      <c r="P169" s="1" t="str">
        <f>IF($B169="","",IF((IF(V169="","",IF(INDEX('Input Contact Information'!$N$2:$N$200,V169)="","",INDEX('Input Contact Information'!$N$2:$N$200,V169))))&lt;&gt;"",IF(V169="","",IF(INDEX('Input Contact Information'!$N$2:$N$200,V169)="","",INDEX('Input Contact Information'!$N$2:$N$200,V169))),IF(V169="","",IF(INDEX('Input Contact Information'!$M$2:$M$200,V169)="","",INDEX('Input Contact Information'!$M$2:$M$200,V169)))))</f>
        <v/>
      </c>
      <c r="Q169" s="1" t="str">
        <f t="shared" si="11"/>
        <v/>
      </c>
      <c r="R169" s="1" t="str">
        <f>IF($B169="","",IF(X169="","",IF(INDEX('Engagements Overview'!$I$2:$I$200,X169)="","",INDEX('Engagements Overview'!$I$2:$I$200,X169))))</f>
        <v/>
      </c>
      <c r="S169" s="14" t="str">
        <f>IF($B169="","",IF(X169="","",IF(INDEX('Engagements Overview'!$K$2:$K$200,X169)="","",INDEX('Engagements Overview'!$K$2:$K$200,X169))))</f>
        <v/>
      </c>
      <c r="T169" s="1" t="str">
        <f>IF($B169="","",IF(V169="","",IF(INDEX('Input Contact Information'!$O$2:$O$200,V169)="","",INDEX('Input Contact Information'!$O$2:$O$200,V169))))</f>
        <v/>
      </c>
      <c r="U169" s="1" t="str">
        <f>IF($B169="","",IF(V169="","",IF(INDEX('Input Contact Information'!$P$2:$P$200,V169)="","",INDEX('Input Contact Information'!$P$2:$P$200,V169))))</f>
        <v/>
      </c>
      <c r="V169" s="1" t="str">
        <f>IF(B169="","",IFERROR(MATCH(B169&amp;"|"&amp;C169,'Input Contact Information'!$W$2:$W$200,0),""))</f>
        <v/>
      </c>
      <c r="W169" s="1" t="str">
        <f>IF(C169="","",IFERROR(MATCH(C169,'Accounts Overview'!$B$2:$B$100,0),""))</f>
        <v/>
      </c>
      <c r="X169" s="1" t="str">
        <f>IF(A169="","",IFERROR(MATCH(A169,'Engagements Overview'!$B$2:$B$200,0),""))</f>
        <v/>
      </c>
    </row>
    <row r="170" spans="1:24" ht="15" customHeight="1" x14ac:dyDescent="0.35">
      <c r="A170" s="13" t="str">
        <f t="shared" si="10"/>
        <v/>
      </c>
      <c r="B170" s="1" t="str">
        <f>IFERROR(INDEX('Input Contact Information'!$C$2:$C$200,MATCH(ROW()-1,'Input Contact Information'!$V$2:$V$200,0)),"")</f>
        <v/>
      </c>
      <c r="C170" s="1" t="str">
        <f>IFERROR(INDEX('Input Contact Information'!$B$2:$B$200,MATCH(ROW()-1,'Input Contact Information'!$V$2:$V$200,0)),"")</f>
        <v/>
      </c>
      <c r="D170" s="1" t="str">
        <f>IF($B170="","",IF(W170="","",INDEX('Accounts Overview'!$A$2:$A$100,W170)))</f>
        <v/>
      </c>
      <c r="E170" s="1" t="str">
        <f>IF($B170="","",IF(V170="","",IF(INDEX('Input Contact Information'!$D$2:$D$200,V170)="","",INDEX('Input Contact Information'!$D$2:$D$200,V170))))</f>
        <v/>
      </c>
      <c r="F170" s="1" t="str">
        <f>IF($B170="","",IF(V170="","",IF(INDEX('Input Contact Information'!$F$2:$F$200,V170)="","",INDEX('Input Contact Information'!$F$2:$F$200,V170))))</f>
        <v/>
      </c>
      <c r="G170" s="1" t="str">
        <f>IF($B170="","",IF(V170="","",IF(INDEX('Input Contact Information'!$E$2:$E$200,V170)="","",INDEX('Input Contact Information'!$E$2:$E$200,V170))))</f>
        <v/>
      </c>
      <c r="H170" s="1" t="str">
        <f>IF($B170="","",IF(V170="","",IF(INDEX('Input Contact Information'!$G$2:$G$200,V170)="","",INDEX('Input Contact Information'!$G$2:$G$200,V170))))</f>
        <v/>
      </c>
      <c r="I170" s="1" t="str">
        <f>IF($B170="","",IF(V170="","",IF(INDEX('Input Contact Information'!$H$2:$H$200,V170)="","",INDEX('Input Contact Information'!$H$2:$H$200,V170))))</f>
        <v/>
      </c>
      <c r="J170" s="1" t="str">
        <f>IF($B170="","",IF(V170="","",IF(INDEX('Input Contact Information'!$I$2:$I$200,V170)="","",INDEX('Input Contact Information'!$I$2:$I$200,V170))))</f>
        <v/>
      </c>
      <c r="K170" s="1" t="str">
        <f>IF($B170="","",IF(V170="","",IF(INDEX('Input Contact Information'!$A$2:$A$200,V170)="","",INDEX('Input Contact Information'!$A$2:$A$200,V170))))</f>
        <v/>
      </c>
      <c r="L170" s="1" t="str">
        <f>IF($B170="","",IF(W170="","",IF(INDEX('Accounts Overview'!$I$2:$I$100,W170)="","",INDEX('Accounts Overview'!$I$2:$I$100,W170))))</f>
        <v/>
      </c>
      <c r="M170" s="1" t="str">
        <f>IF($B170="","",IF(V170="","",IF(INDEX('Input Contact Information'!$J$2:$J$200,V170)="","",INDEX('Input Contact Information'!$J$2:$J$200,V170))))</f>
        <v/>
      </c>
      <c r="N170" s="1" t="str">
        <f>IF($B170="","",IF(V170="","",IF(INDEX('Input Contact Information'!$K$2:$K$200,V170)="","",INDEX('Input Contact Information'!$K$2:$K$200,V170))))</f>
        <v/>
      </c>
      <c r="O170" s="1" t="str">
        <f>IF($B170="","",IF(V170="","",IF(INDEX('Input Contact Information'!$L$2:$L$200,V170)="","",INDEX('Input Contact Information'!$L$2:$L$200,V170))))</f>
        <v/>
      </c>
      <c r="P170" s="1" t="str">
        <f>IF($B170="","",IF((IF(V170="","",IF(INDEX('Input Contact Information'!$N$2:$N$200,V170)="","",INDEX('Input Contact Information'!$N$2:$N$200,V170))))&lt;&gt;"",IF(V170="","",IF(INDEX('Input Contact Information'!$N$2:$N$200,V170)="","",INDEX('Input Contact Information'!$N$2:$N$200,V170))),IF(V170="","",IF(INDEX('Input Contact Information'!$M$2:$M$200,V170)="","",INDEX('Input Contact Information'!$M$2:$M$200,V170)))))</f>
        <v/>
      </c>
      <c r="Q170" s="1" t="str">
        <f t="shared" si="11"/>
        <v/>
      </c>
      <c r="R170" s="1" t="str">
        <f>IF($B170="","",IF(X170="","",IF(INDEX('Engagements Overview'!$I$2:$I$200,X170)="","",INDEX('Engagements Overview'!$I$2:$I$200,X170))))</f>
        <v/>
      </c>
      <c r="S170" s="14" t="str">
        <f>IF($B170="","",IF(X170="","",IF(INDEX('Engagements Overview'!$K$2:$K$200,X170)="","",INDEX('Engagements Overview'!$K$2:$K$200,X170))))</f>
        <v/>
      </c>
      <c r="T170" s="1" t="str">
        <f>IF($B170="","",IF(V170="","",IF(INDEX('Input Contact Information'!$O$2:$O$200,V170)="","",INDEX('Input Contact Information'!$O$2:$O$200,V170))))</f>
        <v/>
      </c>
      <c r="U170" s="1" t="str">
        <f>IF($B170="","",IF(V170="","",IF(INDEX('Input Contact Information'!$P$2:$P$200,V170)="","",INDEX('Input Contact Information'!$P$2:$P$200,V170))))</f>
        <v/>
      </c>
      <c r="V170" s="1" t="str">
        <f>IF(B170="","",IFERROR(MATCH(B170&amp;"|"&amp;C170,'Input Contact Information'!$W$2:$W$200,0),""))</f>
        <v/>
      </c>
      <c r="W170" s="1" t="str">
        <f>IF(C170="","",IFERROR(MATCH(C170,'Accounts Overview'!$B$2:$B$100,0),""))</f>
        <v/>
      </c>
      <c r="X170" s="1" t="str">
        <f>IF(A170="","",IFERROR(MATCH(A170,'Engagements Overview'!$B$2:$B$200,0),""))</f>
        <v/>
      </c>
    </row>
    <row r="171" spans="1:24" ht="15" customHeight="1" x14ac:dyDescent="0.35">
      <c r="A171" s="13" t="str">
        <f t="shared" si="10"/>
        <v/>
      </c>
      <c r="B171" s="1" t="str">
        <f>IFERROR(INDEX('Input Contact Information'!$C$2:$C$200,MATCH(ROW()-1,'Input Contact Information'!$V$2:$V$200,0)),"")</f>
        <v/>
      </c>
      <c r="C171" s="1" t="str">
        <f>IFERROR(INDEX('Input Contact Information'!$B$2:$B$200,MATCH(ROW()-1,'Input Contact Information'!$V$2:$V$200,0)),"")</f>
        <v/>
      </c>
      <c r="D171" s="1" t="str">
        <f>IF($B171="","",IF(W171="","",INDEX('Accounts Overview'!$A$2:$A$100,W171)))</f>
        <v/>
      </c>
      <c r="E171" s="1" t="str">
        <f>IF($B171="","",IF(V171="","",IF(INDEX('Input Contact Information'!$D$2:$D$200,V171)="","",INDEX('Input Contact Information'!$D$2:$D$200,V171))))</f>
        <v/>
      </c>
      <c r="F171" s="1" t="str">
        <f>IF($B171="","",IF(V171="","",IF(INDEX('Input Contact Information'!$F$2:$F$200,V171)="","",INDEX('Input Contact Information'!$F$2:$F$200,V171))))</f>
        <v/>
      </c>
      <c r="G171" s="1" t="str">
        <f>IF($B171="","",IF(V171="","",IF(INDEX('Input Contact Information'!$E$2:$E$200,V171)="","",INDEX('Input Contact Information'!$E$2:$E$200,V171))))</f>
        <v/>
      </c>
      <c r="H171" s="1" t="str">
        <f>IF($B171="","",IF(V171="","",IF(INDEX('Input Contact Information'!$G$2:$G$200,V171)="","",INDEX('Input Contact Information'!$G$2:$G$200,V171))))</f>
        <v/>
      </c>
      <c r="I171" s="1" t="str">
        <f>IF($B171="","",IF(V171="","",IF(INDEX('Input Contact Information'!$H$2:$H$200,V171)="","",INDEX('Input Contact Information'!$H$2:$H$200,V171))))</f>
        <v/>
      </c>
      <c r="J171" s="1" t="str">
        <f>IF($B171="","",IF(V171="","",IF(INDEX('Input Contact Information'!$I$2:$I$200,V171)="","",INDEX('Input Contact Information'!$I$2:$I$200,V171))))</f>
        <v/>
      </c>
      <c r="K171" s="1" t="str">
        <f>IF($B171="","",IF(V171="","",IF(INDEX('Input Contact Information'!$A$2:$A$200,V171)="","",INDEX('Input Contact Information'!$A$2:$A$200,V171))))</f>
        <v/>
      </c>
      <c r="L171" s="1" t="str">
        <f>IF($B171="","",IF(W171="","",IF(INDEX('Accounts Overview'!$I$2:$I$100,W171)="","",INDEX('Accounts Overview'!$I$2:$I$100,W171))))</f>
        <v/>
      </c>
      <c r="M171" s="1" t="str">
        <f>IF($B171="","",IF(V171="","",IF(INDEX('Input Contact Information'!$J$2:$J$200,V171)="","",INDEX('Input Contact Information'!$J$2:$J$200,V171))))</f>
        <v/>
      </c>
      <c r="N171" s="1" t="str">
        <f>IF($B171="","",IF(V171="","",IF(INDEX('Input Contact Information'!$K$2:$K$200,V171)="","",INDEX('Input Contact Information'!$K$2:$K$200,V171))))</f>
        <v/>
      </c>
      <c r="O171" s="1" t="str">
        <f>IF($B171="","",IF(V171="","",IF(INDEX('Input Contact Information'!$L$2:$L$200,V171)="","",INDEX('Input Contact Information'!$L$2:$L$200,V171))))</f>
        <v/>
      </c>
      <c r="P171" s="1" t="str">
        <f>IF($B171="","",IF((IF(V171="","",IF(INDEX('Input Contact Information'!$N$2:$N$200,V171)="","",INDEX('Input Contact Information'!$N$2:$N$200,V171))))&lt;&gt;"",IF(V171="","",IF(INDEX('Input Contact Information'!$N$2:$N$200,V171)="","",INDEX('Input Contact Information'!$N$2:$N$200,V171))),IF(V171="","",IF(INDEX('Input Contact Information'!$M$2:$M$200,V171)="","",INDEX('Input Contact Information'!$M$2:$M$200,V171)))))</f>
        <v/>
      </c>
      <c r="Q171" s="1" t="str">
        <f t="shared" si="11"/>
        <v/>
      </c>
      <c r="R171" s="1" t="str">
        <f>IF($B171="","",IF(X171="","",IF(INDEX('Engagements Overview'!$I$2:$I$200,X171)="","",INDEX('Engagements Overview'!$I$2:$I$200,X171))))</f>
        <v/>
      </c>
      <c r="S171" s="14" t="str">
        <f>IF($B171="","",IF(X171="","",IF(INDEX('Engagements Overview'!$K$2:$K$200,X171)="","",INDEX('Engagements Overview'!$K$2:$K$200,X171))))</f>
        <v/>
      </c>
      <c r="T171" s="1" t="str">
        <f>IF($B171="","",IF(V171="","",IF(INDEX('Input Contact Information'!$O$2:$O$200,V171)="","",INDEX('Input Contact Information'!$O$2:$O$200,V171))))</f>
        <v/>
      </c>
      <c r="U171" s="1" t="str">
        <f>IF($B171="","",IF(V171="","",IF(INDEX('Input Contact Information'!$P$2:$P$200,V171)="","",INDEX('Input Contact Information'!$P$2:$P$200,V171))))</f>
        <v/>
      </c>
      <c r="V171" s="1" t="str">
        <f>IF(B171="","",IFERROR(MATCH(B171&amp;"|"&amp;C171,'Input Contact Information'!$W$2:$W$200,0),""))</f>
        <v/>
      </c>
      <c r="W171" s="1" t="str">
        <f>IF(C171="","",IFERROR(MATCH(C171,'Accounts Overview'!$B$2:$B$100,0),""))</f>
        <v/>
      </c>
      <c r="X171" s="1" t="str">
        <f>IF(A171="","",IFERROR(MATCH(A171,'Engagements Overview'!$B$2:$B$200,0),""))</f>
        <v/>
      </c>
    </row>
    <row r="172" spans="1:24" ht="15" customHeight="1" x14ac:dyDescent="0.35">
      <c r="A172" s="13" t="str">
        <f t="shared" si="10"/>
        <v/>
      </c>
      <c r="B172" s="1" t="str">
        <f>IFERROR(INDEX('Input Contact Information'!$C$2:$C$200,MATCH(ROW()-1,'Input Contact Information'!$V$2:$V$200,0)),"")</f>
        <v/>
      </c>
      <c r="C172" s="1" t="str">
        <f>IFERROR(INDEX('Input Contact Information'!$B$2:$B$200,MATCH(ROW()-1,'Input Contact Information'!$V$2:$V$200,0)),"")</f>
        <v/>
      </c>
      <c r="D172" s="1" t="str">
        <f>IF($B172="","",IF(W172="","",INDEX('Accounts Overview'!$A$2:$A$100,W172)))</f>
        <v/>
      </c>
      <c r="E172" s="1" t="str">
        <f>IF($B172="","",IF(V172="","",IF(INDEX('Input Contact Information'!$D$2:$D$200,V172)="","",INDEX('Input Contact Information'!$D$2:$D$200,V172))))</f>
        <v/>
      </c>
      <c r="F172" s="1" t="str">
        <f>IF($B172="","",IF(V172="","",IF(INDEX('Input Contact Information'!$F$2:$F$200,V172)="","",INDEX('Input Contact Information'!$F$2:$F$200,V172))))</f>
        <v/>
      </c>
      <c r="G172" s="1" t="str">
        <f>IF($B172="","",IF(V172="","",IF(INDEX('Input Contact Information'!$E$2:$E$200,V172)="","",INDEX('Input Contact Information'!$E$2:$E$200,V172))))</f>
        <v/>
      </c>
      <c r="H172" s="1" t="str">
        <f>IF($B172="","",IF(V172="","",IF(INDEX('Input Contact Information'!$G$2:$G$200,V172)="","",INDEX('Input Contact Information'!$G$2:$G$200,V172))))</f>
        <v/>
      </c>
      <c r="I172" s="1" t="str">
        <f>IF($B172="","",IF(V172="","",IF(INDEX('Input Contact Information'!$H$2:$H$200,V172)="","",INDEX('Input Contact Information'!$H$2:$H$200,V172))))</f>
        <v/>
      </c>
      <c r="J172" s="1" t="str">
        <f>IF($B172="","",IF(V172="","",IF(INDEX('Input Contact Information'!$I$2:$I$200,V172)="","",INDEX('Input Contact Information'!$I$2:$I$200,V172))))</f>
        <v/>
      </c>
      <c r="K172" s="1" t="str">
        <f>IF($B172="","",IF(V172="","",IF(INDEX('Input Contact Information'!$A$2:$A$200,V172)="","",INDEX('Input Contact Information'!$A$2:$A$200,V172))))</f>
        <v/>
      </c>
      <c r="L172" s="1" t="str">
        <f>IF($B172="","",IF(W172="","",IF(INDEX('Accounts Overview'!$I$2:$I$100,W172)="","",INDEX('Accounts Overview'!$I$2:$I$100,W172))))</f>
        <v/>
      </c>
      <c r="M172" s="1" t="str">
        <f>IF($B172="","",IF(V172="","",IF(INDEX('Input Contact Information'!$J$2:$J$200,V172)="","",INDEX('Input Contact Information'!$J$2:$J$200,V172))))</f>
        <v/>
      </c>
      <c r="N172" s="1" t="str">
        <f>IF($B172="","",IF(V172="","",IF(INDEX('Input Contact Information'!$K$2:$K$200,V172)="","",INDEX('Input Contact Information'!$K$2:$K$200,V172))))</f>
        <v/>
      </c>
      <c r="O172" s="1" t="str">
        <f>IF($B172="","",IF(V172="","",IF(INDEX('Input Contact Information'!$L$2:$L$200,V172)="","",INDEX('Input Contact Information'!$L$2:$L$200,V172))))</f>
        <v/>
      </c>
      <c r="P172" s="1" t="str">
        <f>IF($B172="","",IF((IF(V172="","",IF(INDEX('Input Contact Information'!$N$2:$N$200,V172)="","",INDEX('Input Contact Information'!$N$2:$N$200,V172))))&lt;&gt;"",IF(V172="","",IF(INDEX('Input Contact Information'!$N$2:$N$200,V172)="","",INDEX('Input Contact Information'!$N$2:$N$200,V172))),IF(V172="","",IF(INDEX('Input Contact Information'!$M$2:$M$200,V172)="","",INDEX('Input Contact Information'!$M$2:$M$200,V172)))))</f>
        <v/>
      </c>
      <c r="Q172" s="1" t="str">
        <f t="shared" si="11"/>
        <v/>
      </c>
      <c r="R172" s="1" t="str">
        <f>IF($B172="","",IF(X172="","",IF(INDEX('Engagements Overview'!$I$2:$I$200,X172)="","",INDEX('Engagements Overview'!$I$2:$I$200,X172))))</f>
        <v/>
      </c>
      <c r="S172" s="14" t="str">
        <f>IF($B172="","",IF(X172="","",IF(INDEX('Engagements Overview'!$K$2:$K$200,X172)="","",INDEX('Engagements Overview'!$K$2:$K$200,X172))))</f>
        <v/>
      </c>
      <c r="T172" s="1" t="str">
        <f>IF($B172="","",IF(V172="","",IF(INDEX('Input Contact Information'!$O$2:$O$200,V172)="","",INDEX('Input Contact Information'!$O$2:$O$200,V172))))</f>
        <v/>
      </c>
      <c r="U172" s="1" t="str">
        <f>IF($B172="","",IF(V172="","",IF(INDEX('Input Contact Information'!$P$2:$P$200,V172)="","",INDEX('Input Contact Information'!$P$2:$P$200,V172))))</f>
        <v/>
      </c>
      <c r="V172" s="1" t="str">
        <f>IF(B172="","",IFERROR(MATCH(B172&amp;"|"&amp;C172,'Input Contact Information'!$W$2:$W$200,0),""))</f>
        <v/>
      </c>
      <c r="W172" s="1" t="str">
        <f>IF(C172="","",IFERROR(MATCH(C172,'Accounts Overview'!$B$2:$B$100,0),""))</f>
        <v/>
      </c>
      <c r="X172" s="1" t="str">
        <f>IF(A172="","",IFERROR(MATCH(A172,'Engagements Overview'!$B$2:$B$200,0),""))</f>
        <v/>
      </c>
    </row>
    <row r="173" spans="1:24" ht="15" customHeight="1" x14ac:dyDescent="0.35">
      <c r="A173" s="13" t="str">
        <f t="shared" si="10"/>
        <v/>
      </c>
      <c r="B173" s="1" t="str">
        <f>IFERROR(INDEX('Input Contact Information'!$C$2:$C$200,MATCH(ROW()-1,'Input Contact Information'!$V$2:$V$200,0)),"")</f>
        <v/>
      </c>
      <c r="C173" s="1" t="str">
        <f>IFERROR(INDEX('Input Contact Information'!$B$2:$B$200,MATCH(ROW()-1,'Input Contact Information'!$V$2:$V$200,0)),"")</f>
        <v/>
      </c>
      <c r="D173" s="1" t="str">
        <f>IF($B173="","",IF(W173="","",INDEX('Accounts Overview'!$A$2:$A$100,W173)))</f>
        <v/>
      </c>
      <c r="E173" s="1" t="str">
        <f>IF($B173="","",IF(V173="","",IF(INDEX('Input Contact Information'!$D$2:$D$200,V173)="","",INDEX('Input Contact Information'!$D$2:$D$200,V173))))</f>
        <v/>
      </c>
      <c r="F173" s="1" t="str">
        <f>IF($B173="","",IF(V173="","",IF(INDEX('Input Contact Information'!$F$2:$F$200,V173)="","",INDEX('Input Contact Information'!$F$2:$F$200,V173))))</f>
        <v/>
      </c>
      <c r="G173" s="1" t="str">
        <f>IF($B173="","",IF(V173="","",IF(INDEX('Input Contact Information'!$E$2:$E$200,V173)="","",INDEX('Input Contact Information'!$E$2:$E$200,V173))))</f>
        <v/>
      </c>
      <c r="H173" s="1" t="str">
        <f>IF($B173="","",IF(V173="","",IF(INDEX('Input Contact Information'!$G$2:$G$200,V173)="","",INDEX('Input Contact Information'!$G$2:$G$200,V173))))</f>
        <v/>
      </c>
      <c r="I173" s="1" t="str">
        <f>IF($B173="","",IF(V173="","",IF(INDEX('Input Contact Information'!$H$2:$H$200,V173)="","",INDEX('Input Contact Information'!$H$2:$H$200,V173))))</f>
        <v/>
      </c>
      <c r="J173" s="1" t="str">
        <f>IF($B173="","",IF(V173="","",IF(INDEX('Input Contact Information'!$I$2:$I$200,V173)="","",INDEX('Input Contact Information'!$I$2:$I$200,V173))))</f>
        <v/>
      </c>
      <c r="K173" s="1" t="str">
        <f>IF($B173="","",IF(V173="","",IF(INDEX('Input Contact Information'!$A$2:$A$200,V173)="","",INDEX('Input Contact Information'!$A$2:$A$200,V173))))</f>
        <v/>
      </c>
      <c r="L173" s="1" t="str">
        <f>IF($B173="","",IF(W173="","",IF(INDEX('Accounts Overview'!$I$2:$I$100,W173)="","",INDEX('Accounts Overview'!$I$2:$I$100,W173))))</f>
        <v/>
      </c>
      <c r="M173" s="1" t="str">
        <f>IF($B173="","",IF(V173="","",IF(INDEX('Input Contact Information'!$J$2:$J$200,V173)="","",INDEX('Input Contact Information'!$J$2:$J$200,V173))))</f>
        <v/>
      </c>
      <c r="N173" s="1" t="str">
        <f>IF($B173="","",IF(V173="","",IF(INDEX('Input Contact Information'!$K$2:$K$200,V173)="","",INDEX('Input Contact Information'!$K$2:$K$200,V173))))</f>
        <v/>
      </c>
      <c r="O173" s="1" t="str">
        <f>IF($B173="","",IF(V173="","",IF(INDEX('Input Contact Information'!$L$2:$L$200,V173)="","",INDEX('Input Contact Information'!$L$2:$L$200,V173))))</f>
        <v/>
      </c>
      <c r="P173" s="1" t="str">
        <f>IF($B173="","",IF((IF(V173="","",IF(INDEX('Input Contact Information'!$N$2:$N$200,V173)="","",INDEX('Input Contact Information'!$N$2:$N$200,V173))))&lt;&gt;"",IF(V173="","",IF(INDEX('Input Contact Information'!$N$2:$N$200,V173)="","",INDEX('Input Contact Information'!$N$2:$N$200,V173))),IF(V173="","",IF(INDEX('Input Contact Information'!$M$2:$M$200,V173)="","",INDEX('Input Contact Information'!$M$2:$M$200,V173)))))</f>
        <v/>
      </c>
      <c r="Q173" s="1" t="str">
        <f t="shared" si="11"/>
        <v/>
      </c>
      <c r="R173" s="1" t="str">
        <f>IF($B173="","",IF(X173="","",IF(INDEX('Engagements Overview'!$I$2:$I$200,X173)="","",INDEX('Engagements Overview'!$I$2:$I$200,X173))))</f>
        <v/>
      </c>
      <c r="S173" s="14" t="str">
        <f>IF($B173="","",IF(X173="","",IF(INDEX('Engagements Overview'!$K$2:$K$200,X173)="","",INDEX('Engagements Overview'!$K$2:$K$200,X173))))</f>
        <v/>
      </c>
      <c r="T173" s="1" t="str">
        <f>IF($B173="","",IF(V173="","",IF(INDEX('Input Contact Information'!$O$2:$O$200,V173)="","",INDEX('Input Contact Information'!$O$2:$O$200,V173))))</f>
        <v/>
      </c>
      <c r="U173" s="1" t="str">
        <f>IF($B173="","",IF(V173="","",IF(INDEX('Input Contact Information'!$P$2:$P$200,V173)="","",INDEX('Input Contact Information'!$P$2:$P$200,V173))))</f>
        <v/>
      </c>
      <c r="V173" s="1" t="str">
        <f>IF(B173="","",IFERROR(MATCH(B173&amp;"|"&amp;C173,'Input Contact Information'!$W$2:$W$200,0),""))</f>
        <v/>
      </c>
      <c r="W173" s="1" t="str">
        <f>IF(C173="","",IFERROR(MATCH(C173,'Accounts Overview'!$B$2:$B$100,0),""))</f>
        <v/>
      </c>
      <c r="X173" s="1" t="str">
        <f>IF(A173="","",IFERROR(MATCH(A173,'Engagements Overview'!$B$2:$B$200,0),""))</f>
        <v/>
      </c>
    </row>
    <row r="174" spans="1:24" ht="15" customHeight="1" x14ac:dyDescent="0.35">
      <c r="A174" s="13" t="str">
        <f t="shared" si="10"/>
        <v/>
      </c>
      <c r="B174" s="1" t="str">
        <f>IFERROR(INDEX('Input Contact Information'!$C$2:$C$200,MATCH(ROW()-1,'Input Contact Information'!$V$2:$V$200,0)),"")</f>
        <v/>
      </c>
      <c r="C174" s="1" t="str">
        <f>IFERROR(INDEX('Input Contact Information'!$B$2:$B$200,MATCH(ROW()-1,'Input Contact Information'!$V$2:$V$200,0)),"")</f>
        <v/>
      </c>
      <c r="D174" s="1" t="str">
        <f>IF($B174="","",IF(W174="","",INDEX('Accounts Overview'!$A$2:$A$100,W174)))</f>
        <v/>
      </c>
      <c r="E174" s="1" t="str">
        <f>IF($B174="","",IF(V174="","",IF(INDEX('Input Contact Information'!$D$2:$D$200,V174)="","",INDEX('Input Contact Information'!$D$2:$D$200,V174))))</f>
        <v/>
      </c>
      <c r="F174" s="1" t="str">
        <f>IF($B174="","",IF(V174="","",IF(INDEX('Input Contact Information'!$F$2:$F$200,V174)="","",INDEX('Input Contact Information'!$F$2:$F$200,V174))))</f>
        <v/>
      </c>
      <c r="G174" s="1" t="str">
        <f>IF($B174="","",IF(V174="","",IF(INDEX('Input Contact Information'!$E$2:$E$200,V174)="","",INDEX('Input Contact Information'!$E$2:$E$200,V174))))</f>
        <v/>
      </c>
      <c r="H174" s="1" t="str">
        <f>IF($B174="","",IF(V174="","",IF(INDEX('Input Contact Information'!$G$2:$G$200,V174)="","",INDEX('Input Contact Information'!$G$2:$G$200,V174))))</f>
        <v/>
      </c>
      <c r="I174" s="1" t="str">
        <f>IF($B174="","",IF(V174="","",IF(INDEX('Input Contact Information'!$H$2:$H$200,V174)="","",INDEX('Input Contact Information'!$H$2:$H$200,V174))))</f>
        <v/>
      </c>
      <c r="J174" s="1" t="str">
        <f>IF($B174="","",IF(V174="","",IF(INDEX('Input Contact Information'!$I$2:$I$200,V174)="","",INDEX('Input Contact Information'!$I$2:$I$200,V174))))</f>
        <v/>
      </c>
      <c r="K174" s="1" t="str">
        <f>IF($B174="","",IF(V174="","",IF(INDEX('Input Contact Information'!$A$2:$A$200,V174)="","",INDEX('Input Contact Information'!$A$2:$A$200,V174))))</f>
        <v/>
      </c>
      <c r="L174" s="1" t="str">
        <f>IF($B174="","",IF(W174="","",IF(INDEX('Accounts Overview'!$I$2:$I$100,W174)="","",INDEX('Accounts Overview'!$I$2:$I$100,W174))))</f>
        <v/>
      </c>
      <c r="M174" s="1" t="str">
        <f>IF($B174="","",IF(V174="","",IF(INDEX('Input Contact Information'!$J$2:$J$200,V174)="","",INDEX('Input Contact Information'!$J$2:$J$200,V174))))</f>
        <v/>
      </c>
      <c r="N174" s="1" t="str">
        <f>IF($B174="","",IF(V174="","",IF(INDEX('Input Contact Information'!$K$2:$K$200,V174)="","",INDEX('Input Contact Information'!$K$2:$K$200,V174))))</f>
        <v/>
      </c>
      <c r="O174" s="1" t="str">
        <f>IF($B174="","",IF(V174="","",IF(INDEX('Input Contact Information'!$L$2:$L$200,V174)="","",INDEX('Input Contact Information'!$L$2:$L$200,V174))))</f>
        <v/>
      </c>
      <c r="P174" s="1" t="str">
        <f>IF($B174="","",IF((IF(V174="","",IF(INDEX('Input Contact Information'!$N$2:$N$200,V174)="","",INDEX('Input Contact Information'!$N$2:$N$200,V174))))&lt;&gt;"",IF(V174="","",IF(INDEX('Input Contact Information'!$N$2:$N$200,V174)="","",INDEX('Input Contact Information'!$N$2:$N$200,V174))),IF(V174="","",IF(INDEX('Input Contact Information'!$M$2:$M$200,V174)="","",INDEX('Input Contact Information'!$M$2:$M$200,V174)))))</f>
        <v/>
      </c>
      <c r="Q174" s="1" t="str">
        <f t="shared" si="11"/>
        <v/>
      </c>
      <c r="R174" s="1" t="str">
        <f>IF($B174="","",IF(X174="","",IF(INDEX('Engagements Overview'!$I$2:$I$200,X174)="","",INDEX('Engagements Overview'!$I$2:$I$200,X174))))</f>
        <v/>
      </c>
      <c r="S174" s="14" t="str">
        <f>IF($B174="","",IF(X174="","",IF(INDEX('Engagements Overview'!$K$2:$K$200,X174)="","",INDEX('Engagements Overview'!$K$2:$K$200,X174))))</f>
        <v/>
      </c>
      <c r="T174" s="1" t="str">
        <f>IF($B174="","",IF(V174="","",IF(INDEX('Input Contact Information'!$O$2:$O$200,V174)="","",INDEX('Input Contact Information'!$O$2:$O$200,V174))))</f>
        <v/>
      </c>
      <c r="U174" s="1" t="str">
        <f>IF($B174="","",IF(V174="","",IF(INDEX('Input Contact Information'!$P$2:$P$200,V174)="","",INDEX('Input Contact Information'!$P$2:$P$200,V174))))</f>
        <v/>
      </c>
      <c r="V174" s="1" t="str">
        <f>IF(B174="","",IFERROR(MATCH(B174&amp;"|"&amp;C174,'Input Contact Information'!$W$2:$W$200,0),""))</f>
        <v/>
      </c>
      <c r="W174" s="1" t="str">
        <f>IF(C174="","",IFERROR(MATCH(C174,'Accounts Overview'!$B$2:$B$100,0),""))</f>
        <v/>
      </c>
      <c r="X174" s="1" t="str">
        <f>IF(A174="","",IFERROR(MATCH(A174,'Engagements Overview'!$B$2:$B$200,0),""))</f>
        <v/>
      </c>
    </row>
    <row r="175" spans="1:24" ht="15" customHeight="1" x14ac:dyDescent="0.35">
      <c r="A175" s="13" t="str">
        <f t="shared" si="10"/>
        <v/>
      </c>
      <c r="B175" s="1" t="str">
        <f>IFERROR(INDEX('Input Contact Information'!$C$2:$C$200,MATCH(ROW()-1,'Input Contact Information'!$V$2:$V$200,0)),"")</f>
        <v/>
      </c>
      <c r="C175" s="1" t="str">
        <f>IFERROR(INDEX('Input Contact Information'!$B$2:$B$200,MATCH(ROW()-1,'Input Contact Information'!$V$2:$V$200,0)),"")</f>
        <v/>
      </c>
      <c r="D175" s="1" t="str">
        <f>IF($B175="","",IF(W175="","",INDEX('Accounts Overview'!$A$2:$A$100,W175)))</f>
        <v/>
      </c>
      <c r="E175" s="1" t="str">
        <f>IF($B175="","",IF(V175="","",IF(INDEX('Input Contact Information'!$D$2:$D$200,V175)="","",INDEX('Input Contact Information'!$D$2:$D$200,V175))))</f>
        <v/>
      </c>
      <c r="F175" s="1" t="str">
        <f>IF($B175="","",IF(V175="","",IF(INDEX('Input Contact Information'!$F$2:$F$200,V175)="","",INDEX('Input Contact Information'!$F$2:$F$200,V175))))</f>
        <v/>
      </c>
      <c r="G175" s="1" t="str">
        <f>IF($B175="","",IF(V175="","",IF(INDEX('Input Contact Information'!$E$2:$E$200,V175)="","",INDEX('Input Contact Information'!$E$2:$E$200,V175))))</f>
        <v/>
      </c>
      <c r="H175" s="1" t="str">
        <f>IF($B175="","",IF(V175="","",IF(INDEX('Input Contact Information'!$G$2:$G$200,V175)="","",INDEX('Input Contact Information'!$G$2:$G$200,V175))))</f>
        <v/>
      </c>
      <c r="I175" s="1" t="str">
        <f>IF($B175="","",IF(V175="","",IF(INDEX('Input Contact Information'!$H$2:$H$200,V175)="","",INDEX('Input Contact Information'!$H$2:$H$200,V175))))</f>
        <v/>
      </c>
      <c r="J175" s="1" t="str">
        <f>IF($B175="","",IF(V175="","",IF(INDEX('Input Contact Information'!$I$2:$I$200,V175)="","",INDEX('Input Contact Information'!$I$2:$I$200,V175))))</f>
        <v/>
      </c>
      <c r="K175" s="1" t="str">
        <f>IF($B175="","",IF(V175="","",IF(INDEX('Input Contact Information'!$A$2:$A$200,V175)="","",INDEX('Input Contact Information'!$A$2:$A$200,V175))))</f>
        <v/>
      </c>
      <c r="L175" s="1" t="str">
        <f>IF($B175="","",IF(W175="","",IF(INDEX('Accounts Overview'!$I$2:$I$100,W175)="","",INDEX('Accounts Overview'!$I$2:$I$100,W175))))</f>
        <v/>
      </c>
      <c r="M175" s="1" t="str">
        <f>IF($B175="","",IF(V175="","",IF(INDEX('Input Contact Information'!$J$2:$J$200,V175)="","",INDEX('Input Contact Information'!$J$2:$J$200,V175))))</f>
        <v/>
      </c>
      <c r="N175" s="1" t="str">
        <f>IF($B175="","",IF(V175="","",IF(INDEX('Input Contact Information'!$K$2:$K$200,V175)="","",INDEX('Input Contact Information'!$K$2:$K$200,V175))))</f>
        <v/>
      </c>
      <c r="O175" s="1" t="str">
        <f>IF($B175="","",IF(V175="","",IF(INDEX('Input Contact Information'!$L$2:$L$200,V175)="","",INDEX('Input Contact Information'!$L$2:$L$200,V175))))</f>
        <v/>
      </c>
      <c r="P175" s="1" t="str">
        <f>IF($B175="","",IF((IF(V175="","",IF(INDEX('Input Contact Information'!$N$2:$N$200,V175)="","",INDEX('Input Contact Information'!$N$2:$N$200,V175))))&lt;&gt;"",IF(V175="","",IF(INDEX('Input Contact Information'!$N$2:$N$200,V175)="","",INDEX('Input Contact Information'!$N$2:$N$200,V175))),IF(V175="","",IF(INDEX('Input Contact Information'!$M$2:$M$200,V175)="","",INDEX('Input Contact Information'!$M$2:$M$200,V175)))))</f>
        <v/>
      </c>
      <c r="Q175" s="1" t="str">
        <f t="shared" si="11"/>
        <v/>
      </c>
      <c r="R175" s="1" t="str">
        <f>IF($B175="","",IF(X175="","",IF(INDEX('Engagements Overview'!$I$2:$I$200,X175)="","",INDEX('Engagements Overview'!$I$2:$I$200,X175))))</f>
        <v/>
      </c>
      <c r="S175" s="14" t="str">
        <f>IF($B175="","",IF(X175="","",IF(INDEX('Engagements Overview'!$K$2:$K$200,X175)="","",INDEX('Engagements Overview'!$K$2:$K$200,X175))))</f>
        <v/>
      </c>
      <c r="T175" s="1" t="str">
        <f>IF($B175="","",IF(V175="","",IF(INDEX('Input Contact Information'!$O$2:$O$200,V175)="","",INDEX('Input Contact Information'!$O$2:$O$200,V175))))</f>
        <v/>
      </c>
      <c r="U175" s="1" t="str">
        <f>IF($B175="","",IF(V175="","",IF(INDEX('Input Contact Information'!$P$2:$P$200,V175)="","",INDEX('Input Contact Information'!$P$2:$P$200,V175))))</f>
        <v/>
      </c>
      <c r="V175" s="1" t="str">
        <f>IF(B175="","",IFERROR(MATCH(B175&amp;"|"&amp;C175,'Input Contact Information'!$W$2:$W$200,0),""))</f>
        <v/>
      </c>
      <c r="W175" s="1" t="str">
        <f>IF(C175="","",IFERROR(MATCH(C175,'Accounts Overview'!$B$2:$B$100,0),""))</f>
        <v/>
      </c>
      <c r="X175" s="1" t="str">
        <f>IF(A175="","",IFERROR(MATCH(A175,'Engagements Overview'!$B$2:$B$200,0),""))</f>
        <v/>
      </c>
    </row>
    <row r="176" spans="1:24" ht="15" customHeight="1" x14ac:dyDescent="0.35">
      <c r="A176" s="13" t="str">
        <f t="shared" si="10"/>
        <v/>
      </c>
      <c r="B176" s="1" t="str">
        <f>IFERROR(INDEX('Input Contact Information'!$C$2:$C$200,MATCH(ROW()-1,'Input Contact Information'!$V$2:$V$200,0)),"")</f>
        <v/>
      </c>
      <c r="C176" s="1" t="str">
        <f>IFERROR(INDEX('Input Contact Information'!$B$2:$B$200,MATCH(ROW()-1,'Input Contact Information'!$V$2:$V$200,0)),"")</f>
        <v/>
      </c>
      <c r="D176" s="1" t="str">
        <f>IF($B176="","",IF(W176="","",INDEX('Accounts Overview'!$A$2:$A$100,W176)))</f>
        <v/>
      </c>
      <c r="E176" s="1" t="str">
        <f>IF($B176="","",IF(V176="","",IF(INDEX('Input Contact Information'!$D$2:$D$200,V176)="","",INDEX('Input Contact Information'!$D$2:$D$200,V176))))</f>
        <v/>
      </c>
      <c r="F176" s="1" t="str">
        <f>IF($B176="","",IF(V176="","",IF(INDEX('Input Contact Information'!$F$2:$F$200,V176)="","",INDEX('Input Contact Information'!$F$2:$F$200,V176))))</f>
        <v/>
      </c>
      <c r="G176" s="1" t="str">
        <f>IF($B176="","",IF(V176="","",IF(INDEX('Input Contact Information'!$E$2:$E$200,V176)="","",INDEX('Input Contact Information'!$E$2:$E$200,V176))))</f>
        <v/>
      </c>
      <c r="H176" s="1" t="str">
        <f>IF($B176="","",IF(V176="","",IF(INDEX('Input Contact Information'!$G$2:$G$200,V176)="","",INDEX('Input Contact Information'!$G$2:$G$200,V176))))</f>
        <v/>
      </c>
      <c r="I176" s="1" t="str">
        <f>IF($B176="","",IF(V176="","",IF(INDEX('Input Contact Information'!$H$2:$H$200,V176)="","",INDEX('Input Contact Information'!$H$2:$H$200,V176))))</f>
        <v/>
      </c>
      <c r="J176" s="1" t="str">
        <f>IF($B176="","",IF(V176="","",IF(INDEX('Input Contact Information'!$I$2:$I$200,V176)="","",INDEX('Input Contact Information'!$I$2:$I$200,V176))))</f>
        <v/>
      </c>
      <c r="K176" s="1" t="str">
        <f>IF($B176="","",IF(V176="","",IF(INDEX('Input Contact Information'!$A$2:$A$200,V176)="","",INDEX('Input Contact Information'!$A$2:$A$200,V176))))</f>
        <v/>
      </c>
      <c r="L176" s="1" t="str">
        <f>IF($B176="","",IF(W176="","",IF(INDEX('Accounts Overview'!$I$2:$I$100,W176)="","",INDEX('Accounts Overview'!$I$2:$I$100,W176))))</f>
        <v/>
      </c>
      <c r="M176" s="1" t="str">
        <f>IF($B176="","",IF(V176="","",IF(INDEX('Input Contact Information'!$J$2:$J$200,V176)="","",INDEX('Input Contact Information'!$J$2:$J$200,V176))))</f>
        <v/>
      </c>
      <c r="N176" s="1" t="str">
        <f>IF($B176="","",IF(V176="","",IF(INDEX('Input Contact Information'!$K$2:$K$200,V176)="","",INDEX('Input Contact Information'!$K$2:$K$200,V176))))</f>
        <v/>
      </c>
      <c r="O176" s="1" t="str">
        <f>IF($B176="","",IF(V176="","",IF(INDEX('Input Contact Information'!$L$2:$L$200,V176)="","",INDEX('Input Contact Information'!$L$2:$L$200,V176))))</f>
        <v/>
      </c>
      <c r="P176" s="1" t="str">
        <f>IF($B176="","",IF((IF(V176="","",IF(INDEX('Input Contact Information'!$N$2:$N$200,V176)="","",INDEX('Input Contact Information'!$N$2:$N$200,V176))))&lt;&gt;"",IF(V176="","",IF(INDEX('Input Contact Information'!$N$2:$N$200,V176)="","",INDEX('Input Contact Information'!$N$2:$N$200,V176))),IF(V176="","",IF(INDEX('Input Contact Information'!$M$2:$M$200,V176)="","",INDEX('Input Contact Information'!$M$2:$M$200,V176)))))</f>
        <v/>
      </c>
      <c r="Q176" s="1" t="str">
        <f t="shared" si="11"/>
        <v/>
      </c>
      <c r="R176" s="1" t="str">
        <f>IF($B176="","",IF(X176="","",IF(INDEX('Engagements Overview'!$I$2:$I$200,X176)="","",INDEX('Engagements Overview'!$I$2:$I$200,X176))))</f>
        <v/>
      </c>
      <c r="S176" s="14" t="str">
        <f>IF($B176="","",IF(X176="","",IF(INDEX('Engagements Overview'!$K$2:$K$200,X176)="","",INDEX('Engagements Overview'!$K$2:$K$200,X176))))</f>
        <v/>
      </c>
      <c r="T176" s="1" t="str">
        <f>IF($B176="","",IF(V176="","",IF(INDEX('Input Contact Information'!$O$2:$O$200,V176)="","",INDEX('Input Contact Information'!$O$2:$O$200,V176))))</f>
        <v/>
      </c>
      <c r="U176" s="1" t="str">
        <f>IF($B176="","",IF(V176="","",IF(INDEX('Input Contact Information'!$P$2:$P$200,V176)="","",INDEX('Input Contact Information'!$P$2:$P$200,V176))))</f>
        <v/>
      </c>
      <c r="V176" s="1" t="str">
        <f>IF(B176="","",IFERROR(MATCH(B176&amp;"|"&amp;C176,'Input Contact Information'!$W$2:$W$200,0),""))</f>
        <v/>
      </c>
      <c r="W176" s="1" t="str">
        <f>IF(C176="","",IFERROR(MATCH(C176,'Accounts Overview'!$B$2:$B$100,0),""))</f>
        <v/>
      </c>
      <c r="X176" s="1" t="str">
        <f>IF(A176="","",IFERROR(MATCH(A176,'Engagements Overview'!$B$2:$B$200,0),""))</f>
        <v/>
      </c>
    </row>
    <row r="177" spans="1:24" ht="15" customHeight="1" x14ac:dyDescent="0.35">
      <c r="A177" s="13" t="str">
        <f t="shared" si="10"/>
        <v/>
      </c>
      <c r="B177" s="1" t="str">
        <f>IFERROR(INDEX('Input Contact Information'!$C$2:$C$200,MATCH(ROW()-1,'Input Contact Information'!$V$2:$V$200,0)),"")</f>
        <v/>
      </c>
      <c r="C177" s="1" t="str">
        <f>IFERROR(INDEX('Input Contact Information'!$B$2:$B$200,MATCH(ROW()-1,'Input Contact Information'!$V$2:$V$200,0)),"")</f>
        <v/>
      </c>
      <c r="D177" s="1" t="str">
        <f>IF($B177="","",IF(W177="","",INDEX('Accounts Overview'!$A$2:$A$100,W177)))</f>
        <v/>
      </c>
      <c r="E177" s="1" t="str">
        <f>IF($B177="","",IF(V177="","",IF(INDEX('Input Contact Information'!$D$2:$D$200,V177)="","",INDEX('Input Contact Information'!$D$2:$D$200,V177))))</f>
        <v/>
      </c>
      <c r="F177" s="1" t="str">
        <f>IF($B177="","",IF(V177="","",IF(INDEX('Input Contact Information'!$F$2:$F$200,V177)="","",INDEX('Input Contact Information'!$F$2:$F$200,V177))))</f>
        <v/>
      </c>
      <c r="G177" s="1" t="str">
        <f>IF($B177="","",IF(V177="","",IF(INDEX('Input Contact Information'!$E$2:$E$200,V177)="","",INDEX('Input Contact Information'!$E$2:$E$200,V177))))</f>
        <v/>
      </c>
      <c r="H177" s="1" t="str">
        <f>IF($B177="","",IF(V177="","",IF(INDEX('Input Contact Information'!$G$2:$G$200,V177)="","",INDEX('Input Contact Information'!$G$2:$G$200,V177))))</f>
        <v/>
      </c>
      <c r="I177" s="1" t="str">
        <f>IF($B177="","",IF(V177="","",IF(INDEX('Input Contact Information'!$H$2:$H$200,V177)="","",INDEX('Input Contact Information'!$H$2:$H$200,V177))))</f>
        <v/>
      </c>
      <c r="J177" s="1" t="str">
        <f>IF($B177="","",IF(V177="","",IF(INDEX('Input Contact Information'!$I$2:$I$200,V177)="","",INDEX('Input Contact Information'!$I$2:$I$200,V177))))</f>
        <v/>
      </c>
      <c r="K177" s="1" t="str">
        <f>IF($B177="","",IF(V177="","",IF(INDEX('Input Contact Information'!$A$2:$A$200,V177)="","",INDEX('Input Contact Information'!$A$2:$A$200,V177))))</f>
        <v/>
      </c>
      <c r="L177" s="1" t="str">
        <f>IF($B177="","",IF(W177="","",IF(INDEX('Accounts Overview'!$I$2:$I$100,W177)="","",INDEX('Accounts Overview'!$I$2:$I$100,W177))))</f>
        <v/>
      </c>
      <c r="M177" s="1" t="str">
        <f>IF($B177="","",IF(V177="","",IF(INDEX('Input Contact Information'!$J$2:$J$200,V177)="","",INDEX('Input Contact Information'!$J$2:$J$200,V177))))</f>
        <v/>
      </c>
      <c r="N177" s="1" t="str">
        <f>IF($B177="","",IF(V177="","",IF(INDEX('Input Contact Information'!$K$2:$K$200,V177)="","",INDEX('Input Contact Information'!$K$2:$K$200,V177))))</f>
        <v/>
      </c>
      <c r="O177" s="1" t="str">
        <f>IF($B177="","",IF(V177="","",IF(INDEX('Input Contact Information'!$L$2:$L$200,V177)="","",INDEX('Input Contact Information'!$L$2:$L$200,V177))))</f>
        <v/>
      </c>
      <c r="P177" s="1" t="str">
        <f>IF($B177="","",IF((IF(V177="","",IF(INDEX('Input Contact Information'!$N$2:$N$200,V177)="","",INDEX('Input Contact Information'!$N$2:$N$200,V177))))&lt;&gt;"",IF(V177="","",IF(INDEX('Input Contact Information'!$N$2:$N$200,V177)="","",INDEX('Input Contact Information'!$N$2:$N$200,V177))),IF(V177="","",IF(INDEX('Input Contact Information'!$M$2:$M$200,V177)="","",INDEX('Input Contact Information'!$M$2:$M$200,V177)))))</f>
        <v/>
      </c>
      <c r="Q177" s="1" t="str">
        <f t="shared" si="11"/>
        <v/>
      </c>
      <c r="R177" s="1" t="str">
        <f>IF($B177="","",IF(X177="","",IF(INDEX('Engagements Overview'!$I$2:$I$200,X177)="","",INDEX('Engagements Overview'!$I$2:$I$200,X177))))</f>
        <v/>
      </c>
      <c r="S177" s="14" t="str">
        <f>IF($B177="","",IF(X177="","",IF(INDEX('Engagements Overview'!$K$2:$K$200,X177)="","",INDEX('Engagements Overview'!$K$2:$K$200,X177))))</f>
        <v/>
      </c>
      <c r="T177" s="1" t="str">
        <f>IF($B177="","",IF(V177="","",IF(INDEX('Input Contact Information'!$O$2:$O$200,V177)="","",INDEX('Input Contact Information'!$O$2:$O$200,V177))))</f>
        <v/>
      </c>
      <c r="U177" s="1" t="str">
        <f>IF($B177="","",IF(V177="","",IF(INDEX('Input Contact Information'!$P$2:$P$200,V177)="","",INDEX('Input Contact Information'!$P$2:$P$200,V177))))</f>
        <v/>
      </c>
      <c r="V177" s="1" t="str">
        <f>IF(B177="","",IFERROR(MATCH(B177&amp;"|"&amp;C177,'Input Contact Information'!$W$2:$W$200,0),""))</f>
        <v/>
      </c>
      <c r="W177" s="1" t="str">
        <f>IF(C177="","",IFERROR(MATCH(C177,'Accounts Overview'!$B$2:$B$100,0),""))</f>
        <v/>
      </c>
      <c r="X177" s="1" t="str">
        <f>IF(A177="","",IFERROR(MATCH(A177,'Engagements Overview'!$B$2:$B$200,0),""))</f>
        <v/>
      </c>
    </row>
    <row r="178" spans="1:24" ht="15" customHeight="1" x14ac:dyDescent="0.35">
      <c r="A178" s="13" t="str">
        <f t="shared" si="10"/>
        <v/>
      </c>
      <c r="B178" s="1" t="str">
        <f>IFERROR(INDEX('Input Contact Information'!$C$2:$C$200,MATCH(ROW()-1,'Input Contact Information'!$V$2:$V$200,0)),"")</f>
        <v/>
      </c>
      <c r="C178" s="1" t="str">
        <f>IFERROR(INDEX('Input Contact Information'!$B$2:$B$200,MATCH(ROW()-1,'Input Contact Information'!$V$2:$V$200,0)),"")</f>
        <v/>
      </c>
      <c r="D178" s="1" t="str">
        <f>IF($B178="","",IF(W178="","",INDEX('Accounts Overview'!$A$2:$A$100,W178)))</f>
        <v/>
      </c>
      <c r="E178" s="1" t="str">
        <f>IF($B178="","",IF(V178="","",IF(INDEX('Input Contact Information'!$D$2:$D$200,V178)="","",INDEX('Input Contact Information'!$D$2:$D$200,V178))))</f>
        <v/>
      </c>
      <c r="F178" s="1" t="str">
        <f>IF($B178="","",IF(V178="","",IF(INDEX('Input Contact Information'!$F$2:$F$200,V178)="","",INDEX('Input Contact Information'!$F$2:$F$200,V178))))</f>
        <v/>
      </c>
      <c r="G178" s="1" t="str">
        <f>IF($B178="","",IF(V178="","",IF(INDEX('Input Contact Information'!$E$2:$E$200,V178)="","",INDEX('Input Contact Information'!$E$2:$E$200,V178))))</f>
        <v/>
      </c>
      <c r="H178" s="1" t="str">
        <f>IF($B178="","",IF(V178="","",IF(INDEX('Input Contact Information'!$G$2:$G$200,V178)="","",INDEX('Input Contact Information'!$G$2:$G$200,V178))))</f>
        <v/>
      </c>
      <c r="I178" s="1" t="str">
        <f>IF($B178="","",IF(V178="","",IF(INDEX('Input Contact Information'!$H$2:$H$200,V178)="","",INDEX('Input Contact Information'!$H$2:$H$200,V178))))</f>
        <v/>
      </c>
      <c r="J178" s="1" t="str">
        <f>IF($B178="","",IF(V178="","",IF(INDEX('Input Contact Information'!$I$2:$I$200,V178)="","",INDEX('Input Contact Information'!$I$2:$I$200,V178))))</f>
        <v/>
      </c>
      <c r="K178" s="1" t="str">
        <f>IF($B178="","",IF(V178="","",IF(INDEX('Input Contact Information'!$A$2:$A$200,V178)="","",INDEX('Input Contact Information'!$A$2:$A$200,V178))))</f>
        <v/>
      </c>
      <c r="L178" s="1" t="str">
        <f>IF($B178="","",IF(W178="","",IF(INDEX('Accounts Overview'!$I$2:$I$100,W178)="","",INDEX('Accounts Overview'!$I$2:$I$100,W178))))</f>
        <v/>
      </c>
      <c r="M178" s="1" t="str">
        <f>IF($B178="","",IF(V178="","",IF(INDEX('Input Contact Information'!$J$2:$J$200,V178)="","",INDEX('Input Contact Information'!$J$2:$J$200,V178))))</f>
        <v/>
      </c>
      <c r="N178" s="1" t="str">
        <f>IF($B178="","",IF(V178="","",IF(INDEX('Input Contact Information'!$K$2:$K$200,V178)="","",INDEX('Input Contact Information'!$K$2:$K$200,V178))))</f>
        <v/>
      </c>
      <c r="O178" s="1" t="str">
        <f>IF($B178="","",IF(V178="","",IF(INDEX('Input Contact Information'!$L$2:$L$200,V178)="","",INDEX('Input Contact Information'!$L$2:$L$200,V178))))</f>
        <v/>
      </c>
      <c r="P178" s="1" t="str">
        <f>IF($B178="","",IF((IF(V178="","",IF(INDEX('Input Contact Information'!$N$2:$N$200,V178)="","",INDEX('Input Contact Information'!$N$2:$N$200,V178))))&lt;&gt;"",IF(V178="","",IF(INDEX('Input Contact Information'!$N$2:$N$200,V178)="","",INDEX('Input Contact Information'!$N$2:$N$200,V178))),IF(V178="","",IF(INDEX('Input Contact Information'!$M$2:$M$200,V178)="","",INDEX('Input Contact Information'!$M$2:$M$200,V178)))))</f>
        <v/>
      </c>
      <c r="Q178" s="1" t="str">
        <f t="shared" si="11"/>
        <v/>
      </c>
      <c r="R178" s="1" t="str">
        <f>IF($B178="","",IF(X178="","",IF(INDEX('Engagements Overview'!$I$2:$I$200,X178)="","",INDEX('Engagements Overview'!$I$2:$I$200,X178))))</f>
        <v/>
      </c>
      <c r="S178" s="14" t="str">
        <f>IF($B178="","",IF(X178="","",IF(INDEX('Engagements Overview'!$K$2:$K$200,X178)="","",INDEX('Engagements Overview'!$K$2:$K$200,X178))))</f>
        <v/>
      </c>
      <c r="T178" s="1" t="str">
        <f>IF($B178="","",IF(V178="","",IF(INDEX('Input Contact Information'!$O$2:$O$200,V178)="","",INDEX('Input Contact Information'!$O$2:$O$200,V178))))</f>
        <v/>
      </c>
      <c r="U178" s="1" t="str">
        <f>IF($B178="","",IF(V178="","",IF(INDEX('Input Contact Information'!$P$2:$P$200,V178)="","",INDEX('Input Contact Information'!$P$2:$P$200,V178))))</f>
        <v/>
      </c>
      <c r="V178" s="1" t="str">
        <f>IF(B178="","",IFERROR(MATCH(B178&amp;"|"&amp;C178,'Input Contact Information'!$W$2:$W$200,0),""))</f>
        <v/>
      </c>
      <c r="W178" s="1" t="str">
        <f>IF(C178="","",IFERROR(MATCH(C178,'Accounts Overview'!$B$2:$B$100,0),""))</f>
        <v/>
      </c>
      <c r="X178" s="1" t="str">
        <f>IF(A178="","",IFERROR(MATCH(A178,'Engagements Overview'!$B$2:$B$200,0),""))</f>
        <v/>
      </c>
    </row>
    <row r="179" spans="1:24" ht="15" customHeight="1" x14ac:dyDescent="0.35">
      <c r="A179" s="13" t="str">
        <f t="shared" si="10"/>
        <v/>
      </c>
      <c r="B179" s="1" t="str">
        <f>IFERROR(INDEX('Input Contact Information'!$C$2:$C$200,MATCH(ROW()-1,'Input Contact Information'!$V$2:$V$200,0)),"")</f>
        <v/>
      </c>
      <c r="C179" s="1" t="str">
        <f>IFERROR(INDEX('Input Contact Information'!$B$2:$B$200,MATCH(ROW()-1,'Input Contact Information'!$V$2:$V$200,0)),"")</f>
        <v/>
      </c>
      <c r="D179" s="1" t="str">
        <f>IF($B179="","",IF(W179="","",INDEX('Accounts Overview'!$A$2:$A$100,W179)))</f>
        <v/>
      </c>
      <c r="E179" s="1" t="str">
        <f>IF($B179="","",IF(V179="","",IF(INDEX('Input Contact Information'!$D$2:$D$200,V179)="","",INDEX('Input Contact Information'!$D$2:$D$200,V179))))</f>
        <v/>
      </c>
      <c r="F179" s="1" t="str">
        <f>IF($B179="","",IF(V179="","",IF(INDEX('Input Contact Information'!$F$2:$F$200,V179)="","",INDEX('Input Contact Information'!$F$2:$F$200,V179))))</f>
        <v/>
      </c>
      <c r="G179" s="1" t="str">
        <f>IF($B179="","",IF(V179="","",IF(INDEX('Input Contact Information'!$E$2:$E$200,V179)="","",INDEX('Input Contact Information'!$E$2:$E$200,V179))))</f>
        <v/>
      </c>
      <c r="H179" s="1" t="str">
        <f>IF($B179="","",IF(V179="","",IF(INDEX('Input Contact Information'!$G$2:$G$200,V179)="","",INDEX('Input Contact Information'!$G$2:$G$200,V179))))</f>
        <v/>
      </c>
      <c r="I179" s="1" t="str">
        <f>IF($B179="","",IF(V179="","",IF(INDEX('Input Contact Information'!$H$2:$H$200,V179)="","",INDEX('Input Contact Information'!$H$2:$H$200,V179))))</f>
        <v/>
      </c>
      <c r="J179" s="1" t="str">
        <f>IF($B179="","",IF(V179="","",IF(INDEX('Input Contact Information'!$I$2:$I$200,V179)="","",INDEX('Input Contact Information'!$I$2:$I$200,V179))))</f>
        <v/>
      </c>
      <c r="K179" s="1" t="str">
        <f>IF($B179="","",IF(V179="","",IF(INDEX('Input Contact Information'!$A$2:$A$200,V179)="","",INDEX('Input Contact Information'!$A$2:$A$200,V179))))</f>
        <v/>
      </c>
      <c r="L179" s="1" t="str">
        <f>IF($B179="","",IF(W179="","",IF(INDEX('Accounts Overview'!$I$2:$I$100,W179)="","",INDEX('Accounts Overview'!$I$2:$I$100,W179))))</f>
        <v/>
      </c>
      <c r="M179" s="1" t="str">
        <f>IF($B179="","",IF(V179="","",IF(INDEX('Input Contact Information'!$J$2:$J$200,V179)="","",INDEX('Input Contact Information'!$J$2:$J$200,V179))))</f>
        <v/>
      </c>
      <c r="N179" s="1" t="str">
        <f>IF($B179="","",IF(V179="","",IF(INDEX('Input Contact Information'!$K$2:$K$200,V179)="","",INDEX('Input Contact Information'!$K$2:$K$200,V179))))</f>
        <v/>
      </c>
      <c r="O179" s="1" t="str">
        <f>IF($B179="","",IF(V179="","",IF(INDEX('Input Contact Information'!$L$2:$L$200,V179)="","",INDEX('Input Contact Information'!$L$2:$L$200,V179))))</f>
        <v/>
      </c>
      <c r="P179" s="1" t="str">
        <f>IF($B179="","",IF((IF(V179="","",IF(INDEX('Input Contact Information'!$N$2:$N$200,V179)="","",INDEX('Input Contact Information'!$N$2:$N$200,V179))))&lt;&gt;"",IF(V179="","",IF(INDEX('Input Contact Information'!$N$2:$N$200,V179)="","",INDEX('Input Contact Information'!$N$2:$N$200,V179))),IF(V179="","",IF(INDEX('Input Contact Information'!$M$2:$M$200,V179)="","",INDEX('Input Contact Information'!$M$2:$M$200,V179)))))</f>
        <v/>
      </c>
      <c r="Q179" s="1" t="str">
        <f t="shared" si="11"/>
        <v/>
      </c>
      <c r="R179" s="1" t="str">
        <f>IF($B179="","",IF(X179="","",IF(INDEX('Engagements Overview'!$I$2:$I$200,X179)="","",INDEX('Engagements Overview'!$I$2:$I$200,X179))))</f>
        <v/>
      </c>
      <c r="S179" s="14" t="str">
        <f>IF($B179="","",IF(X179="","",IF(INDEX('Engagements Overview'!$K$2:$K$200,X179)="","",INDEX('Engagements Overview'!$K$2:$K$200,X179))))</f>
        <v/>
      </c>
      <c r="T179" s="1" t="str">
        <f>IF($B179="","",IF(V179="","",IF(INDEX('Input Contact Information'!$O$2:$O$200,V179)="","",INDEX('Input Contact Information'!$O$2:$O$200,V179))))</f>
        <v/>
      </c>
      <c r="U179" s="1" t="str">
        <f>IF($B179="","",IF(V179="","",IF(INDEX('Input Contact Information'!$P$2:$P$200,V179)="","",INDEX('Input Contact Information'!$P$2:$P$200,V179))))</f>
        <v/>
      </c>
      <c r="V179" s="1" t="str">
        <f>IF(B179="","",IFERROR(MATCH(B179&amp;"|"&amp;C179,'Input Contact Information'!$W$2:$W$200,0),""))</f>
        <v/>
      </c>
      <c r="W179" s="1" t="str">
        <f>IF(C179="","",IFERROR(MATCH(C179,'Accounts Overview'!$B$2:$B$100,0),""))</f>
        <v/>
      </c>
      <c r="X179" s="1" t="str">
        <f>IF(A179="","",IFERROR(MATCH(A179,'Engagements Overview'!$B$2:$B$200,0),""))</f>
        <v/>
      </c>
    </row>
    <row r="180" spans="1:24" ht="15" customHeight="1" x14ac:dyDescent="0.35">
      <c r="A180" s="13" t="str">
        <f t="shared" si="10"/>
        <v/>
      </c>
      <c r="B180" s="1" t="str">
        <f>IFERROR(INDEX('Input Contact Information'!$C$2:$C$200,MATCH(ROW()-1,'Input Contact Information'!$V$2:$V$200,0)),"")</f>
        <v/>
      </c>
      <c r="C180" s="1" t="str">
        <f>IFERROR(INDEX('Input Contact Information'!$B$2:$B$200,MATCH(ROW()-1,'Input Contact Information'!$V$2:$V$200,0)),"")</f>
        <v/>
      </c>
      <c r="D180" s="1" t="str">
        <f>IF($B180="","",IF(W180="","",INDEX('Accounts Overview'!$A$2:$A$100,W180)))</f>
        <v/>
      </c>
      <c r="E180" s="1" t="str">
        <f>IF($B180="","",IF(V180="","",IF(INDEX('Input Contact Information'!$D$2:$D$200,V180)="","",INDEX('Input Contact Information'!$D$2:$D$200,V180))))</f>
        <v/>
      </c>
      <c r="F180" s="1" t="str">
        <f>IF($B180="","",IF(V180="","",IF(INDEX('Input Contact Information'!$F$2:$F$200,V180)="","",INDEX('Input Contact Information'!$F$2:$F$200,V180))))</f>
        <v/>
      </c>
      <c r="G180" s="1" t="str">
        <f>IF($B180="","",IF(V180="","",IF(INDEX('Input Contact Information'!$E$2:$E$200,V180)="","",INDEX('Input Contact Information'!$E$2:$E$200,V180))))</f>
        <v/>
      </c>
      <c r="H180" s="1" t="str">
        <f>IF($B180="","",IF(V180="","",IF(INDEX('Input Contact Information'!$G$2:$G$200,V180)="","",INDEX('Input Contact Information'!$G$2:$G$200,V180))))</f>
        <v/>
      </c>
      <c r="I180" s="1" t="str">
        <f>IF($B180="","",IF(V180="","",IF(INDEX('Input Contact Information'!$H$2:$H$200,V180)="","",INDEX('Input Contact Information'!$H$2:$H$200,V180))))</f>
        <v/>
      </c>
      <c r="J180" s="1" t="str">
        <f>IF($B180="","",IF(V180="","",IF(INDEX('Input Contact Information'!$I$2:$I$200,V180)="","",INDEX('Input Contact Information'!$I$2:$I$200,V180))))</f>
        <v/>
      </c>
      <c r="K180" s="1" t="str">
        <f>IF($B180="","",IF(V180="","",IF(INDEX('Input Contact Information'!$A$2:$A$200,V180)="","",INDEX('Input Contact Information'!$A$2:$A$200,V180))))</f>
        <v/>
      </c>
      <c r="L180" s="1" t="str">
        <f>IF($B180="","",IF(W180="","",IF(INDEX('Accounts Overview'!$I$2:$I$100,W180)="","",INDEX('Accounts Overview'!$I$2:$I$100,W180))))</f>
        <v/>
      </c>
      <c r="M180" s="1" t="str">
        <f>IF($B180="","",IF(V180="","",IF(INDEX('Input Contact Information'!$J$2:$J$200,V180)="","",INDEX('Input Contact Information'!$J$2:$J$200,V180))))</f>
        <v/>
      </c>
      <c r="N180" s="1" t="str">
        <f>IF($B180="","",IF(V180="","",IF(INDEX('Input Contact Information'!$K$2:$K$200,V180)="","",INDEX('Input Contact Information'!$K$2:$K$200,V180))))</f>
        <v/>
      </c>
      <c r="O180" s="1" t="str">
        <f>IF($B180="","",IF(V180="","",IF(INDEX('Input Contact Information'!$L$2:$L$200,V180)="","",INDEX('Input Contact Information'!$L$2:$L$200,V180))))</f>
        <v/>
      </c>
      <c r="P180" s="1" t="str">
        <f>IF($B180="","",IF((IF(V180="","",IF(INDEX('Input Contact Information'!$N$2:$N$200,V180)="","",INDEX('Input Contact Information'!$N$2:$N$200,V180))))&lt;&gt;"",IF(V180="","",IF(INDEX('Input Contact Information'!$N$2:$N$200,V180)="","",INDEX('Input Contact Information'!$N$2:$N$200,V180))),IF(V180="","",IF(INDEX('Input Contact Information'!$M$2:$M$200,V180)="","",INDEX('Input Contact Information'!$M$2:$M$200,V180)))))</f>
        <v/>
      </c>
      <c r="Q180" s="1" t="str">
        <f t="shared" si="11"/>
        <v/>
      </c>
      <c r="R180" s="1" t="str">
        <f>IF($B180="","",IF(X180="","",IF(INDEX('Engagements Overview'!$I$2:$I$200,X180)="","",INDEX('Engagements Overview'!$I$2:$I$200,X180))))</f>
        <v/>
      </c>
      <c r="S180" s="14" t="str">
        <f>IF($B180="","",IF(X180="","",IF(INDEX('Engagements Overview'!$K$2:$K$200,X180)="","",INDEX('Engagements Overview'!$K$2:$K$200,X180))))</f>
        <v/>
      </c>
      <c r="T180" s="1" t="str">
        <f>IF($B180="","",IF(V180="","",IF(INDEX('Input Contact Information'!$O$2:$O$200,V180)="","",INDEX('Input Contact Information'!$O$2:$O$200,V180))))</f>
        <v/>
      </c>
      <c r="U180" s="1" t="str">
        <f>IF($B180="","",IF(V180="","",IF(INDEX('Input Contact Information'!$P$2:$P$200,V180)="","",INDEX('Input Contact Information'!$P$2:$P$200,V180))))</f>
        <v/>
      </c>
      <c r="V180" s="1" t="str">
        <f>IF(B180="","",IFERROR(MATCH(B180&amp;"|"&amp;C180,'Input Contact Information'!$W$2:$W$200,0),""))</f>
        <v/>
      </c>
      <c r="W180" s="1" t="str">
        <f>IF(C180="","",IFERROR(MATCH(C180,'Accounts Overview'!$B$2:$B$100,0),""))</f>
        <v/>
      </c>
      <c r="X180" s="1" t="str">
        <f>IF(A180="","",IFERROR(MATCH(A180,'Engagements Overview'!$B$2:$B$200,0),""))</f>
        <v/>
      </c>
    </row>
    <row r="181" spans="1:24" ht="15" customHeight="1" x14ac:dyDescent="0.35">
      <c r="A181" s="13" t="str">
        <f t="shared" si="10"/>
        <v/>
      </c>
      <c r="B181" s="1" t="str">
        <f>IFERROR(INDEX('Input Contact Information'!$C$2:$C$200,MATCH(ROW()-1,'Input Contact Information'!$V$2:$V$200,0)),"")</f>
        <v/>
      </c>
      <c r="C181" s="1" t="str">
        <f>IFERROR(INDEX('Input Contact Information'!$B$2:$B$200,MATCH(ROW()-1,'Input Contact Information'!$V$2:$V$200,0)),"")</f>
        <v/>
      </c>
      <c r="D181" s="1" t="str">
        <f>IF($B181="","",IF(W181="","",INDEX('Accounts Overview'!$A$2:$A$100,W181)))</f>
        <v/>
      </c>
      <c r="E181" s="1" t="str">
        <f>IF($B181="","",IF(V181="","",IF(INDEX('Input Contact Information'!$D$2:$D$200,V181)="","",INDEX('Input Contact Information'!$D$2:$D$200,V181))))</f>
        <v/>
      </c>
      <c r="F181" s="1" t="str">
        <f>IF($B181="","",IF(V181="","",IF(INDEX('Input Contact Information'!$F$2:$F$200,V181)="","",INDEX('Input Contact Information'!$F$2:$F$200,V181))))</f>
        <v/>
      </c>
      <c r="G181" s="1" t="str">
        <f>IF($B181="","",IF(V181="","",IF(INDEX('Input Contact Information'!$E$2:$E$200,V181)="","",INDEX('Input Contact Information'!$E$2:$E$200,V181))))</f>
        <v/>
      </c>
      <c r="H181" s="1" t="str">
        <f>IF($B181="","",IF(V181="","",IF(INDEX('Input Contact Information'!$G$2:$G$200,V181)="","",INDEX('Input Contact Information'!$G$2:$G$200,V181))))</f>
        <v/>
      </c>
      <c r="I181" s="1" t="str">
        <f>IF($B181="","",IF(V181="","",IF(INDEX('Input Contact Information'!$H$2:$H$200,V181)="","",INDEX('Input Contact Information'!$H$2:$H$200,V181))))</f>
        <v/>
      </c>
      <c r="J181" s="1" t="str">
        <f>IF($B181="","",IF(V181="","",IF(INDEX('Input Contact Information'!$I$2:$I$200,V181)="","",INDEX('Input Contact Information'!$I$2:$I$200,V181))))</f>
        <v/>
      </c>
      <c r="K181" s="1" t="str">
        <f>IF($B181="","",IF(V181="","",IF(INDEX('Input Contact Information'!$A$2:$A$200,V181)="","",INDEX('Input Contact Information'!$A$2:$A$200,V181))))</f>
        <v/>
      </c>
      <c r="L181" s="1" t="str">
        <f>IF($B181="","",IF(W181="","",IF(INDEX('Accounts Overview'!$I$2:$I$100,W181)="","",INDEX('Accounts Overview'!$I$2:$I$100,W181))))</f>
        <v/>
      </c>
      <c r="M181" s="1" t="str">
        <f>IF($B181="","",IF(V181="","",IF(INDEX('Input Contact Information'!$J$2:$J$200,V181)="","",INDEX('Input Contact Information'!$J$2:$J$200,V181))))</f>
        <v/>
      </c>
      <c r="N181" s="1" t="str">
        <f>IF($B181="","",IF(V181="","",IF(INDEX('Input Contact Information'!$K$2:$K$200,V181)="","",INDEX('Input Contact Information'!$K$2:$K$200,V181))))</f>
        <v/>
      </c>
      <c r="O181" s="1" t="str">
        <f>IF($B181="","",IF(V181="","",IF(INDEX('Input Contact Information'!$L$2:$L$200,V181)="","",INDEX('Input Contact Information'!$L$2:$L$200,V181))))</f>
        <v/>
      </c>
      <c r="P181" s="1" t="str">
        <f>IF($B181="","",IF((IF(V181="","",IF(INDEX('Input Contact Information'!$N$2:$N$200,V181)="","",INDEX('Input Contact Information'!$N$2:$N$200,V181))))&lt;&gt;"",IF(V181="","",IF(INDEX('Input Contact Information'!$N$2:$N$200,V181)="","",INDEX('Input Contact Information'!$N$2:$N$200,V181))),IF(V181="","",IF(INDEX('Input Contact Information'!$M$2:$M$200,V181)="","",INDEX('Input Contact Information'!$M$2:$M$200,V181)))))</f>
        <v/>
      </c>
      <c r="Q181" s="1" t="str">
        <f t="shared" si="11"/>
        <v/>
      </c>
      <c r="R181" s="1" t="str">
        <f>IF($B181="","",IF(X181="","",IF(INDEX('Engagements Overview'!$I$2:$I$200,X181)="","",INDEX('Engagements Overview'!$I$2:$I$200,X181))))</f>
        <v/>
      </c>
      <c r="S181" s="14" t="str">
        <f>IF($B181="","",IF(X181="","",IF(INDEX('Engagements Overview'!$K$2:$K$200,X181)="","",INDEX('Engagements Overview'!$K$2:$K$200,X181))))</f>
        <v/>
      </c>
      <c r="T181" s="1" t="str">
        <f>IF($B181="","",IF(V181="","",IF(INDEX('Input Contact Information'!$O$2:$O$200,V181)="","",INDEX('Input Contact Information'!$O$2:$O$200,V181))))</f>
        <v/>
      </c>
      <c r="U181" s="1" t="str">
        <f>IF($B181="","",IF(V181="","",IF(INDEX('Input Contact Information'!$P$2:$P$200,V181)="","",INDEX('Input Contact Information'!$P$2:$P$200,V181))))</f>
        <v/>
      </c>
      <c r="V181" s="1" t="str">
        <f>IF(B181="","",IFERROR(MATCH(B181&amp;"|"&amp;C181,'Input Contact Information'!$W$2:$W$200,0),""))</f>
        <v/>
      </c>
      <c r="W181" s="1" t="str">
        <f>IF(C181="","",IFERROR(MATCH(C181,'Accounts Overview'!$B$2:$B$100,0),""))</f>
        <v/>
      </c>
      <c r="X181" s="1" t="str">
        <f>IF(A181="","",IFERROR(MATCH(A181,'Engagements Overview'!$B$2:$B$200,0),""))</f>
        <v/>
      </c>
    </row>
    <row r="182" spans="1:24" ht="15" customHeight="1" x14ac:dyDescent="0.35">
      <c r="A182" s="13" t="str">
        <f t="shared" si="10"/>
        <v/>
      </c>
      <c r="B182" s="1" t="str">
        <f>IFERROR(INDEX('Input Contact Information'!$C$2:$C$200,MATCH(ROW()-1,'Input Contact Information'!$V$2:$V$200,0)),"")</f>
        <v/>
      </c>
      <c r="C182" s="1" t="str">
        <f>IFERROR(INDEX('Input Contact Information'!$B$2:$B$200,MATCH(ROW()-1,'Input Contact Information'!$V$2:$V$200,0)),"")</f>
        <v/>
      </c>
      <c r="D182" s="1" t="str">
        <f>IF($B182="","",IF(W182="","",INDEX('Accounts Overview'!$A$2:$A$100,W182)))</f>
        <v/>
      </c>
      <c r="E182" s="1" t="str">
        <f>IF($B182="","",IF(V182="","",IF(INDEX('Input Contact Information'!$D$2:$D$200,V182)="","",INDEX('Input Contact Information'!$D$2:$D$200,V182))))</f>
        <v/>
      </c>
      <c r="F182" s="1" t="str">
        <f>IF($B182="","",IF(V182="","",IF(INDEX('Input Contact Information'!$F$2:$F$200,V182)="","",INDEX('Input Contact Information'!$F$2:$F$200,V182))))</f>
        <v/>
      </c>
      <c r="G182" s="1" t="str">
        <f>IF($B182="","",IF(V182="","",IF(INDEX('Input Contact Information'!$E$2:$E$200,V182)="","",INDEX('Input Contact Information'!$E$2:$E$200,V182))))</f>
        <v/>
      </c>
      <c r="H182" s="1" t="str">
        <f>IF($B182="","",IF(V182="","",IF(INDEX('Input Contact Information'!$G$2:$G$200,V182)="","",INDEX('Input Contact Information'!$G$2:$G$200,V182))))</f>
        <v/>
      </c>
      <c r="I182" s="1" t="str">
        <f>IF($B182="","",IF(V182="","",IF(INDEX('Input Contact Information'!$H$2:$H$200,V182)="","",INDEX('Input Contact Information'!$H$2:$H$200,V182))))</f>
        <v/>
      </c>
      <c r="J182" s="1" t="str">
        <f>IF($B182="","",IF(V182="","",IF(INDEX('Input Contact Information'!$I$2:$I$200,V182)="","",INDEX('Input Contact Information'!$I$2:$I$200,V182))))</f>
        <v/>
      </c>
      <c r="K182" s="1" t="str">
        <f>IF($B182="","",IF(V182="","",IF(INDEX('Input Contact Information'!$A$2:$A$200,V182)="","",INDEX('Input Contact Information'!$A$2:$A$200,V182))))</f>
        <v/>
      </c>
      <c r="L182" s="1" t="str">
        <f>IF($B182="","",IF(W182="","",IF(INDEX('Accounts Overview'!$I$2:$I$100,W182)="","",INDEX('Accounts Overview'!$I$2:$I$100,W182))))</f>
        <v/>
      </c>
      <c r="M182" s="1" t="str">
        <f>IF($B182="","",IF(V182="","",IF(INDEX('Input Contact Information'!$J$2:$J$200,V182)="","",INDEX('Input Contact Information'!$J$2:$J$200,V182))))</f>
        <v/>
      </c>
      <c r="N182" s="1" t="str">
        <f>IF($B182="","",IF(V182="","",IF(INDEX('Input Contact Information'!$K$2:$K$200,V182)="","",INDEX('Input Contact Information'!$K$2:$K$200,V182))))</f>
        <v/>
      </c>
      <c r="O182" s="1" t="str">
        <f>IF($B182="","",IF(V182="","",IF(INDEX('Input Contact Information'!$L$2:$L$200,V182)="","",INDEX('Input Contact Information'!$L$2:$L$200,V182))))</f>
        <v/>
      </c>
      <c r="P182" s="1" t="str">
        <f>IF($B182="","",IF((IF(V182="","",IF(INDEX('Input Contact Information'!$N$2:$N$200,V182)="","",INDEX('Input Contact Information'!$N$2:$N$200,V182))))&lt;&gt;"",IF(V182="","",IF(INDEX('Input Contact Information'!$N$2:$N$200,V182)="","",INDEX('Input Contact Information'!$N$2:$N$200,V182))),IF(V182="","",IF(INDEX('Input Contact Information'!$M$2:$M$200,V182)="","",INDEX('Input Contact Information'!$M$2:$M$200,V182)))))</f>
        <v/>
      </c>
      <c r="Q182" s="1" t="str">
        <f t="shared" si="11"/>
        <v/>
      </c>
      <c r="R182" s="1" t="str">
        <f>IF($B182="","",IF(X182="","",IF(INDEX('Engagements Overview'!$I$2:$I$200,X182)="","",INDEX('Engagements Overview'!$I$2:$I$200,X182))))</f>
        <v/>
      </c>
      <c r="S182" s="14" t="str">
        <f>IF($B182="","",IF(X182="","",IF(INDEX('Engagements Overview'!$K$2:$K$200,X182)="","",INDEX('Engagements Overview'!$K$2:$K$200,X182))))</f>
        <v/>
      </c>
      <c r="T182" s="1" t="str">
        <f>IF($B182="","",IF(V182="","",IF(INDEX('Input Contact Information'!$O$2:$O$200,V182)="","",INDEX('Input Contact Information'!$O$2:$O$200,V182))))</f>
        <v/>
      </c>
      <c r="U182" s="1" t="str">
        <f>IF($B182="","",IF(V182="","",IF(INDEX('Input Contact Information'!$P$2:$P$200,V182)="","",INDEX('Input Contact Information'!$P$2:$P$200,V182))))</f>
        <v/>
      </c>
      <c r="V182" s="1" t="str">
        <f>IF(B182="","",IFERROR(MATCH(B182&amp;"|"&amp;C182,'Input Contact Information'!$W$2:$W$200,0),""))</f>
        <v/>
      </c>
      <c r="W182" s="1" t="str">
        <f>IF(C182="","",IFERROR(MATCH(C182,'Accounts Overview'!$B$2:$B$100,0),""))</f>
        <v/>
      </c>
      <c r="X182" s="1" t="str">
        <f>IF(A182="","",IFERROR(MATCH(A182,'Engagements Overview'!$B$2:$B$200,0),""))</f>
        <v/>
      </c>
    </row>
    <row r="183" spans="1:24" ht="15" customHeight="1" x14ac:dyDescent="0.35">
      <c r="A183" s="13" t="str">
        <f t="shared" si="10"/>
        <v/>
      </c>
      <c r="B183" s="1" t="str">
        <f>IFERROR(INDEX('Input Contact Information'!$C$2:$C$200,MATCH(ROW()-1,'Input Contact Information'!$V$2:$V$200,0)),"")</f>
        <v/>
      </c>
      <c r="C183" s="1" t="str">
        <f>IFERROR(INDEX('Input Contact Information'!$B$2:$B$200,MATCH(ROW()-1,'Input Contact Information'!$V$2:$V$200,0)),"")</f>
        <v/>
      </c>
      <c r="D183" s="1" t="str">
        <f>IF($B183="","",IF(W183="","",INDEX('Accounts Overview'!$A$2:$A$100,W183)))</f>
        <v/>
      </c>
      <c r="E183" s="1" t="str">
        <f>IF($B183="","",IF(V183="","",IF(INDEX('Input Contact Information'!$D$2:$D$200,V183)="","",INDEX('Input Contact Information'!$D$2:$D$200,V183))))</f>
        <v/>
      </c>
      <c r="F183" s="1" t="str">
        <f>IF($B183="","",IF(V183="","",IF(INDEX('Input Contact Information'!$F$2:$F$200,V183)="","",INDEX('Input Contact Information'!$F$2:$F$200,V183))))</f>
        <v/>
      </c>
      <c r="G183" s="1" t="str">
        <f>IF($B183="","",IF(V183="","",IF(INDEX('Input Contact Information'!$E$2:$E$200,V183)="","",INDEX('Input Contact Information'!$E$2:$E$200,V183))))</f>
        <v/>
      </c>
      <c r="H183" s="1" t="str">
        <f>IF($B183="","",IF(V183="","",IF(INDEX('Input Contact Information'!$G$2:$G$200,V183)="","",INDEX('Input Contact Information'!$G$2:$G$200,V183))))</f>
        <v/>
      </c>
      <c r="I183" s="1" t="str">
        <f>IF($B183="","",IF(V183="","",IF(INDEX('Input Contact Information'!$H$2:$H$200,V183)="","",INDEX('Input Contact Information'!$H$2:$H$200,V183))))</f>
        <v/>
      </c>
      <c r="J183" s="1" t="str">
        <f>IF($B183="","",IF(V183="","",IF(INDEX('Input Contact Information'!$I$2:$I$200,V183)="","",INDEX('Input Contact Information'!$I$2:$I$200,V183))))</f>
        <v/>
      </c>
      <c r="K183" s="1" t="str">
        <f>IF($B183="","",IF(V183="","",IF(INDEX('Input Contact Information'!$A$2:$A$200,V183)="","",INDEX('Input Contact Information'!$A$2:$A$200,V183))))</f>
        <v/>
      </c>
      <c r="L183" s="1" t="str">
        <f>IF($B183="","",IF(W183="","",IF(INDEX('Accounts Overview'!$I$2:$I$100,W183)="","",INDEX('Accounts Overview'!$I$2:$I$100,W183))))</f>
        <v/>
      </c>
      <c r="M183" s="1" t="str">
        <f>IF($B183="","",IF(V183="","",IF(INDEX('Input Contact Information'!$J$2:$J$200,V183)="","",INDEX('Input Contact Information'!$J$2:$J$200,V183))))</f>
        <v/>
      </c>
      <c r="N183" s="1" t="str">
        <f>IF($B183="","",IF(V183="","",IF(INDEX('Input Contact Information'!$K$2:$K$200,V183)="","",INDEX('Input Contact Information'!$K$2:$K$200,V183))))</f>
        <v/>
      </c>
      <c r="O183" s="1" t="str">
        <f>IF($B183="","",IF(V183="","",IF(INDEX('Input Contact Information'!$L$2:$L$200,V183)="","",INDEX('Input Contact Information'!$L$2:$L$200,V183))))</f>
        <v/>
      </c>
      <c r="P183" s="1" t="str">
        <f>IF($B183="","",IF((IF(V183="","",IF(INDEX('Input Contact Information'!$N$2:$N$200,V183)="","",INDEX('Input Contact Information'!$N$2:$N$200,V183))))&lt;&gt;"",IF(V183="","",IF(INDEX('Input Contact Information'!$N$2:$N$200,V183)="","",INDEX('Input Contact Information'!$N$2:$N$200,V183))),IF(V183="","",IF(INDEX('Input Contact Information'!$M$2:$M$200,V183)="","",INDEX('Input Contact Information'!$M$2:$M$200,V183)))))</f>
        <v/>
      </c>
      <c r="Q183" s="1" t="str">
        <f t="shared" si="11"/>
        <v/>
      </c>
      <c r="R183" s="1" t="str">
        <f>IF($B183="","",IF(X183="","",IF(INDEX('Engagements Overview'!$I$2:$I$200,X183)="","",INDEX('Engagements Overview'!$I$2:$I$200,X183))))</f>
        <v/>
      </c>
      <c r="S183" s="14" t="str">
        <f>IF($B183="","",IF(X183="","",IF(INDEX('Engagements Overview'!$K$2:$K$200,X183)="","",INDEX('Engagements Overview'!$K$2:$K$200,X183))))</f>
        <v/>
      </c>
      <c r="T183" s="1" t="str">
        <f>IF($B183="","",IF(V183="","",IF(INDEX('Input Contact Information'!$O$2:$O$200,V183)="","",INDEX('Input Contact Information'!$O$2:$O$200,V183))))</f>
        <v/>
      </c>
      <c r="U183" s="1" t="str">
        <f>IF($B183="","",IF(V183="","",IF(INDEX('Input Contact Information'!$P$2:$P$200,V183)="","",INDEX('Input Contact Information'!$P$2:$P$200,V183))))</f>
        <v/>
      </c>
      <c r="V183" s="1" t="str">
        <f>IF(B183="","",IFERROR(MATCH(B183&amp;"|"&amp;C183,'Input Contact Information'!$W$2:$W$200,0),""))</f>
        <v/>
      </c>
      <c r="W183" s="1" t="str">
        <f>IF(C183="","",IFERROR(MATCH(C183,'Accounts Overview'!$B$2:$B$100,0),""))</f>
        <v/>
      </c>
      <c r="X183" s="1" t="str">
        <f>IF(A183="","",IFERROR(MATCH(A183,'Engagements Overview'!$B$2:$B$200,0),""))</f>
        <v/>
      </c>
    </row>
    <row r="184" spans="1:24" ht="15" customHeight="1" x14ac:dyDescent="0.35">
      <c r="A184" s="13" t="str">
        <f t="shared" si="10"/>
        <v/>
      </c>
      <c r="B184" s="1" t="str">
        <f>IFERROR(INDEX('Input Contact Information'!$C$2:$C$200,MATCH(ROW()-1,'Input Contact Information'!$V$2:$V$200,0)),"")</f>
        <v/>
      </c>
      <c r="C184" s="1" t="str">
        <f>IFERROR(INDEX('Input Contact Information'!$B$2:$B$200,MATCH(ROW()-1,'Input Contact Information'!$V$2:$V$200,0)),"")</f>
        <v/>
      </c>
      <c r="D184" s="1" t="str">
        <f>IF($B184="","",IF(W184="","",INDEX('Accounts Overview'!$A$2:$A$100,W184)))</f>
        <v/>
      </c>
      <c r="E184" s="1" t="str">
        <f>IF($B184="","",IF(V184="","",IF(INDEX('Input Contact Information'!$D$2:$D$200,V184)="","",INDEX('Input Contact Information'!$D$2:$D$200,V184))))</f>
        <v/>
      </c>
      <c r="F184" s="1" t="str">
        <f>IF($B184="","",IF(V184="","",IF(INDEX('Input Contact Information'!$F$2:$F$200,V184)="","",INDEX('Input Contact Information'!$F$2:$F$200,V184))))</f>
        <v/>
      </c>
      <c r="G184" s="1" t="str">
        <f>IF($B184="","",IF(V184="","",IF(INDEX('Input Contact Information'!$E$2:$E$200,V184)="","",INDEX('Input Contact Information'!$E$2:$E$200,V184))))</f>
        <v/>
      </c>
      <c r="H184" s="1" t="str">
        <f>IF($B184="","",IF(V184="","",IF(INDEX('Input Contact Information'!$G$2:$G$200,V184)="","",INDEX('Input Contact Information'!$G$2:$G$200,V184))))</f>
        <v/>
      </c>
      <c r="I184" s="1" t="str">
        <f>IF($B184="","",IF(V184="","",IF(INDEX('Input Contact Information'!$H$2:$H$200,V184)="","",INDEX('Input Contact Information'!$H$2:$H$200,V184))))</f>
        <v/>
      </c>
      <c r="J184" s="1" t="str">
        <f>IF($B184="","",IF(V184="","",IF(INDEX('Input Contact Information'!$I$2:$I$200,V184)="","",INDEX('Input Contact Information'!$I$2:$I$200,V184))))</f>
        <v/>
      </c>
      <c r="K184" s="1" t="str">
        <f>IF($B184="","",IF(V184="","",IF(INDEX('Input Contact Information'!$A$2:$A$200,V184)="","",INDEX('Input Contact Information'!$A$2:$A$200,V184))))</f>
        <v/>
      </c>
      <c r="L184" s="1" t="str">
        <f>IF($B184="","",IF(W184="","",IF(INDEX('Accounts Overview'!$I$2:$I$100,W184)="","",INDEX('Accounts Overview'!$I$2:$I$100,W184))))</f>
        <v/>
      </c>
      <c r="M184" s="1" t="str">
        <f>IF($B184="","",IF(V184="","",IF(INDEX('Input Contact Information'!$J$2:$J$200,V184)="","",INDEX('Input Contact Information'!$J$2:$J$200,V184))))</f>
        <v/>
      </c>
      <c r="N184" s="1" t="str">
        <f>IF($B184="","",IF(V184="","",IF(INDEX('Input Contact Information'!$K$2:$K$200,V184)="","",INDEX('Input Contact Information'!$K$2:$K$200,V184))))</f>
        <v/>
      </c>
      <c r="O184" s="1" t="str">
        <f>IF($B184="","",IF(V184="","",IF(INDEX('Input Contact Information'!$L$2:$L$200,V184)="","",INDEX('Input Contact Information'!$L$2:$L$200,V184))))</f>
        <v/>
      </c>
      <c r="P184" s="1" t="str">
        <f>IF($B184="","",IF((IF(V184="","",IF(INDEX('Input Contact Information'!$N$2:$N$200,V184)="","",INDEX('Input Contact Information'!$N$2:$N$200,V184))))&lt;&gt;"",IF(V184="","",IF(INDEX('Input Contact Information'!$N$2:$N$200,V184)="","",INDEX('Input Contact Information'!$N$2:$N$200,V184))),IF(V184="","",IF(INDEX('Input Contact Information'!$M$2:$M$200,V184)="","",INDEX('Input Contact Information'!$M$2:$M$200,V184)))))</f>
        <v/>
      </c>
      <c r="Q184" s="1" t="str">
        <f t="shared" si="11"/>
        <v/>
      </c>
      <c r="R184" s="1" t="str">
        <f>IF($B184="","",IF(X184="","",IF(INDEX('Engagements Overview'!$I$2:$I$200,X184)="","",INDEX('Engagements Overview'!$I$2:$I$200,X184))))</f>
        <v/>
      </c>
      <c r="S184" s="14" t="str">
        <f>IF($B184="","",IF(X184="","",IF(INDEX('Engagements Overview'!$K$2:$K$200,X184)="","",INDEX('Engagements Overview'!$K$2:$K$200,X184))))</f>
        <v/>
      </c>
      <c r="T184" s="1" t="str">
        <f>IF($B184="","",IF(V184="","",IF(INDEX('Input Contact Information'!$O$2:$O$200,V184)="","",INDEX('Input Contact Information'!$O$2:$O$200,V184))))</f>
        <v/>
      </c>
      <c r="U184" s="1" t="str">
        <f>IF($B184="","",IF(V184="","",IF(INDEX('Input Contact Information'!$P$2:$P$200,V184)="","",INDEX('Input Contact Information'!$P$2:$P$200,V184))))</f>
        <v/>
      </c>
      <c r="V184" s="1" t="str">
        <f>IF(B184="","",IFERROR(MATCH(B184&amp;"|"&amp;C184,'Input Contact Information'!$W$2:$W$200,0),""))</f>
        <v/>
      </c>
      <c r="W184" s="1" t="str">
        <f>IF(C184="","",IFERROR(MATCH(C184,'Accounts Overview'!$B$2:$B$100,0),""))</f>
        <v/>
      </c>
      <c r="X184" s="1" t="str">
        <f>IF(A184="","",IFERROR(MATCH(A184,'Engagements Overview'!$B$2:$B$200,0),""))</f>
        <v/>
      </c>
    </row>
    <row r="185" spans="1:24" ht="15" customHeight="1" x14ac:dyDescent="0.35">
      <c r="A185" s="13" t="str">
        <f t="shared" si="10"/>
        <v/>
      </c>
      <c r="B185" s="1" t="str">
        <f>IFERROR(INDEX('Input Contact Information'!$C$2:$C$200,MATCH(ROW()-1,'Input Contact Information'!$V$2:$V$200,0)),"")</f>
        <v/>
      </c>
      <c r="C185" s="1" t="str">
        <f>IFERROR(INDEX('Input Contact Information'!$B$2:$B$200,MATCH(ROW()-1,'Input Contact Information'!$V$2:$V$200,0)),"")</f>
        <v/>
      </c>
      <c r="D185" s="1" t="str">
        <f>IF($B185="","",IF(W185="","",INDEX('Accounts Overview'!$A$2:$A$100,W185)))</f>
        <v/>
      </c>
      <c r="E185" s="1" t="str">
        <f>IF($B185="","",IF(V185="","",IF(INDEX('Input Contact Information'!$D$2:$D$200,V185)="","",INDEX('Input Contact Information'!$D$2:$D$200,V185))))</f>
        <v/>
      </c>
      <c r="F185" s="1" t="str">
        <f>IF($B185="","",IF(V185="","",IF(INDEX('Input Contact Information'!$F$2:$F$200,V185)="","",INDEX('Input Contact Information'!$F$2:$F$200,V185))))</f>
        <v/>
      </c>
      <c r="G185" s="1" t="str">
        <f>IF($B185="","",IF(V185="","",IF(INDEX('Input Contact Information'!$E$2:$E$200,V185)="","",INDEX('Input Contact Information'!$E$2:$E$200,V185))))</f>
        <v/>
      </c>
      <c r="H185" s="1" t="str">
        <f>IF($B185="","",IF(V185="","",IF(INDEX('Input Contact Information'!$G$2:$G$200,V185)="","",INDEX('Input Contact Information'!$G$2:$G$200,V185))))</f>
        <v/>
      </c>
      <c r="I185" s="1" t="str">
        <f>IF($B185="","",IF(V185="","",IF(INDEX('Input Contact Information'!$H$2:$H$200,V185)="","",INDEX('Input Contact Information'!$H$2:$H$200,V185))))</f>
        <v/>
      </c>
      <c r="J185" s="1" t="str">
        <f>IF($B185="","",IF(V185="","",IF(INDEX('Input Contact Information'!$I$2:$I$200,V185)="","",INDEX('Input Contact Information'!$I$2:$I$200,V185))))</f>
        <v/>
      </c>
      <c r="K185" s="1" t="str">
        <f>IF($B185="","",IF(V185="","",IF(INDEX('Input Contact Information'!$A$2:$A$200,V185)="","",INDEX('Input Contact Information'!$A$2:$A$200,V185))))</f>
        <v/>
      </c>
      <c r="L185" s="1" t="str">
        <f>IF($B185="","",IF(W185="","",IF(INDEX('Accounts Overview'!$I$2:$I$100,W185)="","",INDEX('Accounts Overview'!$I$2:$I$100,W185))))</f>
        <v/>
      </c>
      <c r="M185" s="1" t="str">
        <f>IF($B185="","",IF(V185="","",IF(INDEX('Input Contact Information'!$J$2:$J$200,V185)="","",INDEX('Input Contact Information'!$J$2:$J$200,V185))))</f>
        <v/>
      </c>
      <c r="N185" s="1" t="str">
        <f>IF($B185="","",IF(V185="","",IF(INDEX('Input Contact Information'!$K$2:$K$200,V185)="","",INDEX('Input Contact Information'!$K$2:$K$200,V185))))</f>
        <v/>
      </c>
      <c r="O185" s="1" t="str">
        <f>IF($B185="","",IF(V185="","",IF(INDEX('Input Contact Information'!$L$2:$L$200,V185)="","",INDEX('Input Contact Information'!$L$2:$L$200,V185))))</f>
        <v/>
      </c>
      <c r="P185" s="1" t="str">
        <f>IF($B185="","",IF((IF(V185="","",IF(INDEX('Input Contact Information'!$N$2:$N$200,V185)="","",INDEX('Input Contact Information'!$N$2:$N$200,V185))))&lt;&gt;"",IF(V185="","",IF(INDEX('Input Contact Information'!$N$2:$N$200,V185)="","",INDEX('Input Contact Information'!$N$2:$N$200,V185))),IF(V185="","",IF(INDEX('Input Contact Information'!$M$2:$M$200,V185)="","",INDEX('Input Contact Information'!$M$2:$M$200,V185)))))</f>
        <v/>
      </c>
      <c r="Q185" s="1" t="str">
        <f t="shared" si="11"/>
        <v/>
      </c>
      <c r="R185" s="1" t="str">
        <f>IF($B185="","",IF(X185="","",IF(INDEX('Engagements Overview'!$I$2:$I$200,X185)="","",INDEX('Engagements Overview'!$I$2:$I$200,X185))))</f>
        <v/>
      </c>
      <c r="S185" s="14" t="str">
        <f>IF($B185="","",IF(X185="","",IF(INDEX('Engagements Overview'!$K$2:$K$200,X185)="","",INDEX('Engagements Overview'!$K$2:$K$200,X185))))</f>
        <v/>
      </c>
      <c r="T185" s="1" t="str">
        <f>IF($B185="","",IF(V185="","",IF(INDEX('Input Contact Information'!$O$2:$O$200,V185)="","",INDEX('Input Contact Information'!$O$2:$O$200,V185))))</f>
        <v/>
      </c>
      <c r="U185" s="1" t="str">
        <f>IF($B185="","",IF(V185="","",IF(INDEX('Input Contact Information'!$P$2:$P$200,V185)="","",INDEX('Input Contact Information'!$P$2:$P$200,V185))))</f>
        <v/>
      </c>
      <c r="V185" s="1" t="str">
        <f>IF(B185="","",IFERROR(MATCH(B185&amp;"|"&amp;C185,'Input Contact Information'!$W$2:$W$200,0),""))</f>
        <v/>
      </c>
      <c r="W185" s="1" t="str">
        <f>IF(C185="","",IFERROR(MATCH(C185,'Accounts Overview'!$B$2:$B$100,0),""))</f>
        <v/>
      </c>
      <c r="X185" s="1" t="str">
        <f>IF(A185="","",IFERROR(MATCH(A185,'Engagements Overview'!$B$2:$B$200,0),""))</f>
        <v/>
      </c>
    </row>
    <row r="186" spans="1:24" ht="15" customHeight="1" x14ac:dyDescent="0.35">
      <c r="A186" s="13" t="str">
        <f t="shared" si="10"/>
        <v/>
      </c>
      <c r="B186" s="1" t="str">
        <f>IFERROR(INDEX('Input Contact Information'!$C$2:$C$200,MATCH(ROW()-1,'Input Contact Information'!$V$2:$V$200,0)),"")</f>
        <v/>
      </c>
      <c r="C186" s="1" t="str">
        <f>IFERROR(INDEX('Input Contact Information'!$B$2:$B$200,MATCH(ROW()-1,'Input Contact Information'!$V$2:$V$200,0)),"")</f>
        <v/>
      </c>
      <c r="D186" s="1" t="str">
        <f>IF($B186="","",IF(W186="","",INDEX('Accounts Overview'!$A$2:$A$100,W186)))</f>
        <v/>
      </c>
      <c r="E186" s="1" t="str">
        <f>IF($B186="","",IF(V186="","",IF(INDEX('Input Contact Information'!$D$2:$D$200,V186)="","",INDEX('Input Contact Information'!$D$2:$D$200,V186))))</f>
        <v/>
      </c>
      <c r="F186" s="1" t="str">
        <f>IF($B186="","",IF(V186="","",IF(INDEX('Input Contact Information'!$F$2:$F$200,V186)="","",INDEX('Input Contact Information'!$F$2:$F$200,V186))))</f>
        <v/>
      </c>
      <c r="G186" s="1" t="str">
        <f>IF($B186="","",IF(V186="","",IF(INDEX('Input Contact Information'!$E$2:$E$200,V186)="","",INDEX('Input Contact Information'!$E$2:$E$200,V186))))</f>
        <v/>
      </c>
      <c r="H186" s="1" t="str">
        <f>IF($B186="","",IF(V186="","",IF(INDEX('Input Contact Information'!$G$2:$G$200,V186)="","",INDEX('Input Contact Information'!$G$2:$G$200,V186))))</f>
        <v/>
      </c>
      <c r="I186" s="1" t="str">
        <f>IF($B186="","",IF(V186="","",IF(INDEX('Input Contact Information'!$H$2:$H$200,V186)="","",INDEX('Input Contact Information'!$H$2:$H$200,V186))))</f>
        <v/>
      </c>
      <c r="J186" s="1" t="str">
        <f>IF($B186="","",IF(V186="","",IF(INDEX('Input Contact Information'!$I$2:$I$200,V186)="","",INDEX('Input Contact Information'!$I$2:$I$200,V186))))</f>
        <v/>
      </c>
      <c r="K186" s="1" t="str">
        <f>IF($B186="","",IF(V186="","",IF(INDEX('Input Contact Information'!$A$2:$A$200,V186)="","",INDEX('Input Contact Information'!$A$2:$A$200,V186))))</f>
        <v/>
      </c>
      <c r="L186" s="1" t="str">
        <f>IF($B186="","",IF(W186="","",IF(INDEX('Accounts Overview'!$I$2:$I$100,W186)="","",INDEX('Accounts Overview'!$I$2:$I$100,W186))))</f>
        <v/>
      </c>
      <c r="M186" s="1" t="str">
        <f>IF($B186="","",IF(V186="","",IF(INDEX('Input Contact Information'!$J$2:$J$200,V186)="","",INDEX('Input Contact Information'!$J$2:$J$200,V186))))</f>
        <v/>
      </c>
      <c r="N186" s="1" t="str">
        <f>IF($B186="","",IF(V186="","",IF(INDEX('Input Contact Information'!$K$2:$K$200,V186)="","",INDEX('Input Contact Information'!$K$2:$K$200,V186))))</f>
        <v/>
      </c>
      <c r="O186" s="1" t="str">
        <f>IF($B186="","",IF(V186="","",IF(INDEX('Input Contact Information'!$L$2:$L$200,V186)="","",INDEX('Input Contact Information'!$L$2:$L$200,V186))))</f>
        <v/>
      </c>
      <c r="P186" s="1" t="str">
        <f>IF($B186="","",IF((IF(V186="","",IF(INDEX('Input Contact Information'!$N$2:$N$200,V186)="","",INDEX('Input Contact Information'!$N$2:$N$200,V186))))&lt;&gt;"",IF(V186="","",IF(INDEX('Input Contact Information'!$N$2:$N$200,V186)="","",INDEX('Input Contact Information'!$N$2:$N$200,V186))),IF(V186="","",IF(INDEX('Input Contact Information'!$M$2:$M$200,V186)="","",INDEX('Input Contact Information'!$M$2:$M$200,V186)))))</f>
        <v/>
      </c>
      <c r="Q186" s="1" t="str">
        <f t="shared" si="11"/>
        <v/>
      </c>
      <c r="R186" s="1" t="str">
        <f>IF($B186="","",IF(X186="","",IF(INDEX('Engagements Overview'!$I$2:$I$200,X186)="","",INDEX('Engagements Overview'!$I$2:$I$200,X186))))</f>
        <v/>
      </c>
      <c r="S186" s="14" t="str">
        <f>IF($B186="","",IF(X186="","",IF(INDEX('Engagements Overview'!$K$2:$K$200,X186)="","",INDEX('Engagements Overview'!$K$2:$K$200,X186))))</f>
        <v/>
      </c>
      <c r="T186" s="1" t="str">
        <f>IF($B186="","",IF(V186="","",IF(INDEX('Input Contact Information'!$O$2:$O$200,V186)="","",INDEX('Input Contact Information'!$O$2:$O$200,V186))))</f>
        <v/>
      </c>
      <c r="U186" s="1" t="str">
        <f>IF($B186="","",IF(V186="","",IF(INDEX('Input Contact Information'!$P$2:$P$200,V186)="","",INDEX('Input Contact Information'!$P$2:$P$200,V186))))</f>
        <v/>
      </c>
      <c r="V186" s="1" t="str">
        <f>IF(B186="","",IFERROR(MATCH(B186&amp;"|"&amp;C186,'Input Contact Information'!$W$2:$W$200,0),""))</f>
        <v/>
      </c>
      <c r="W186" s="1" t="str">
        <f>IF(C186="","",IFERROR(MATCH(C186,'Accounts Overview'!$B$2:$B$100,0),""))</f>
        <v/>
      </c>
      <c r="X186" s="1" t="str">
        <f>IF(A186="","",IFERROR(MATCH(A186,'Engagements Overview'!$B$2:$B$200,0),""))</f>
        <v/>
      </c>
    </row>
    <row r="187" spans="1:24" ht="15" customHeight="1" x14ac:dyDescent="0.35">
      <c r="A187" s="13" t="str">
        <f t="shared" si="10"/>
        <v/>
      </c>
      <c r="B187" s="1" t="str">
        <f>IFERROR(INDEX('Input Contact Information'!$C$2:$C$200,MATCH(ROW()-1,'Input Contact Information'!$V$2:$V$200,0)),"")</f>
        <v/>
      </c>
      <c r="C187" s="1" t="str">
        <f>IFERROR(INDEX('Input Contact Information'!$B$2:$B$200,MATCH(ROW()-1,'Input Contact Information'!$V$2:$V$200,0)),"")</f>
        <v/>
      </c>
      <c r="D187" s="1" t="str">
        <f>IF($B187="","",IF(W187="","",INDEX('Accounts Overview'!$A$2:$A$100,W187)))</f>
        <v/>
      </c>
      <c r="E187" s="1" t="str">
        <f>IF($B187="","",IF(V187="","",IF(INDEX('Input Contact Information'!$D$2:$D$200,V187)="","",INDEX('Input Contact Information'!$D$2:$D$200,V187))))</f>
        <v/>
      </c>
      <c r="F187" s="1" t="str">
        <f>IF($B187="","",IF(V187="","",IF(INDEX('Input Contact Information'!$F$2:$F$200,V187)="","",INDEX('Input Contact Information'!$F$2:$F$200,V187))))</f>
        <v/>
      </c>
      <c r="G187" s="1" t="str">
        <f>IF($B187="","",IF(V187="","",IF(INDEX('Input Contact Information'!$E$2:$E$200,V187)="","",INDEX('Input Contact Information'!$E$2:$E$200,V187))))</f>
        <v/>
      </c>
      <c r="H187" s="1" t="str">
        <f>IF($B187="","",IF(V187="","",IF(INDEX('Input Contact Information'!$G$2:$G$200,V187)="","",INDEX('Input Contact Information'!$G$2:$G$200,V187))))</f>
        <v/>
      </c>
      <c r="I187" s="1" t="str">
        <f>IF($B187="","",IF(V187="","",IF(INDEX('Input Contact Information'!$H$2:$H$200,V187)="","",INDEX('Input Contact Information'!$H$2:$H$200,V187))))</f>
        <v/>
      </c>
      <c r="J187" s="1" t="str">
        <f>IF($B187="","",IF(V187="","",IF(INDEX('Input Contact Information'!$I$2:$I$200,V187)="","",INDEX('Input Contact Information'!$I$2:$I$200,V187))))</f>
        <v/>
      </c>
      <c r="K187" s="1" t="str">
        <f>IF($B187="","",IF(V187="","",IF(INDEX('Input Contact Information'!$A$2:$A$200,V187)="","",INDEX('Input Contact Information'!$A$2:$A$200,V187))))</f>
        <v/>
      </c>
      <c r="L187" s="1" t="str">
        <f>IF($B187="","",IF(W187="","",IF(INDEX('Accounts Overview'!$I$2:$I$100,W187)="","",INDEX('Accounts Overview'!$I$2:$I$100,W187))))</f>
        <v/>
      </c>
      <c r="M187" s="1" t="str">
        <f>IF($B187="","",IF(V187="","",IF(INDEX('Input Contact Information'!$J$2:$J$200,V187)="","",INDEX('Input Contact Information'!$J$2:$J$200,V187))))</f>
        <v/>
      </c>
      <c r="N187" s="1" t="str">
        <f>IF($B187="","",IF(V187="","",IF(INDEX('Input Contact Information'!$K$2:$K$200,V187)="","",INDEX('Input Contact Information'!$K$2:$K$200,V187))))</f>
        <v/>
      </c>
      <c r="O187" s="1" t="str">
        <f>IF($B187="","",IF(V187="","",IF(INDEX('Input Contact Information'!$L$2:$L$200,V187)="","",INDEX('Input Contact Information'!$L$2:$L$200,V187))))</f>
        <v/>
      </c>
      <c r="P187" s="1" t="str">
        <f>IF($B187="","",IF((IF(V187="","",IF(INDEX('Input Contact Information'!$N$2:$N$200,V187)="","",INDEX('Input Contact Information'!$N$2:$N$200,V187))))&lt;&gt;"",IF(V187="","",IF(INDEX('Input Contact Information'!$N$2:$N$200,V187)="","",INDEX('Input Contact Information'!$N$2:$N$200,V187))),IF(V187="","",IF(INDEX('Input Contact Information'!$M$2:$M$200,V187)="","",INDEX('Input Contact Information'!$M$2:$M$200,V187)))))</f>
        <v/>
      </c>
      <c r="Q187" s="1" t="str">
        <f t="shared" si="11"/>
        <v/>
      </c>
      <c r="R187" s="1" t="str">
        <f>IF($B187="","",IF(X187="","",IF(INDEX('Engagements Overview'!$I$2:$I$200,X187)="","",INDEX('Engagements Overview'!$I$2:$I$200,X187))))</f>
        <v/>
      </c>
      <c r="S187" s="14" t="str">
        <f>IF($B187="","",IF(X187="","",IF(INDEX('Engagements Overview'!$K$2:$K$200,X187)="","",INDEX('Engagements Overview'!$K$2:$K$200,X187))))</f>
        <v/>
      </c>
      <c r="T187" s="1" t="str">
        <f>IF($B187="","",IF(V187="","",IF(INDEX('Input Contact Information'!$O$2:$O$200,V187)="","",INDEX('Input Contact Information'!$O$2:$O$200,V187))))</f>
        <v/>
      </c>
      <c r="U187" s="1" t="str">
        <f>IF($B187="","",IF(V187="","",IF(INDEX('Input Contact Information'!$P$2:$P$200,V187)="","",INDEX('Input Contact Information'!$P$2:$P$200,V187))))</f>
        <v/>
      </c>
      <c r="V187" s="1" t="str">
        <f>IF(B187="","",IFERROR(MATCH(B187&amp;"|"&amp;C187,'Input Contact Information'!$W$2:$W$200,0),""))</f>
        <v/>
      </c>
      <c r="W187" s="1" t="str">
        <f>IF(C187="","",IFERROR(MATCH(C187,'Accounts Overview'!$B$2:$B$100,0),""))</f>
        <v/>
      </c>
      <c r="X187" s="1" t="str">
        <f>IF(A187="","",IFERROR(MATCH(A187,'Engagements Overview'!$B$2:$B$200,0),""))</f>
        <v/>
      </c>
    </row>
    <row r="188" spans="1:24" ht="15" customHeight="1" x14ac:dyDescent="0.35">
      <c r="A188" s="13" t="str">
        <f t="shared" si="10"/>
        <v/>
      </c>
      <c r="B188" s="1" t="str">
        <f>IFERROR(INDEX('Input Contact Information'!$C$2:$C$200,MATCH(ROW()-1,'Input Contact Information'!$V$2:$V$200,0)),"")</f>
        <v/>
      </c>
      <c r="C188" s="1" t="str">
        <f>IFERROR(INDEX('Input Contact Information'!$B$2:$B$200,MATCH(ROW()-1,'Input Contact Information'!$V$2:$V$200,0)),"")</f>
        <v/>
      </c>
      <c r="D188" s="1" t="str">
        <f>IF($B188="","",IF(W188="","",INDEX('Accounts Overview'!$A$2:$A$100,W188)))</f>
        <v/>
      </c>
      <c r="E188" s="1" t="str">
        <f>IF($B188="","",IF(V188="","",IF(INDEX('Input Contact Information'!$D$2:$D$200,V188)="","",INDEX('Input Contact Information'!$D$2:$D$200,V188))))</f>
        <v/>
      </c>
      <c r="F188" s="1" t="str">
        <f>IF($B188="","",IF(V188="","",IF(INDEX('Input Contact Information'!$F$2:$F$200,V188)="","",INDEX('Input Contact Information'!$F$2:$F$200,V188))))</f>
        <v/>
      </c>
      <c r="G188" s="1" t="str">
        <f>IF($B188="","",IF(V188="","",IF(INDEX('Input Contact Information'!$E$2:$E$200,V188)="","",INDEX('Input Contact Information'!$E$2:$E$200,V188))))</f>
        <v/>
      </c>
      <c r="H188" s="1" t="str">
        <f>IF($B188="","",IF(V188="","",IF(INDEX('Input Contact Information'!$G$2:$G$200,V188)="","",INDEX('Input Contact Information'!$G$2:$G$200,V188))))</f>
        <v/>
      </c>
      <c r="I188" s="1" t="str">
        <f>IF($B188="","",IF(V188="","",IF(INDEX('Input Contact Information'!$H$2:$H$200,V188)="","",INDEX('Input Contact Information'!$H$2:$H$200,V188))))</f>
        <v/>
      </c>
      <c r="J188" s="1" t="str">
        <f>IF($B188="","",IF(V188="","",IF(INDEX('Input Contact Information'!$I$2:$I$200,V188)="","",INDEX('Input Contact Information'!$I$2:$I$200,V188))))</f>
        <v/>
      </c>
      <c r="K188" s="1" t="str">
        <f>IF($B188="","",IF(V188="","",IF(INDEX('Input Contact Information'!$A$2:$A$200,V188)="","",INDEX('Input Contact Information'!$A$2:$A$200,V188))))</f>
        <v/>
      </c>
      <c r="L188" s="1" t="str">
        <f>IF($B188="","",IF(W188="","",IF(INDEX('Accounts Overview'!$I$2:$I$100,W188)="","",INDEX('Accounts Overview'!$I$2:$I$100,W188))))</f>
        <v/>
      </c>
      <c r="M188" s="1" t="str">
        <f>IF($B188="","",IF(V188="","",IF(INDEX('Input Contact Information'!$J$2:$J$200,V188)="","",INDEX('Input Contact Information'!$J$2:$J$200,V188))))</f>
        <v/>
      </c>
      <c r="N188" s="1" t="str">
        <f>IF($B188="","",IF(V188="","",IF(INDEX('Input Contact Information'!$K$2:$K$200,V188)="","",INDEX('Input Contact Information'!$K$2:$K$200,V188))))</f>
        <v/>
      </c>
      <c r="O188" s="1" t="str">
        <f>IF($B188="","",IF(V188="","",IF(INDEX('Input Contact Information'!$L$2:$L$200,V188)="","",INDEX('Input Contact Information'!$L$2:$L$200,V188))))</f>
        <v/>
      </c>
      <c r="P188" s="1" t="str">
        <f>IF($B188="","",IF((IF(V188="","",IF(INDEX('Input Contact Information'!$N$2:$N$200,V188)="","",INDEX('Input Contact Information'!$N$2:$N$200,V188))))&lt;&gt;"",IF(V188="","",IF(INDEX('Input Contact Information'!$N$2:$N$200,V188)="","",INDEX('Input Contact Information'!$N$2:$N$200,V188))),IF(V188="","",IF(INDEX('Input Contact Information'!$M$2:$M$200,V188)="","",INDEX('Input Contact Information'!$M$2:$M$200,V188)))))</f>
        <v/>
      </c>
      <c r="Q188" s="1" t="str">
        <f t="shared" si="11"/>
        <v/>
      </c>
      <c r="R188" s="1" t="str">
        <f>IF($B188="","",IF(X188="","",IF(INDEX('Engagements Overview'!$I$2:$I$200,X188)="","",INDEX('Engagements Overview'!$I$2:$I$200,X188))))</f>
        <v/>
      </c>
      <c r="S188" s="14" t="str">
        <f>IF($B188="","",IF(X188="","",IF(INDEX('Engagements Overview'!$K$2:$K$200,X188)="","",INDEX('Engagements Overview'!$K$2:$K$200,X188))))</f>
        <v/>
      </c>
      <c r="T188" s="1" t="str">
        <f>IF($B188="","",IF(V188="","",IF(INDEX('Input Contact Information'!$O$2:$O$200,V188)="","",INDEX('Input Contact Information'!$O$2:$O$200,V188))))</f>
        <v/>
      </c>
      <c r="U188" s="1" t="str">
        <f>IF($B188="","",IF(V188="","",IF(INDEX('Input Contact Information'!$P$2:$P$200,V188)="","",INDEX('Input Contact Information'!$P$2:$P$200,V188))))</f>
        <v/>
      </c>
      <c r="V188" s="1" t="str">
        <f>IF(B188="","",IFERROR(MATCH(B188&amp;"|"&amp;C188,'Input Contact Information'!$W$2:$W$200,0),""))</f>
        <v/>
      </c>
      <c r="W188" s="1" t="str">
        <f>IF(C188="","",IFERROR(MATCH(C188,'Accounts Overview'!$B$2:$B$100,0),""))</f>
        <v/>
      </c>
      <c r="X188" s="1" t="str">
        <f>IF(A188="","",IFERROR(MATCH(A188,'Engagements Overview'!$B$2:$B$200,0),""))</f>
        <v/>
      </c>
    </row>
    <row r="189" spans="1:24" ht="15" customHeight="1" x14ac:dyDescent="0.35">
      <c r="A189" s="13" t="str">
        <f t="shared" si="10"/>
        <v/>
      </c>
      <c r="B189" s="1" t="str">
        <f>IFERROR(INDEX('Input Contact Information'!$C$2:$C$200,MATCH(ROW()-1,'Input Contact Information'!$V$2:$V$200,0)),"")</f>
        <v/>
      </c>
      <c r="C189" s="1" t="str">
        <f>IFERROR(INDEX('Input Contact Information'!$B$2:$B$200,MATCH(ROW()-1,'Input Contact Information'!$V$2:$V$200,0)),"")</f>
        <v/>
      </c>
      <c r="D189" s="1" t="str">
        <f>IF($B189="","",IF(W189="","",INDEX('Accounts Overview'!$A$2:$A$100,W189)))</f>
        <v/>
      </c>
      <c r="E189" s="1" t="str">
        <f>IF($B189="","",IF(V189="","",IF(INDEX('Input Contact Information'!$D$2:$D$200,V189)="","",INDEX('Input Contact Information'!$D$2:$D$200,V189))))</f>
        <v/>
      </c>
      <c r="F189" s="1" t="str">
        <f>IF($B189="","",IF(V189="","",IF(INDEX('Input Contact Information'!$F$2:$F$200,V189)="","",INDEX('Input Contact Information'!$F$2:$F$200,V189))))</f>
        <v/>
      </c>
      <c r="G189" s="1" t="str">
        <f>IF($B189="","",IF(V189="","",IF(INDEX('Input Contact Information'!$E$2:$E$200,V189)="","",INDEX('Input Contact Information'!$E$2:$E$200,V189))))</f>
        <v/>
      </c>
      <c r="H189" s="1" t="str">
        <f>IF($B189="","",IF(V189="","",IF(INDEX('Input Contact Information'!$G$2:$G$200,V189)="","",INDEX('Input Contact Information'!$G$2:$G$200,V189))))</f>
        <v/>
      </c>
      <c r="I189" s="1" t="str">
        <f>IF($B189="","",IF(V189="","",IF(INDEX('Input Contact Information'!$H$2:$H$200,V189)="","",INDEX('Input Contact Information'!$H$2:$H$200,V189))))</f>
        <v/>
      </c>
      <c r="J189" s="1" t="str">
        <f>IF($B189="","",IF(V189="","",IF(INDEX('Input Contact Information'!$I$2:$I$200,V189)="","",INDEX('Input Contact Information'!$I$2:$I$200,V189))))</f>
        <v/>
      </c>
      <c r="K189" s="1" t="str">
        <f>IF($B189="","",IF(V189="","",IF(INDEX('Input Contact Information'!$A$2:$A$200,V189)="","",INDEX('Input Contact Information'!$A$2:$A$200,V189))))</f>
        <v/>
      </c>
      <c r="L189" s="1" t="str">
        <f>IF($B189="","",IF(W189="","",IF(INDEX('Accounts Overview'!$I$2:$I$100,W189)="","",INDEX('Accounts Overview'!$I$2:$I$100,W189))))</f>
        <v/>
      </c>
      <c r="M189" s="1" t="str">
        <f>IF($B189="","",IF(V189="","",IF(INDEX('Input Contact Information'!$J$2:$J$200,V189)="","",INDEX('Input Contact Information'!$J$2:$J$200,V189))))</f>
        <v/>
      </c>
      <c r="N189" s="1" t="str">
        <f>IF($B189="","",IF(V189="","",IF(INDEX('Input Contact Information'!$K$2:$K$200,V189)="","",INDEX('Input Contact Information'!$K$2:$K$200,V189))))</f>
        <v/>
      </c>
      <c r="O189" s="1" t="str">
        <f>IF($B189="","",IF(V189="","",IF(INDEX('Input Contact Information'!$L$2:$L$200,V189)="","",INDEX('Input Contact Information'!$L$2:$L$200,V189))))</f>
        <v/>
      </c>
      <c r="P189" s="1" t="str">
        <f>IF($B189="","",IF((IF(V189="","",IF(INDEX('Input Contact Information'!$N$2:$N$200,V189)="","",INDEX('Input Contact Information'!$N$2:$N$200,V189))))&lt;&gt;"",IF(V189="","",IF(INDEX('Input Contact Information'!$N$2:$N$200,V189)="","",INDEX('Input Contact Information'!$N$2:$N$200,V189))),IF(V189="","",IF(INDEX('Input Contact Information'!$M$2:$M$200,V189)="","",INDEX('Input Contact Information'!$M$2:$M$200,V189)))))</f>
        <v/>
      </c>
      <c r="Q189" s="1" t="str">
        <f t="shared" si="11"/>
        <v/>
      </c>
      <c r="R189" s="1" t="str">
        <f>IF($B189="","",IF(X189="","",IF(INDEX('Engagements Overview'!$I$2:$I$200,X189)="","",INDEX('Engagements Overview'!$I$2:$I$200,X189))))</f>
        <v/>
      </c>
      <c r="S189" s="14" t="str">
        <f>IF($B189="","",IF(X189="","",IF(INDEX('Engagements Overview'!$K$2:$K$200,X189)="","",INDEX('Engagements Overview'!$K$2:$K$200,X189))))</f>
        <v/>
      </c>
      <c r="T189" s="1" t="str">
        <f>IF($B189="","",IF(V189="","",IF(INDEX('Input Contact Information'!$O$2:$O$200,V189)="","",INDEX('Input Contact Information'!$O$2:$O$200,V189))))</f>
        <v/>
      </c>
      <c r="U189" s="1" t="str">
        <f>IF($B189="","",IF(V189="","",IF(INDEX('Input Contact Information'!$P$2:$P$200,V189)="","",INDEX('Input Contact Information'!$P$2:$P$200,V189))))</f>
        <v/>
      </c>
      <c r="V189" s="1" t="str">
        <f>IF(B189="","",IFERROR(MATCH(B189&amp;"|"&amp;C189,'Input Contact Information'!$W$2:$W$200,0),""))</f>
        <v/>
      </c>
      <c r="W189" s="1" t="str">
        <f>IF(C189="","",IFERROR(MATCH(C189,'Accounts Overview'!$B$2:$B$100,0),""))</f>
        <v/>
      </c>
      <c r="X189" s="1" t="str">
        <f>IF(A189="","",IFERROR(MATCH(A189,'Engagements Overview'!$B$2:$B$200,0),""))</f>
        <v/>
      </c>
    </row>
    <row r="190" spans="1:24" ht="15" customHeight="1" x14ac:dyDescent="0.35">
      <c r="A190" s="13" t="str">
        <f t="shared" si="10"/>
        <v/>
      </c>
      <c r="B190" s="1" t="str">
        <f>IFERROR(INDEX('Input Contact Information'!$C$2:$C$200,MATCH(ROW()-1,'Input Contact Information'!$V$2:$V$200,0)),"")</f>
        <v/>
      </c>
      <c r="C190" s="1" t="str">
        <f>IFERROR(INDEX('Input Contact Information'!$B$2:$B$200,MATCH(ROW()-1,'Input Contact Information'!$V$2:$V$200,0)),"")</f>
        <v/>
      </c>
      <c r="D190" s="1" t="str">
        <f>IF($B190="","",IF(W190="","",INDEX('Accounts Overview'!$A$2:$A$100,W190)))</f>
        <v/>
      </c>
      <c r="E190" s="1" t="str">
        <f>IF($B190="","",IF(V190="","",IF(INDEX('Input Contact Information'!$D$2:$D$200,V190)="","",INDEX('Input Contact Information'!$D$2:$D$200,V190))))</f>
        <v/>
      </c>
      <c r="F190" s="1" t="str">
        <f>IF($B190="","",IF(V190="","",IF(INDEX('Input Contact Information'!$F$2:$F$200,V190)="","",INDEX('Input Contact Information'!$F$2:$F$200,V190))))</f>
        <v/>
      </c>
      <c r="G190" s="1" t="str">
        <f>IF($B190="","",IF(V190="","",IF(INDEX('Input Contact Information'!$E$2:$E$200,V190)="","",INDEX('Input Contact Information'!$E$2:$E$200,V190))))</f>
        <v/>
      </c>
      <c r="H190" s="1" t="str">
        <f>IF($B190="","",IF(V190="","",IF(INDEX('Input Contact Information'!$G$2:$G$200,V190)="","",INDEX('Input Contact Information'!$G$2:$G$200,V190))))</f>
        <v/>
      </c>
      <c r="I190" s="1" t="str">
        <f>IF($B190="","",IF(V190="","",IF(INDEX('Input Contact Information'!$H$2:$H$200,V190)="","",INDEX('Input Contact Information'!$H$2:$H$200,V190))))</f>
        <v/>
      </c>
      <c r="J190" s="1" t="str">
        <f>IF($B190="","",IF(V190="","",IF(INDEX('Input Contact Information'!$I$2:$I$200,V190)="","",INDEX('Input Contact Information'!$I$2:$I$200,V190))))</f>
        <v/>
      </c>
      <c r="K190" s="1" t="str">
        <f>IF($B190="","",IF(V190="","",IF(INDEX('Input Contact Information'!$A$2:$A$200,V190)="","",INDEX('Input Contact Information'!$A$2:$A$200,V190))))</f>
        <v/>
      </c>
      <c r="L190" s="1" t="str">
        <f>IF($B190="","",IF(W190="","",IF(INDEX('Accounts Overview'!$I$2:$I$100,W190)="","",INDEX('Accounts Overview'!$I$2:$I$100,W190))))</f>
        <v/>
      </c>
      <c r="M190" s="1" t="str">
        <f>IF($B190="","",IF(V190="","",IF(INDEX('Input Contact Information'!$J$2:$J$200,V190)="","",INDEX('Input Contact Information'!$J$2:$J$200,V190))))</f>
        <v/>
      </c>
      <c r="N190" s="1" t="str">
        <f>IF($B190="","",IF(V190="","",IF(INDEX('Input Contact Information'!$K$2:$K$200,V190)="","",INDEX('Input Contact Information'!$K$2:$K$200,V190))))</f>
        <v/>
      </c>
      <c r="O190" s="1" t="str">
        <f>IF($B190="","",IF(V190="","",IF(INDEX('Input Contact Information'!$L$2:$L$200,V190)="","",INDEX('Input Contact Information'!$L$2:$L$200,V190))))</f>
        <v/>
      </c>
      <c r="P190" s="1" t="str">
        <f>IF($B190="","",IF((IF(V190="","",IF(INDEX('Input Contact Information'!$N$2:$N$200,V190)="","",INDEX('Input Contact Information'!$N$2:$N$200,V190))))&lt;&gt;"",IF(V190="","",IF(INDEX('Input Contact Information'!$N$2:$N$200,V190)="","",INDEX('Input Contact Information'!$N$2:$N$200,V190))),IF(V190="","",IF(INDEX('Input Contact Information'!$M$2:$M$200,V190)="","",INDEX('Input Contact Information'!$M$2:$M$200,V190)))))</f>
        <v/>
      </c>
      <c r="Q190" s="1" t="str">
        <f t="shared" si="11"/>
        <v/>
      </c>
      <c r="R190" s="1" t="str">
        <f>IF($B190="","",IF(X190="","",IF(INDEX('Engagements Overview'!$I$2:$I$200,X190)="","",INDEX('Engagements Overview'!$I$2:$I$200,X190))))</f>
        <v/>
      </c>
      <c r="S190" s="14" t="str">
        <f>IF($B190="","",IF(X190="","",IF(INDEX('Engagements Overview'!$K$2:$K$200,X190)="","",INDEX('Engagements Overview'!$K$2:$K$200,X190))))</f>
        <v/>
      </c>
      <c r="T190" s="1" t="str">
        <f>IF($B190="","",IF(V190="","",IF(INDEX('Input Contact Information'!$O$2:$O$200,V190)="","",INDEX('Input Contact Information'!$O$2:$O$200,V190))))</f>
        <v/>
      </c>
      <c r="U190" s="1" t="str">
        <f>IF($B190="","",IF(V190="","",IF(INDEX('Input Contact Information'!$P$2:$P$200,V190)="","",INDEX('Input Contact Information'!$P$2:$P$200,V190))))</f>
        <v/>
      </c>
      <c r="V190" s="1" t="str">
        <f>IF(B190="","",IFERROR(MATCH(B190&amp;"|"&amp;C190,'Input Contact Information'!$W$2:$W$200,0),""))</f>
        <v/>
      </c>
      <c r="W190" s="1" t="str">
        <f>IF(C190="","",IFERROR(MATCH(C190,'Accounts Overview'!$B$2:$B$100,0),""))</f>
        <v/>
      </c>
      <c r="X190" s="1" t="str">
        <f>IF(A190="","",IFERROR(MATCH(A190,'Engagements Overview'!$B$2:$B$200,0),""))</f>
        <v/>
      </c>
    </row>
    <row r="191" spans="1:24" ht="15" customHeight="1" x14ac:dyDescent="0.35">
      <c r="A191" s="13" t="str">
        <f t="shared" si="10"/>
        <v/>
      </c>
      <c r="B191" s="1" t="str">
        <f>IFERROR(INDEX('Input Contact Information'!$C$2:$C$200,MATCH(ROW()-1,'Input Contact Information'!$V$2:$V$200,0)),"")</f>
        <v/>
      </c>
      <c r="C191" s="1" t="str">
        <f>IFERROR(INDEX('Input Contact Information'!$B$2:$B$200,MATCH(ROW()-1,'Input Contact Information'!$V$2:$V$200,0)),"")</f>
        <v/>
      </c>
      <c r="D191" s="1" t="str">
        <f>IF($B191="","",IF(W191="","",INDEX('Accounts Overview'!$A$2:$A$100,W191)))</f>
        <v/>
      </c>
      <c r="E191" s="1" t="str">
        <f>IF($B191="","",IF(V191="","",IF(INDEX('Input Contact Information'!$D$2:$D$200,V191)="","",INDEX('Input Contact Information'!$D$2:$D$200,V191))))</f>
        <v/>
      </c>
      <c r="F191" s="1" t="str">
        <f>IF($B191="","",IF(V191="","",IF(INDEX('Input Contact Information'!$F$2:$F$200,V191)="","",INDEX('Input Contact Information'!$F$2:$F$200,V191))))</f>
        <v/>
      </c>
      <c r="G191" s="1" t="str">
        <f>IF($B191="","",IF(V191="","",IF(INDEX('Input Contact Information'!$E$2:$E$200,V191)="","",INDEX('Input Contact Information'!$E$2:$E$200,V191))))</f>
        <v/>
      </c>
      <c r="H191" s="1" t="str">
        <f>IF($B191="","",IF(V191="","",IF(INDEX('Input Contact Information'!$G$2:$G$200,V191)="","",INDEX('Input Contact Information'!$G$2:$G$200,V191))))</f>
        <v/>
      </c>
      <c r="I191" s="1" t="str">
        <f>IF($B191="","",IF(V191="","",IF(INDEX('Input Contact Information'!$H$2:$H$200,V191)="","",INDEX('Input Contact Information'!$H$2:$H$200,V191))))</f>
        <v/>
      </c>
      <c r="J191" s="1" t="str">
        <f>IF($B191="","",IF(V191="","",IF(INDEX('Input Contact Information'!$I$2:$I$200,V191)="","",INDEX('Input Contact Information'!$I$2:$I$200,V191))))</f>
        <v/>
      </c>
      <c r="K191" s="1" t="str">
        <f>IF($B191="","",IF(V191="","",IF(INDEX('Input Contact Information'!$A$2:$A$200,V191)="","",INDEX('Input Contact Information'!$A$2:$A$200,V191))))</f>
        <v/>
      </c>
      <c r="L191" s="1" t="str">
        <f>IF($B191="","",IF(W191="","",IF(INDEX('Accounts Overview'!$I$2:$I$100,W191)="","",INDEX('Accounts Overview'!$I$2:$I$100,W191))))</f>
        <v/>
      </c>
      <c r="M191" s="1" t="str">
        <f>IF($B191="","",IF(V191="","",IF(INDEX('Input Contact Information'!$J$2:$J$200,V191)="","",INDEX('Input Contact Information'!$J$2:$J$200,V191))))</f>
        <v/>
      </c>
      <c r="N191" s="1" t="str">
        <f>IF($B191="","",IF(V191="","",IF(INDEX('Input Contact Information'!$K$2:$K$200,V191)="","",INDEX('Input Contact Information'!$K$2:$K$200,V191))))</f>
        <v/>
      </c>
      <c r="O191" s="1" t="str">
        <f>IF($B191="","",IF(V191="","",IF(INDEX('Input Contact Information'!$L$2:$L$200,V191)="","",INDEX('Input Contact Information'!$L$2:$L$200,V191))))</f>
        <v/>
      </c>
      <c r="P191" s="1" t="str">
        <f>IF($B191="","",IF((IF(V191="","",IF(INDEX('Input Contact Information'!$N$2:$N$200,V191)="","",INDEX('Input Contact Information'!$N$2:$N$200,V191))))&lt;&gt;"",IF(V191="","",IF(INDEX('Input Contact Information'!$N$2:$N$200,V191)="","",INDEX('Input Contact Information'!$N$2:$N$200,V191))),IF(V191="","",IF(INDEX('Input Contact Information'!$M$2:$M$200,V191)="","",INDEX('Input Contact Information'!$M$2:$M$200,V191)))))</f>
        <v/>
      </c>
      <c r="Q191" s="1" t="str">
        <f t="shared" si="11"/>
        <v/>
      </c>
      <c r="R191" s="1" t="str">
        <f>IF($B191="","",IF(X191="","",IF(INDEX('Engagements Overview'!$I$2:$I$200,X191)="","",INDEX('Engagements Overview'!$I$2:$I$200,X191))))</f>
        <v/>
      </c>
      <c r="S191" s="14" t="str">
        <f>IF($B191="","",IF(X191="","",IF(INDEX('Engagements Overview'!$K$2:$K$200,X191)="","",INDEX('Engagements Overview'!$K$2:$K$200,X191))))</f>
        <v/>
      </c>
      <c r="T191" s="1" t="str">
        <f>IF($B191="","",IF(V191="","",IF(INDEX('Input Contact Information'!$O$2:$O$200,V191)="","",INDEX('Input Contact Information'!$O$2:$O$200,V191))))</f>
        <v/>
      </c>
      <c r="U191" s="1" t="str">
        <f>IF($B191="","",IF(V191="","",IF(INDEX('Input Contact Information'!$P$2:$P$200,V191)="","",INDEX('Input Contact Information'!$P$2:$P$200,V191))))</f>
        <v/>
      </c>
      <c r="V191" s="1" t="str">
        <f>IF(B191="","",IFERROR(MATCH(B191&amp;"|"&amp;C191,'Input Contact Information'!$W$2:$W$200,0),""))</f>
        <v/>
      </c>
      <c r="W191" s="1" t="str">
        <f>IF(C191="","",IFERROR(MATCH(C191,'Accounts Overview'!$B$2:$B$100,0),""))</f>
        <v/>
      </c>
      <c r="X191" s="1" t="str">
        <f>IF(A191="","",IFERROR(MATCH(A191,'Engagements Overview'!$B$2:$B$200,0),""))</f>
        <v/>
      </c>
    </row>
    <row r="192" spans="1:24" ht="15" customHeight="1" x14ac:dyDescent="0.35">
      <c r="A192" s="13" t="str">
        <f t="shared" si="10"/>
        <v/>
      </c>
      <c r="B192" s="1" t="str">
        <f>IFERROR(INDEX('Input Contact Information'!$C$2:$C$200,MATCH(ROW()-1,'Input Contact Information'!$V$2:$V$200,0)),"")</f>
        <v/>
      </c>
      <c r="C192" s="1" t="str">
        <f>IFERROR(INDEX('Input Contact Information'!$B$2:$B$200,MATCH(ROW()-1,'Input Contact Information'!$V$2:$V$200,0)),"")</f>
        <v/>
      </c>
      <c r="D192" s="1" t="str">
        <f>IF($B192="","",IF(W192="","",INDEX('Accounts Overview'!$A$2:$A$100,W192)))</f>
        <v/>
      </c>
      <c r="E192" s="1" t="str">
        <f>IF($B192="","",IF(V192="","",IF(INDEX('Input Contact Information'!$D$2:$D$200,V192)="","",INDEX('Input Contact Information'!$D$2:$D$200,V192))))</f>
        <v/>
      </c>
      <c r="F192" s="1" t="str">
        <f>IF($B192="","",IF(V192="","",IF(INDEX('Input Contact Information'!$F$2:$F$200,V192)="","",INDEX('Input Contact Information'!$F$2:$F$200,V192))))</f>
        <v/>
      </c>
      <c r="G192" s="1" t="str">
        <f>IF($B192="","",IF(V192="","",IF(INDEX('Input Contact Information'!$E$2:$E$200,V192)="","",INDEX('Input Contact Information'!$E$2:$E$200,V192))))</f>
        <v/>
      </c>
      <c r="H192" s="1" t="str">
        <f>IF($B192="","",IF(V192="","",IF(INDEX('Input Contact Information'!$G$2:$G$200,V192)="","",INDEX('Input Contact Information'!$G$2:$G$200,V192))))</f>
        <v/>
      </c>
      <c r="I192" s="1" t="str">
        <f>IF($B192="","",IF(V192="","",IF(INDEX('Input Contact Information'!$H$2:$H$200,V192)="","",INDEX('Input Contact Information'!$H$2:$H$200,V192))))</f>
        <v/>
      </c>
      <c r="J192" s="1" t="str">
        <f>IF($B192="","",IF(V192="","",IF(INDEX('Input Contact Information'!$I$2:$I$200,V192)="","",INDEX('Input Contact Information'!$I$2:$I$200,V192))))</f>
        <v/>
      </c>
      <c r="K192" s="1" t="str">
        <f>IF($B192="","",IF(V192="","",IF(INDEX('Input Contact Information'!$A$2:$A$200,V192)="","",INDEX('Input Contact Information'!$A$2:$A$200,V192))))</f>
        <v/>
      </c>
      <c r="L192" s="1" t="str">
        <f>IF($B192="","",IF(W192="","",IF(INDEX('Accounts Overview'!$I$2:$I$100,W192)="","",INDEX('Accounts Overview'!$I$2:$I$100,W192))))</f>
        <v/>
      </c>
      <c r="M192" s="1" t="str">
        <f>IF($B192="","",IF(V192="","",IF(INDEX('Input Contact Information'!$J$2:$J$200,V192)="","",INDEX('Input Contact Information'!$J$2:$J$200,V192))))</f>
        <v/>
      </c>
      <c r="N192" s="1" t="str">
        <f>IF($B192="","",IF(V192="","",IF(INDEX('Input Contact Information'!$K$2:$K$200,V192)="","",INDEX('Input Contact Information'!$K$2:$K$200,V192))))</f>
        <v/>
      </c>
      <c r="O192" s="1" t="str">
        <f>IF($B192="","",IF(V192="","",IF(INDEX('Input Contact Information'!$L$2:$L$200,V192)="","",INDEX('Input Contact Information'!$L$2:$L$200,V192))))</f>
        <v/>
      </c>
      <c r="P192" s="1" t="str">
        <f>IF($B192="","",IF((IF(V192="","",IF(INDEX('Input Contact Information'!$N$2:$N$200,V192)="","",INDEX('Input Contact Information'!$N$2:$N$200,V192))))&lt;&gt;"",IF(V192="","",IF(INDEX('Input Contact Information'!$N$2:$N$200,V192)="","",INDEX('Input Contact Information'!$N$2:$N$200,V192))),IF(V192="","",IF(INDEX('Input Contact Information'!$M$2:$M$200,V192)="","",INDEX('Input Contact Information'!$M$2:$M$200,V192)))))</f>
        <v/>
      </c>
      <c r="Q192" s="1" t="str">
        <f t="shared" si="11"/>
        <v/>
      </c>
      <c r="R192" s="1" t="str">
        <f>IF($B192="","",IF(X192="","",IF(INDEX('Engagements Overview'!$I$2:$I$200,X192)="","",INDEX('Engagements Overview'!$I$2:$I$200,X192))))</f>
        <v/>
      </c>
      <c r="S192" s="14" t="str">
        <f>IF($B192="","",IF(X192="","",IF(INDEX('Engagements Overview'!$K$2:$K$200,X192)="","",INDEX('Engagements Overview'!$K$2:$K$200,X192))))</f>
        <v/>
      </c>
      <c r="T192" s="1" t="str">
        <f>IF($B192="","",IF(V192="","",IF(INDEX('Input Contact Information'!$O$2:$O$200,V192)="","",INDEX('Input Contact Information'!$O$2:$O$200,V192))))</f>
        <v/>
      </c>
      <c r="U192" s="1" t="str">
        <f>IF($B192="","",IF(V192="","",IF(INDEX('Input Contact Information'!$P$2:$P$200,V192)="","",INDEX('Input Contact Information'!$P$2:$P$200,V192))))</f>
        <v/>
      </c>
      <c r="V192" s="1" t="str">
        <f>IF(B192="","",IFERROR(MATCH(B192&amp;"|"&amp;C192,'Input Contact Information'!$W$2:$W$200,0),""))</f>
        <v/>
      </c>
      <c r="W192" s="1" t="str">
        <f>IF(C192="","",IFERROR(MATCH(C192,'Accounts Overview'!$B$2:$B$100,0),""))</f>
        <v/>
      </c>
      <c r="X192" s="1" t="str">
        <f>IF(A192="","",IFERROR(MATCH(A192,'Engagements Overview'!$B$2:$B$200,0),""))</f>
        <v/>
      </c>
    </row>
    <row r="193" spans="1:24" ht="15" customHeight="1" x14ac:dyDescent="0.35">
      <c r="A193" s="13" t="str">
        <f t="shared" si="10"/>
        <v/>
      </c>
      <c r="B193" s="1" t="str">
        <f>IFERROR(INDEX('Input Contact Information'!$C$2:$C$200,MATCH(ROW()-1,'Input Contact Information'!$V$2:$V$200,0)),"")</f>
        <v/>
      </c>
      <c r="C193" s="1" t="str">
        <f>IFERROR(INDEX('Input Contact Information'!$B$2:$B$200,MATCH(ROW()-1,'Input Contact Information'!$V$2:$V$200,0)),"")</f>
        <v/>
      </c>
      <c r="D193" s="1" t="str">
        <f>IF($B193="","",IF(W193="","",INDEX('Accounts Overview'!$A$2:$A$100,W193)))</f>
        <v/>
      </c>
      <c r="E193" s="1" t="str">
        <f>IF($B193="","",IF(V193="","",IF(INDEX('Input Contact Information'!$D$2:$D$200,V193)="","",INDEX('Input Contact Information'!$D$2:$D$200,V193))))</f>
        <v/>
      </c>
      <c r="F193" s="1" t="str">
        <f>IF($B193="","",IF(V193="","",IF(INDEX('Input Contact Information'!$F$2:$F$200,V193)="","",INDEX('Input Contact Information'!$F$2:$F$200,V193))))</f>
        <v/>
      </c>
      <c r="G193" s="1" t="str">
        <f>IF($B193="","",IF(V193="","",IF(INDEX('Input Contact Information'!$E$2:$E$200,V193)="","",INDEX('Input Contact Information'!$E$2:$E$200,V193))))</f>
        <v/>
      </c>
      <c r="H193" s="1" t="str">
        <f>IF($B193="","",IF(V193="","",IF(INDEX('Input Contact Information'!$G$2:$G$200,V193)="","",INDEX('Input Contact Information'!$G$2:$G$200,V193))))</f>
        <v/>
      </c>
      <c r="I193" s="1" t="str">
        <f>IF($B193="","",IF(V193="","",IF(INDEX('Input Contact Information'!$H$2:$H$200,V193)="","",INDEX('Input Contact Information'!$H$2:$H$200,V193))))</f>
        <v/>
      </c>
      <c r="J193" s="1" t="str">
        <f>IF($B193="","",IF(V193="","",IF(INDEX('Input Contact Information'!$I$2:$I$200,V193)="","",INDEX('Input Contact Information'!$I$2:$I$200,V193))))</f>
        <v/>
      </c>
      <c r="K193" s="1" t="str">
        <f>IF($B193="","",IF(V193="","",IF(INDEX('Input Contact Information'!$A$2:$A$200,V193)="","",INDEX('Input Contact Information'!$A$2:$A$200,V193))))</f>
        <v/>
      </c>
      <c r="L193" s="1" t="str">
        <f>IF($B193="","",IF(W193="","",IF(INDEX('Accounts Overview'!$I$2:$I$100,W193)="","",INDEX('Accounts Overview'!$I$2:$I$100,W193))))</f>
        <v/>
      </c>
      <c r="M193" s="1" t="str">
        <f>IF($B193="","",IF(V193="","",IF(INDEX('Input Contact Information'!$J$2:$J$200,V193)="","",INDEX('Input Contact Information'!$J$2:$J$200,V193))))</f>
        <v/>
      </c>
      <c r="N193" s="1" t="str">
        <f>IF($B193="","",IF(V193="","",IF(INDEX('Input Contact Information'!$K$2:$K$200,V193)="","",INDEX('Input Contact Information'!$K$2:$K$200,V193))))</f>
        <v/>
      </c>
      <c r="O193" s="1" t="str">
        <f>IF($B193="","",IF(V193="","",IF(INDEX('Input Contact Information'!$L$2:$L$200,V193)="","",INDEX('Input Contact Information'!$L$2:$L$200,V193))))</f>
        <v/>
      </c>
      <c r="P193" s="1" t="str">
        <f>IF($B193="","",IF((IF(V193="","",IF(INDEX('Input Contact Information'!$N$2:$N$200,V193)="","",INDEX('Input Contact Information'!$N$2:$N$200,V193))))&lt;&gt;"",IF(V193="","",IF(INDEX('Input Contact Information'!$N$2:$N$200,V193)="","",INDEX('Input Contact Information'!$N$2:$N$200,V193))),IF(V193="","",IF(INDEX('Input Contact Information'!$M$2:$M$200,V193)="","",INDEX('Input Contact Information'!$M$2:$M$200,V193)))))</f>
        <v/>
      </c>
      <c r="Q193" s="1" t="str">
        <f t="shared" si="11"/>
        <v/>
      </c>
      <c r="R193" s="1" t="str">
        <f>IF($B193="","",IF(X193="","",IF(INDEX('Engagements Overview'!$I$2:$I$200,X193)="","",INDEX('Engagements Overview'!$I$2:$I$200,X193))))</f>
        <v/>
      </c>
      <c r="S193" s="14" t="str">
        <f>IF($B193="","",IF(X193="","",IF(INDEX('Engagements Overview'!$K$2:$K$200,X193)="","",INDEX('Engagements Overview'!$K$2:$K$200,X193))))</f>
        <v/>
      </c>
      <c r="T193" s="1" t="str">
        <f>IF($B193="","",IF(V193="","",IF(INDEX('Input Contact Information'!$O$2:$O$200,V193)="","",INDEX('Input Contact Information'!$O$2:$O$200,V193))))</f>
        <v/>
      </c>
      <c r="U193" s="1" t="str">
        <f>IF($B193="","",IF(V193="","",IF(INDEX('Input Contact Information'!$P$2:$P$200,V193)="","",INDEX('Input Contact Information'!$P$2:$P$200,V193))))</f>
        <v/>
      </c>
      <c r="V193" s="1" t="str">
        <f>IF(B193="","",IFERROR(MATCH(B193&amp;"|"&amp;C193,'Input Contact Information'!$W$2:$W$200,0),""))</f>
        <v/>
      </c>
      <c r="W193" s="1" t="str">
        <f>IF(C193="","",IFERROR(MATCH(C193,'Accounts Overview'!$B$2:$B$100,0),""))</f>
        <v/>
      </c>
      <c r="X193" s="1" t="str">
        <f>IF(A193="","",IFERROR(MATCH(A193,'Engagements Overview'!$B$2:$B$200,0),""))</f>
        <v/>
      </c>
    </row>
    <row r="194" spans="1:24" ht="15" customHeight="1" x14ac:dyDescent="0.35">
      <c r="A194" s="13" t="str">
        <f t="shared" ref="A194:A200" si="12">IF(B194="","","CON"&amp;TEXT(ROW()-1,"0000"))</f>
        <v/>
      </c>
      <c r="B194" s="1" t="str">
        <f>IFERROR(INDEX('Input Contact Information'!$C$2:$C$200,MATCH(ROW()-1,'Input Contact Information'!$V$2:$V$200,0)),"")</f>
        <v/>
      </c>
      <c r="C194" s="1" t="str">
        <f>IFERROR(INDEX('Input Contact Information'!$B$2:$B$200,MATCH(ROW()-1,'Input Contact Information'!$V$2:$V$200,0)),"")</f>
        <v/>
      </c>
      <c r="D194" s="1" t="str">
        <f>IF($B194="","",IF(W194="","",INDEX('Accounts Overview'!$A$2:$A$100,W194)))</f>
        <v/>
      </c>
      <c r="E194" s="1" t="str">
        <f>IF($B194="","",IF(V194="","",IF(INDEX('Input Contact Information'!$D$2:$D$200,V194)="","",INDEX('Input Contact Information'!$D$2:$D$200,V194))))</f>
        <v/>
      </c>
      <c r="F194" s="1" t="str">
        <f>IF($B194="","",IF(V194="","",IF(INDEX('Input Contact Information'!$F$2:$F$200,V194)="","",INDEX('Input Contact Information'!$F$2:$F$200,V194))))</f>
        <v/>
      </c>
      <c r="G194" s="1" t="str">
        <f>IF($B194="","",IF(V194="","",IF(INDEX('Input Contact Information'!$E$2:$E$200,V194)="","",INDEX('Input Contact Information'!$E$2:$E$200,V194))))</f>
        <v/>
      </c>
      <c r="H194" s="1" t="str">
        <f>IF($B194="","",IF(V194="","",IF(INDEX('Input Contact Information'!$G$2:$G$200,V194)="","",INDEX('Input Contact Information'!$G$2:$G$200,V194))))</f>
        <v/>
      </c>
      <c r="I194" s="1" t="str">
        <f>IF($B194="","",IF(V194="","",IF(INDEX('Input Contact Information'!$H$2:$H$200,V194)="","",INDEX('Input Contact Information'!$H$2:$H$200,V194))))</f>
        <v/>
      </c>
      <c r="J194" s="1" t="str">
        <f>IF($B194="","",IF(V194="","",IF(INDEX('Input Contact Information'!$I$2:$I$200,V194)="","",INDEX('Input Contact Information'!$I$2:$I$200,V194))))</f>
        <v/>
      </c>
      <c r="K194" s="1" t="str">
        <f>IF($B194="","",IF(V194="","",IF(INDEX('Input Contact Information'!$A$2:$A$200,V194)="","",INDEX('Input Contact Information'!$A$2:$A$200,V194))))</f>
        <v/>
      </c>
      <c r="L194" s="1" t="str">
        <f>IF($B194="","",IF(W194="","",IF(INDEX('Accounts Overview'!$I$2:$I$100,W194)="","",INDEX('Accounts Overview'!$I$2:$I$100,W194))))</f>
        <v/>
      </c>
      <c r="M194" s="1" t="str">
        <f>IF($B194="","",IF(V194="","",IF(INDEX('Input Contact Information'!$J$2:$J$200,V194)="","",INDEX('Input Contact Information'!$J$2:$J$200,V194))))</f>
        <v/>
      </c>
      <c r="N194" s="1" t="str">
        <f>IF($B194="","",IF(V194="","",IF(INDEX('Input Contact Information'!$K$2:$K$200,V194)="","",INDEX('Input Contact Information'!$K$2:$K$200,V194))))</f>
        <v/>
      </c>
      <c r="O194" s="1" t="str">
        <f>IF($B194="","",IF(V194="","",IF(INDEX('Input Contact Information'!$L$2:$L$200,V194)="","",INDEX('Input Contact Information'!$L$2:$L$200,V194))))</f>
        <v/>
      </c>
      <c r="P194" s="1" t="str">
        <f>IF($B194="","",IF((IF(V194="","",IF(INDEX('Input Contact Information'!$N$2:$N$200,V194)="","",INDEX('Input Contact Information'!$N$2:$N$200,V194))))&lt;&gt;"",IF(V194="","",IF(INDEX('Input Contact Information'!$N$2:$N$200,V194)="","",INDEX('Input Contact Information'!$N$2:$N$200,V194))),IF(V194="","",IF(INDEX('Input Contact Information'!$M$2:$M$200,V194)="","",INDEX('Input Contact Information'!$M$2:$M$200,V194)))))</f>
        <v/>
      </c>
      <c r="Q194" s="1" t="str">
        <f t="shared" ref="Q194:Q200" si="13">IF($B194="","",IF(P194="","",IF(P194="Tier 1","Monthly",IF(P194="Tier 2","Quarterly","Semi-annually"))))</f>
        <v/>
      </c>
      <c r="R194" s="1" t="str">
        <f>IF($B194="","",IF(X194="","",IF(INDEX('Engagements Overview'!$I$2:$I$200,X194)="","",INDEX('Engagements Overview'!$I$2:$I$200,X194))))</f>
        <v/>
      </c>
      <c r="S194" s="14" t="str">
        <f>IF($B194="","",IF(X194="","",IF(INDEX('Engagements Overview'!$K$2:$K$200,X194)="","",INDEX('Engagements Overview'!$K$2:$K$200,X194))))</f>
        <v/>
      </c>
      <c r="T194" s="1" t="str">
        <f>IF($B194="","",IF(V194="","",IF(INDEX('Input Contact Information'!$O$2:$O$200,V194)="","",INDEX('Input Contact Information'!$O$2:$O$200,V194))))</f>
        <v/>
      </c>
      <c r="U194" s="1" t="str">
        <f>IF($B194="","",IF(V194="","",IF(INDEX('Input Contact Information'!$P$2:$P$200,V194)="","",INDEX('Input Contact Information'!$P$2:$P$200,V194))))</f>
        <v/>
      </c>
      <c r="V194" s="1" t="str">
        <f>IF(B194="","",IFERROR(MATCH(B194&amp;"|"&amp;C194,'Input Contact Information'!$W$2:$W$200,0),""))</f>
        <v/>
      </c>
      <c r="W194" s="1" t="str">
        <f>IF(C194="","",IFERROR(MATCH(C194,'Accounts Overview'!$B$2:$B$100,0),""))</f>
        <v/>
      </c>
      <c r="X194" s="1" t="str">
        <f>IF(A194="","",IFERROR(MATCH(A194,'Engagements Overview'!$B$2:$B$200,0),""))</f>
        <v/>
      </c>
    </row>
    <row r="195" spans="1:24" ht="15" customHeight="1" x14ac:dyDescent="0.35">
      <c r="A195" s="13" t="str">
        <f t="shared" si="12"/>
        <v/>
      </c>
      <c r="B195" s="1" t="str">
        <f>IFERROR(INDEX('Input Contact Information'!$C$2:$C$200,MATCH(ROW()-1,'Input Contact Information'!$V$2:$V$200,0)),"")</f>
        <v/>
      </c>
      <c r="C195" s="1" t="str">
        <f>IFERROR(INDEX('Input Contact Information'!$B$2:$B$200,MATCH(ROW()-1,'Input Contact Information'!$V$2:$V$200,0)),"")</f>
        <v/>
      </c>
      <c r="D195" s="1" t="str">
        <f>IF($B195="","",IF(W195="","",INDEX('Accounts Overview'!$A$2:$A$100,W195)))</f>
        <v/>
      </c>
      <c r="E195" s="1" t="str">
        <f>IF($B195="","",IF(V195="","",IF(INDEX('Input Contact Information'!$D$2:$D$200,V195)="","",INDEX('Input Contact Information'!$D$2:$D$200,V195))))</f>
        <v/>
      </c>
      <c r="F195" s="1" t="str">
        <f>IF($B195="","",IF(V195="","",IF(INDEX('Input Contact Information'!$F$2:$F$200,V195)="","",INDEX('Input Contact Information'!$F$2:$F$200,V195))))</f>
        <v/>
      </c>
      <c r="G195" s="1" t="str">
        <f>IF($B195="","",IF(V195="","",IF(INDEX('Input Contact Information'!$E$2:$E$200,V195)="","",INDEX('Input Contact Information'!$E$2:$E$200,V195))))</f>
        <v/>
      </c>
      <c r="H195" s="1" t="str">
        <f>IF($B195="","",IF(V195="","",IF(INDEX('Input Contact Information'!$G$2:$G$200,V195)="","",INDEX('Input Contact Information'!$G$2:$G$200,V195))))</f>
        <v/>
      </c>
      <c r="I195" s="1" t="str">
        <f>IF($B195="","",IF(V195="","",IF(INDEX('Input Contact Information'!$H$2:$H$200,V195)="","",INDEX('Input Contact Information'!$H$2:$H$200,V195))))</f>
        <v/>
      </c>
      <c r="J195" s="1" t="str">
        <f>IF($B195="","",IF(V195="","",IF(INDEX('Input Contact Information'!$I$2:$I$200,V195)="","",INDEX('Input Contact Information'!$I$2:$I$200,V195))))</f>
        <v/>
      </c>
      <c r="K195" s="1" t="str">
        <f>IF($B195="","",IF(V195="","",IF(INDEX('Input Contact Information'!$A$2:$A$200,V195)="","",INDEX('Input Contact Information'!$A$2:$A$200,V195))))</f>
        <v/>
      </c>
      <c r="L195" s="1" t="str">
        <f>IF($B195="","",IF(W195="","",IF(INDEX('Accounts Overview'!$I$2:$I$100,W195)="","",INDEX('Accounts Overview'!$I$2:$I$100,W195))))</f>
        <v/>
      </c>
      <c r="M195" s="1" t="str">
        <f>IF($B195="","",IF(V195="","",IF(INDEX('Input Contact Information'!$J$2:$J$200,V195)="","",INDEX('Input Contact Information'!$J$2:$J$200,V195))))</f>
        <v/>
      </c>
      <c r="N195" s="1" t="str">
        <f>IF($B195="","",IF(V195="","",IF(INDEX('Input Contact Information'!$K$2:$K$200,V195)="","",INDEX('Input Contact Information'!$K$2:$K$200,V195))))</f>
        <v/>
      </c>
      <c r="O195" s="1" t="str">
        <f>IF($B195="","",IF(V195="","",IF(INDEX('Input Contact Information'!$L$2:$L$200,V195)="","",INDEX('Input Contact Information'!$L$2:$L$200,V195))))</f>
        <v/>
      </c>
      <c r="P195" s="1" t="str">
        <f>IF($B195="","",IF((IF(V195="","",IF(INDEX('Input Contact Information'!$N$2:$N$200,V195)="","",INDEX('Input Contact Information'!$N$2:$N$200,V195))))&lt;&gt;"",IF(V195="","",IF(INDEX('Input Contact Information'!$N$2:$N$200,V195)="","",INDEX('Input Contact Information'!$N$2:$N$200,V195))),IF(V195="","",IF(INDEX('Input Contact Information'!$M$2:$M$200,V195)="","",INDEX('Input Contact Information'!$M$2:$M$200,V195)))))</f>
        <v/>
      </c>
      <c r="Q195" s="1" t="str">
        <f t="shared" si="13"/>
        <v/>
      </c>
      <c r="R195" s="1" t="str">
        <f>IF($B195="","",IF(X195="","",IF(INDEX('Engagements Overview'!$I$2:$I$200,X195)="","",INDEX('Engagements Overview'!$I$2:$I$200,X195))))</f>
        <v/>
      </c>
      <c r="S195" s="14" t="str">
        <f>IF($B195="","",IF(X195="","",IF(INDEX('Engagements Overview'!$K$2:$K$200,X195)="","",INDEX('Engagements Overview'!$K$2:$K$200,X195))))</f>
        <v/>
      </c>
      <c r="T195" s="1" t="str">
        <f>IF($B195="","",IF(V195="","",IF(INDEX('Input Contact Information'!$O$2:$O$200,V195)="","",INDEX('Input Contact Information'!$O$2:$O$200,V195))))</f>
        <v/>
      </c>
      <c r="U195" s="1" t="str">
        <f>IF($B195="","",IF(V195="","",IF(INDEX('Input Contact Information'!$P$2:$P$200,V195)="","",INDEX('Input Contact Information'!$P$2:$P$200,V195))))</f>
        <v/>
      </c>
      <c r="V195" s="1" t="str">
        <f>IF(B195="","",IFERROR(MATCH(B195&amp;"|"&amp;C195,'Input Contact Information'!$W$2:$W$200,0),""))</f>
        <v/>
      </c>
      <c r="W195" s="1" t="str">
        <f>IF(C195="","",IFERROR(MATCH(C195,'Accounts Overview'!$B$2:$B$100,0),""))</f>
        <v/>
      </c>
      <c r="X195" s="1" t="str">
        <f>IF(A195="","",IFERROR(MATCH(A195,'Engagements Overview'!$B$2:$B$200,0),""))</f>
        <v/>
      </c>
    </row>
    <row r="196" spans="1:24" ht="15" customHeight="1" x14ac:dyDescent="0.35">
      <c r="A196" s="13" t="str">
        <f t="shared" si="12"/>
        <v/>
      </c>
      <c r="B196" s="1" t="str">
        <f>IFERROR(INDEX('Input Contact Information'!$C$2:$C$200,MATCH(ROW()-1,'Input Contact Information'!$V$2:$V$200,0)),"")</f>
        <v/>
      </c>
      <c r="C196" s="1" t="str">
        <f>IFERROR(INDEX('Input Contact Information'!$B$2:$B$200,MATCH(ROW()-1,'Input Contact Information'!$V$2:$V$200,0)),"")</f>
        <v/>
      </c>
      <c r="D196" s="1" t="str">
        <f>IF($B196="","",IF(W196="","",INDEX('Accounts Overview'!$A$2:$A$100,W196)))</f>
        <v/>
      </c>
      <c r="E196" s="1" t="str">
        <f>IF($B196="","",IF(V196="","",IF(INDEX('Input Contact Information'!$D$2:$D$200,V196)="","",INDEX('Input Contact Information'!$D$2:$D$200,V196))))</f>
        <v/>
      </c>
      <c r="F196" s="1" t="str">
        <f>IF($B196="","",IF(V196="","",IF(INDEX('Input Contact Information'!$F$2:$F$200,V196)="","",INDEX('Input Contact Information'!$F$2:$F$200,V196))))</f>
        <v/>
      </c>
      <c r="G196" s="1" t="str">
        <f>IF($B196="","",IF(V196="","",IF(INDEX('Input Contact Information'!$E$2:$E$200,V196)="","",INDEX('Input Contact Information'!$E$2:$E$200,V196))))</f>
        <v/>
      </c>
      <c r="H196" s="1" t="str">
        <f>IF($B196="","",IF(V196="","",IF(INDEX('Input Contact Information'!$G$2:$G$200,V196)="","",INDEX('Input Contact Information'!$G$2:$G$200,V196))))</f>
        <v/>
      </c>
      <c r="I196" s="1" t="str">
        <f>IF($B196="","",IF(V196="","",IF(INDEX('Input Contact Information'!$H$2:$H$200,V196)="","",INDEX('Input Contact Information'!$H$2:$H$200,V196))))</f>
        <v/>
      </c>
      <c r="J196" s="1" t="str">
        <f>IF($B196="","",IF(V196="","",IF(INDEX('Input Contact Information'!$I$2:$I$200,V196)="","",INDEX('Input Contact Information'!$I$2:$I$200,V196))))</f>
        <v/>
      </c>
      <c r="K196" s="1" t="str">
        <f>IF($B196="","",IF(V196="","",IF(INDEX('Input Contact Information'!$A$2:$A$200,V196)="","",INDEX('Input Contact Information'!$A$2:$A$200,V196))))</f>
        <v/>
      </c>
      <c r="L196" s="1" t="str">
        <f>IF($B196="","",IF(W196="","",IF(INDEX('Accounts Overview'!$I$2:$I$100,W196)="","",INDEX('Accounts Overview'!$I$2:$I$100,W196))))</f>
        <v/>
      </c>
      <c r="M196" s="1" t="str">
        <f>IF($B196="","",IF(V196="","",IF(INDEX('Input Contact Information'!$J$2:$J$200,V196)="","",INDEX('Input Contact Information'!$J$2:$J$200,V196))))</f>
        <v/>
      </c>
      <c r="N196" s="1" t="str">
        <f>IF($B196="","",IF(V196="","",IF(INDEX('Input Contact Information'!$K$2:$K$200,V196)="","",INDEX('Input Contact Information'!$K$2:$K$200,V196))))</f>
        <v/>
      </c>
      <c r="O196" s="1" t="str">
        <f>IF($B196="","",IF(V196="","",IF(INDEX('Input Contact Information'!$L$2:$L$200,V196)="","",INDEX('Input Contact Information'!$L$2:$L$200,V196))))</f>
        <v/>
      </c>
      <c r="P196" s="1" t="str">
        <f>IF($B196="","",IF((IF(V196="","",IF(INDEX('Input Contact Information'!$N$2:$N$200,V196)="","",INDEX('Input Contact Information'!$N$2:$N$200,V196))))&lt;&gt;"",IF(V196="","",IF(INDEX('Input Contact Information'!$N$2:$N$200,V196)="","",INDEX('Input Contact Information'!$N$2:$N$200,V196))),IF(V196="","",IF(INDEX('Input Contact Information'!$M$2:$M$200,V196)="","",INDEX('Input Contact Information'!$M$2:$M$200,V196)))))</f>
        <v/>
      </c>
      <c r="Q196" s="1" t="str">
        <f t="shared" si="13"/>
        <v/>
      </c>
      <c r="R196" s="1" t="str">
        <f>IF($B196="","",IF(X196="","",IF(INDEX('Engagements Overview'!$I$2:$I$200,X196)="","",INDEX('Engagements Overview'!$I$2:$I$200,X196))))</f>
        <v/>
      </c>
      <c r="S196" s="14" t="str">
        <f>IF($B196="","",IF(X196="","",IF(INDEX('Engagements Overview'!$K$2:$K$200,X196)="","",INDEX('Engagements Overview'!$K$2:$K$200,X196))))</f>
        <v/>
      </c>
      <c r="T196" s="1" t="str">
        <f>IF($B196="","",IF(V196="","",IF(INDEX('Input Contact Information'!$O$2:$O$200,V196)="","",INDEX('Input Contact Information'!$O$2:$O$200,V196))))</f>
        <v/>
      </c>
      <c r="U196" s="1" t="str">
        <f>IF($B196="","",IF(V196="","",IF(INDEX('Input Contact Information'!$P$2:$P$200,V196)="","",INDEX('Input Contact Information'!$P$2:$P$200,V196))))</f>
        <v/>
      </c>
      <c r="V196" s="1" t="str">
        <f>IF(B196="","",IFERROR(MATCH(B196&amp;"|"&amp;C196,'Input Contact Information'!$W$2:$W$200,0),""))</f>
        <v/>
      </c>
      <c r="W196" s="1" t="str">
        <f>IF(C196="","",IFERROR(MATCH(C196,'Accounts Overview'!$B$2:$B$100,0),""))</f>
        <v/>
      </c>
      <c r="X196" s="1" t="str">
        <f>IF(A196="","",IFERROR(MATCH(A196,'Engagements Overview'!$B$2:$B$200,0),""))</f>
        <v/>
      </c>
    </row>
    <row r="197" spans="1:24" ht="15" customHeight="1" x14ac:dyDescent="0.35">
      <c r="A197" s="13" t="str">
        <f t="shared" si="12"/>
        <v/>
      </c>
      <c r="B197" s="1" t="str">
        <f>IFERROR(INDEX('Input Contact Information'!$C$2:$C$200,MATCH(ROW()-1,'Input Contact Information'!$V$2:$V$200,0)),"")</f>
        <v/>
      </c>
      <c r="C197" s="1" t="str">
        <f>IFERROR(INDEX('Input Contact Information'!$B$2:$B$200,MATCH(ROW()-1,'Input Contact Information'!$V$2:$V$200,0)),"")</f>
        <v/>
      </c>
      <c r="D197" s="1" t="str">
        <f>IF($B197="","",IF(W197="","",INDEX('Accounts Overview'!$A$2:$A$100,W197)))</f>
        <v/>
      </c>
      <c r="E197" s="1" t="str">
        <f>IF($B197="","",IF(V197="","",IF(INDEX('Input Contact Information'!$D$2:$D$200,V197)="","",INDEX('Input Contact Information'!$D$2:$D$200,V197))))</f>
        <v/>
      </c>
      <c r="F197" s="1" t="str">
        <f>IF($B197="","",IF(V197="","",IF(INDEX('Input Contact Information'!$F$2:$F$200,V197)="","",INDEX('Input Contact Information'!$F$2:$F$200,V197))))</f>
        <v/>
      </c>
      <c r="G197" s="1" t="str">
        <f>IF($B197="","",IF(V197="","",IF(INDEX('Input Contact Information'!$E$2:$E$200,V197)="","",INDEX('Input Contact Information'!$E$2:$E$200,V197))))</f>
        <v/>
      </c>
      <c r="H197" s="1" t="str">
        <f>IF($B197="","",IF(V197="","",IF(INDEX('Input Contact Information'!$G$2:$G$200,V197)="","",INDEX('Input Contact Information'!$G$2:$G$200,V197))))</f>
        <v/>
      </c>
      <c r="I197" s="1" t="str">
        <f>IF($B197="","",IF(V197="","",IF(INDEX('Input Contact Information'!$H$2:$H$200,V197)="","",INDEX('Input Contact Information'!$H$2:$H$200,V197))))</f>
        <v/>
      </c>
      <c r="J197" s="1" t="str">
        <f>IF($B197="","",IF(V197="","",IF(INDEX('Input Contact Information'!$I$2:$I$200,V197)="","",INDEX('Input Contact Information'!$I$2:$I$200,V197))))</f>
        <v/>
      </c>
      <c r="K197" s="1" t="str">
        <f>IF($B197="","",IF(V197="","",IF(INDEX('Input Contact Information'!$A$2:$A$200,V197)="","",INDEX('Input Contact Information'!$A$2:$A$200,V197))))</f>
        <v/>
      </c>
      <c r="L197" s="1" t="str">
        <f>IF($B197="","",IF(W197="","",IF(INDEX('Accounts Overview'!$I$2:$I$100,W197)="","",INDEX('Accounts Overview'!$I$2:$I$100,W197))))</f>
        <v/>
      </c>
      <c r="M197" s="1" t="str">
        <f>IF($B197="","",IF(V197="","",IF(INDEX('Input Contact Information'!$J$2:$J$200,V197)="","",INDEX('Input Contact Information'!$J$2:$J$200,V197))))</f>
        <v/>
      </c>
      <c r="N197" s="1" t="str">
        <f>IF($B197="","",IF(V197="","",IF(INDEX('Input Contact Information'!$K$2:$K$200,V197)="","",INDEX('Input Contact Information'!$K$2:$K$200,V197))))</f>
        <v/>
      </c>
      <c r="O197" s="1" t="str">
        <f>IF($B197="","",IF(V197="","",IF(INDEX('Input Contact Information'!$L$2:$L$200,V197)="","",INDEX('Input Contact Information'!$L$2:$L$200,V197))))</f>
        <v/>
      </c>
      <c r="P197" s="1" t="str">
        <f>IF($B197="","",IF((IF(V197="","",IF(INDEX('Input Contact Information'!$N$2:$N$200,V197)="","",INDEX('Input Contact Information'!$N$2:$N$200,V197))))&lt;&gt;"",IF(V197="","",IF(INDEX('Input Contact Information'!$N$2:$N$200,V197)="","",INDEX('Input Contact Information'!$N$2:$N$200,V197))),IF(V197="","",IF(INDEX('Input Contact Information'!$M$2:$M$200,V197)="","",INDEX('Input Contact Information'!$M$2:$M$200,V197)))))</f>
        <v/>
      </c>
      <c r="Q197" s="1" t="str">
        <f t="shared" si="13"/>
        <v/>
      </c>
      <c r="R197" s="1" t="str">
        <f>IF($B197="","",IF(X197="","",IF(INDEX('Engagements Overview'!$I$2:$I$200,X197)="","",INDEX('Engagements Overview'!$I$2:$I$200,X197))))</f>
        <v/>
      </c>
      <c r="S197" s="14" t="str">
        <f>IF($B197="","",IF(X197="","",IF(INDEX('Engagements Overview'!$K$2:$K$200,X197)="","",INDEX('Engagements Overview'!$K$2:$K$200,X197))))</f>
        <v/>
      </c>
      <c r="T197" s="1" t="str">
        <f>IF($B197="","",IF(V197="","",IF(INDEX('Input Contact Information'!$O$2:$O$200,V197)="","",INDEX('Input Contact Information'!$O$2:$O$200,V197))))</f>
        <v/>
      </c>
      <c r="U197" s="1" t="str">
        <f>IF($B197="","",IF(V197="","",IF(INDEX('Input Contact Information'!$P$2:$P$200,V197)="","",INDEX('Input Contact Information'!$P$2:$P$200,V197))))</f>
        <v/>
      </c>
      <c r="V197" s="1" t="str">
        <f>IF(B197="","",IFERROR(MATCH(B197&amp;"|"&amp;C197,'Input Contact Information'!$W$2:$W$200,0),""))</f>
        <v/>
      </c>
      <c r="W197" s="1" t="str">
        <f>IF(C197="","",IFERROR(MATCH(C197,'Accounts Overview'!$B$2:$B$100,0),""))</f>
        <v/>
      </c>
      <c r="X197" s="1" t="str">
        <f>IF(A197="","",IFERROR(MATCH(A197,'Engagements Overview'!$B$2:$B$200,0),""))</f>
        <v/>
      </c>
    </row>
    <row r="198" spans="1:24" ht="15" customHeight="1" x14ac:dyDescent="0.35">
      <c r="A198" s="13" t="str">
        <f t="shared" si="12"/>
        <v/>
      </c>
      <c r="B198" s="1" t="str">
        <f>IFERROR(INDEX('Input Contact Information'!$C$2:$C$200,MATCH(ROW()-1,'Input Contact Information'!$V$2:$V$200,0)),"")</f>
        <v/>
      </c>
      <c r="C198" s="1" t="str">
        <f>IFERROR(INDEX('Input Contact Information'!$B$2:$B$200,MATCH(ROW()-1,'Input Contact Information'!$V$2:$V$200,0)),"")</f>
        <v/>
      </c>
      <c r="D198" s="1" t="str">
        <f>IF($B198="","",IF(W198="","",INDEX('Accounts Overview'!$A$2:$A$100,W198)))</f>
        <v/>
      </c>
      <c r="E198" s="1" t="str">
        <f>IF($B198="","",IF(V198="","",IF(INDEX('Input Contact Information'!$D$2:$D$200,V198)="","",INDEX('Input Contact Information'!$D$2:$D$200,V198))))</f>
        <v/>
      </c>
      <c r="F198" s="1" t="str">
        <f>IF($B198="","",IF(V198="","",IF(INDEX('Input Contact Information'!$F$2:$F$200,V198)="","",INDEX('Input Contact Information'!$F$2:$F$200,V198))))</f>
        <v/>
      </c>
      <c r="G198" s="1" t="str">
        <f>IF($B198="","",IF(V198="","",IF(INDEX('Input Contact Information'!$E$2:$E$200,V198)="","",INDEX('Input Contact Information'!$E$2:$E$200,V198))))</f>
        <v/>
      </c>
      <c r="H198" s="1" t="str">
        <f>IF($B198="","",IF(V198="","",IF(INDEX('Input Contact Information'!$G$2:$G$200,V198)="","",INDEX('Input Contact Information'!$G$2:$G$200,V198))))</f>
        <v/>
      </c>
      <c r="I198" s="1" t="str">
        <f>IF($B198="","",IF(V198="","",IF(INDEX('Input Contact Information'!$H$2:$H$200,V198)="","",INDEX('Input Contact Information'!$H$2:$H$200,V198))))</f>
        <v/>
      </c>
      <c r="J198" s="1" t="str">
        <f>IF($B198="","",IF(V198="","",IF(INDEX('Input Contact Information'!$I$2:$I$200,V198)="","",INDEX('Input Contact Information'!$I$2:$I$200,V198))))</f>
        <v/>
      </c>
      <c r="K198" s="1" t="str">
        <f>IF($B198="","",IF(V198="","",IF(INDEX('Input Contact Information'!$A$2:$A$200,V198)="","",INDEX('Input Contact Information'!$A$2:$A$200,V198))))</f>
        <v/>
      </c>
      <c r="L198" s="1" t="str">
        <f>IF($B198="","",IF(W198="","",IF(INDEX('Accounts Overview'!$I$2:$I$100,W198)="","",INDEX('Accounts Overview'!$I$2:$I$100,W198))))</f>
        <v/>
      </c>
      <c r="M198" s="1" t="str">
        <f>IF($B198="","",IF(V198="","",IF(INDEX('Input Contact Information'!$J$2:$J$200,V198)="","",INDEX('Input Contact Information'!$J$2:$J$200,V198))))</f>
        <v/>
      </c>
      <c r="N198" s="1" t="str">
        <f>IF($B198="","",IF(V198="","",IF(INDEX('Input Contact Information'!$K$2:$K$200,V198)="","",INDEX('Input Contact Information'!$K$2:$K$200,V198))))</f>
        <v/>
      </c>
      <c r="O198" s="1" t="str">
        <f>IF($B198="","",IF(V198="","",IF(INDEX('Input Contact Information'!$L$2:$L$200,V198)="","",INDEX('Input Contact Information'!$L$2:$L$200,V198))))</f>
        <v/>
      </c>
      <c r="P198" s="1" t="str">
        <f>IF($B198="","",IF((IF(V198="","",IF(INDEX('Input Contact Information'!$N$2:$N$200,V198)="","",INDEX('Input Contact Information'!$N$2:$N$200,V198))))&lt;&gt;"",IF(V198="","",IF(INDEX('Input Contact Information'!$N$2:$N$200,V198)="","",INDEX('Input Contact Information'!$N$2:$N$200,V198))),IF(V198="","",IF(INDEX('Input Contact Information'!$M$2:$M$200,V198)="","",INDEX('Input Contact Information'!$M$2:$M$200,V198)))))</f>
        <v/>
      </c>
      <c r="Q198" s="1" t="str">
        <f t="shared" si="13"/>
        <v/>
      </c>
      <c r="R198" s="1" t="str">
        <f>IF($B198="","",IF(X198="","",IF(INDEX('Engagements Overview'!$I$2:$I$200,X198)="","",INDEX('Engagements Overview'!$I$2:$I$200,X198))))</f>
        <v/>
      </c>
      <c r="S198" s="14" t="str">
        <f>IF($B198="","",IF(X198="","",IF(INDEX('Engagements Overview'!$K$2:$K$200,X198)="","",INDEX('Engagements Overview'!$K$2:$K$200,X198))))</f>
        <v/>
      </c>
      <c r="T198" s="1" t="str">
        <f>IF($B198="","",IF(V198="","",IF(INDEX('Input Contact Information'!$O$2:$O$200,V198)="","",INDEX('Input Contact Information'!$O$2:$O$200,V198))))</f>
        <v/>
      </c>
      <c r="U198" s="1" t="str">
        <f>IF($B198="","",IF(V198="","",IF(INDEX('Input Contact Information'!$P$2:$P$200,V198)="","",INDEX('Input Contact Information'!$P$2:$P$200,V198))))</f>
        <v/>
      </c>
      <c r="V198" s="1" t="str">
        <f>IF(B198="","",IFERROR(MATCH(B198&amp;"|"&amp;C198,'Input Contact Information'!$W$2:$W$200,0),""))</f>
        <v/>
      </c>
      <c r="W198" s="1" t="str">
        <f>IF(C198="","",IFERROR(MATCH(C198,'Accounts Overview'!$B$2:$B$100,0),""))</f>
        <v/>
      </c>
      <c r="X198" s="1" t="str">
        <f>IF(A198="","",IFERROR(MATCH(A198,'Engagements Overview'!$B$2:$B$200,0),""))</f>
        <v/>
      </c>
    </row>
    <row r="199" spans="1:24" ht="15" customHeight="1" x14ac:dyDescent="0.35">
      <c r="A199" s="13" t="str">
        <f t="shared" si="12"/>
        <v/>
      </c>
      <c r="B199" s="1" t="str">
        <f>IFERROR(INDEX('Input Contact Information'!$C$2:$C$200,MATCH(ROW()-1,'Input Contact Information'!$V$2:$V$200,0)),"")</f>
        <v/>
      </c>
      <c r="C199" s="1" t="str">
        <f>IFERROR(INDEX('Input Contact Information'!$B$2:$B$200,MATCH(ROW()-1,'Input Contact Information'!$V$2:$V$200,0)),"")</f>
        <v/>
      </c>
      <c r="D199" s="1" t="str">
        <f>IF($B199="","",IF(W199="","",INDEX('Accounts Overview'!$A$2:$A$100,W199)))</f>
        <v/>
      </c>
      <c r="E199" s="1" t="str">
        <f>IF($B199="","",IF(V199="","",IF(INDEX('Input Contact Information'!$D$2:$D$200,V199)="","",INDEX('Input Contact Information'!$D$2:$D$200,V199))))</f>
        <v/>
      </c>
      <c r="F199" s="1" t="str">
        <f>IF($B199="","",IF(V199="","",IF(INDEX('Input Contact Information'!$F$2:$F$200,V199)="","",INDEX('Input Contact Information'!$F$2:$F$200,V199))))</f>
        <v/>
      </c>
      <c r="G199" s="1" t="str">
        <f>IF($B199="","",IF(V199="","",IF(INDEX('Input Contact Information'!$E$2:$E$200,V199)="","",INDEX('Input Contact Information'!$E$2:$E$200,V199))))</f>
        <v/>
      </c>
      <c r="H199" s="1" t="str">
        <f>IF($B199="","",IF(V199="","",IF(INDEX('Input Contact Information'!$G$2:$G$200,V199)="","",INDEX('Input Contact Information'!$G$2:$G$200,V199))))</f>
        <v/>
      </c>
      <c r="I199" s="1" t="str">
        <f>IF($B199="","",IF(V199="","",IF(INDEX('Input Contact Information'!$H$2:$H$200,V199)="","",INDEX('Input Contact Information'!$H$2:$H$200,V199))))</f>
        <v/>
      </c>
      <c r="J199" s="1" t="str">
        <f>IF($B199="","",IF(V199="","",IF(INDEX('Input Contact Information'!$I$2:$I$200,V199)="","",INDEX('Input Contact Information'!$I$2:$I$200,V199))))</f>
        <v/>
      </c>
      <c r="K199" s="1" t="str">
        <f>IF($B199="","",IF(V199="","",IF(INDEX('Input Contact Information'!$A$2:$A$200,V199)="","",INDEX('Input Contact Information'!$A$2:$A$200,V199))))</f>
        <v/>
      </c>
      <c r="L199" s="1" t="str">
        <f>IF($B199="","",IF(W199="","",IF(INDEX('Accounts Overview'!$I$2:$I$100,W199)="","",INDEX('Accounts Overview'!$I$2:$I$100,W199))))</f>
        <v/>
      </c>
      <c r="M199" s="1" t="str">
        <f>IF($B199="","",IF(V199="","",IF(INDEX('Input Contact Information'!$J$2:$J$200,V199)="","",INDEX('Input Contact Information'!$J$2:$J$200,V199))))</f>
        <v/>
      </c>
      <c r="N199" s="1" t="str">
        <f>IF($B199="","",IF(V199="","",IF(INDEX('Input Contact Information'!$K$2:$K$200,V199)="","",INDEX('Input Contact Information'!$K$2:$K$200,V199))))</f>
        <v/>
      </c>
      <c r="O199" s="1" t="str">
        <f>IF($B199="","",IF(V199="","",IF(INDEX('Input Contact Information'!$L$2:$L$200,V199)="","",INDEX('Input Contact Information'!$L$2:$L$200,V199))))</f>
        <v/>
      </c>
      <c r="P199" s="1" t="str">
        <f>IF($B199="","",IF((IF(V199="","",IF(INDEX('Input Contact Information'!$N$2:$N$200,V199)="","",INDEX('Input Contact Information'!$N$2:$N$200,V199))))&lt;&gt;"",IF(V199="","",IF(INDEX('Input Contact Information'!$N$2:$N$200,V199)="","",INDEX('Input Contact Information'!$N$2:$N$200,V199))),IF(V199="","",IF(INDEX('Input Contact Information'!$M$2:$M$200,V199)="","",INDEX('Input Contact Information'!$M$2:$M$200,V199)))))</f>
        <v/>
      </c>
      <c r="Q199" s="1" t="str">
        <f t="shared" si="13"/>
        <v/>
      </c>
      <c r="R199" s="1" t="str">
        <f>IF($B199="","",IF(X199="","",IF(INDEX('Engagements Overview'!$I$2:$I$200,X199)="","",INDEX('Engagements Overview'!$I$2:$I$200,X199))))</f>
        <v/>
      </c>
      <c r="S199" s="14" t="str">
        <f>IF($B199="","",IF(X199="","",IF(INDEX('Engagements Overview'!$K$2:$K$200,X199)="","",INDEX('Engagements Overview'!$K$2:$K$200,X199))))</f>
        <v/>
      </c>
      <c r="T199" s="1" t="str">
        <f>IF($B199="","",IF(V199="","",IF(INDEX('Input Contact Information'!$O$2:$O$200,V199)="","",INDEX('Input Contact Information'!$O$2:$O$200,V199))))</f>
        <v/>
      </c>
      <c r="U199" s="1" t="str">
        <f>IF($B199="","",IF(V199="","",IF(INDEX('Input Contact Information'!$P$2:$P$200,V199)="","",INDEX('Input Contact Information'!$P$2:$P$200,V199))))</f>
        <v/>
      </c>
      <c r="V199" s="1" t="str">
        <f>IF(B199="","",IFERROR(MATCH(B199&amp;"|"&amp;C199,'Input Contact Information'!$W$2:$W$200,0),""))</f>
        <v/>
      </c>
      <c r="W199" s="1" t="str">
        <f>IF(C199="","",IFERROR(MATCH(C199,'Accounts Overview'!$B$2:$B$100,0),""))</f>
        <v/>
      </c>
      <c r="X199" s="1" t="str">
        <f>IF(A199="","",IFERROR(MATCH(A199,'Engagements Overview'!$B$2:$B$200,0),""))</f>
        <v/>
      </c>
    </row>
    <row r="200" spans="1:24" ht="15" customHeight="1" x14ac:dyDescent="0.35">
      <c r="A200" s="13" t="str">
        <f t="shared" si="12"/>
        <v/>
      </c>
      <c r="B200" s="1" t="str">
        <f>IFERROR(INDEX('Input Contact Information'!$C$2:$C$200,MATCH(ROW()-1,'Input Contact Information'!$V$2:$V$200,0)),"")</f>
        <v/>
      </c>
      <c r="C200" s="1" t="str">
        <f>IFERROR(INDEX('Input Contact Information'!$B$2:$B$200,MATCH(ROW()-1,'Input Contact Information'!$V$2:$V$200,0)),"")</f>
        <v/>
      </c>
      <c r="D200" s="1" t="str">
        <f>IF($B200="","",IF(W200="","",INDEX('Accounts Overview'!$A$2:$A$100,W200)))</f>
        <v/>
      </c>
      <c r="E200" s="1" t="str">
        <f>IF($B200="","",IF(V200="","",IF(INDEX('Input Contact Information'!$D$2:$D$200,V200)="","",INDEX('Input Contact Information'!$D$2:$D$200,V200))))</f>
        <v/>
      </c>
      <c r="F200" s="1" t="str">
        <f>IF($B200="","",IF(V200="","",IF(INDEX('Input Contact Information'!$F$2:$F$200,V200)="","",INDEX('Input Contact Information'!$F$2:$F$200,V200))))</f>
        <v/>
      </c>
      <c r="G200" s="1" t="str">
        <f>IF($B200="","",IF(V200="","",IF(INDEX('Input Contact Information'!$E$2:$E$200,V200)="","",INDEX('Input Contact Information'!$E$2:$E$200,V200))))</f>
        <v/>
      </c>
      <c r="H200" s="1" t="str">
        <f>IF($B200="","",IF(V200="","",IF(INDEX('Input Contact Information'!$G$2:$G$200,V200)="","",INDEX('Input Contact Information'!$G$2:$G$200,V200))))</f>
        <v/>
      </c>
      <c r="I200" s="1" t="str">
        <f>IF($B200="","",IF(V200="","",IF(INDEX('Input Contact Information'!$H$2:$H$200,V200)="","",INDEX('Input Contact Information'!$H$2:$H$200,V200))))</f>
        <v/>
      </c>
      <c r="J200" s="1" t="str">
        <f>IF($B200="","",IF(V200="","",IF(INDEX('Input Contact Information'!$I$2:$I$200,V200)="","",INDEX('Input Contact Information'!$I$2:$I$200,V200))))</f>
        <v/>
      </c>
      <c r="K200" s="1" t="str">
        <f>IF($B200="","",IF(V200="","",IF(INDEX('Input Contact Information'!$A$2:$A$200,V200)="","",INDEX('Input Contact Information'!$A$2:$A$200,V200))))</f>
        <v/>
      </c>
      <c r="L200" s="1" t="str">
        <f>IF($B200="","",IF(W200="","",IF(INDEX('Accounts Overview'!$I$2:$I$100,W200)="","",INDEX('Accounts Overview'!$I$2:$I$100,W200))))</f>
        <v/>
      </c>
      <c r="M200" s="1" t="str">
        <f>IF($B200="","",IF(V200="","",IF(INDEX('Input Contact Information'!$J$2:$J$200,V200)="","",INDEX('Input Contact Information'!$J$2:$J$200,V200))))</f>
        <v/>
      </c>
      <c r="N200" s="1" t="str">
        <f>IF($B200="","",IF(V200="","",IF(INDEX('Input Contact Information'!$K$2:$K$200,V200)="","",INDEX('Input Contact Information'!$K$2:$K$200,V200))))</f>
        <v/>
      </c>
      <c r="O200" s="1" t="str">
        <f>IF($B200="","",IF(V200="","",IF(INDEX('Input Contact Information'!$L$2:$L$200,V200)="","",INDEX('Input Contact Information'!$L$2:$L$200,V200))))</f>
        <v/>
      </c>
      <c r="P200" s="1" t="str">
        <f>IF($B200="","",IF((IF(V200="","",IF(INDEX('Input Contact Information'!$N$2:$N$200,V200)="","",INDEX('Input Contact Information'!$N$2:$N$200,V200))))&lt;&gt;"",IF(V200="","",IF(INDEX('Input Contact Information'!$N$2:$N$200,V200)="","",INDEX('Input Contact Information'!$N$2:$N$200,V200))),IF(V200="","",IF(INDEX('Input Contact Information'!$M$2:$M$200,V200)="","",INDEX('Input Contact Information'!$M$2:$M$200,V200)))))</f>
        <v/>
      </c>
      <c r="Q200" s="1" t="str">
        <f t="shared" si="13"/>
        <v/>
      </c>
      <c r="R200" s="1" t="str">
        <f>IF($B200="","",IF(X200="","",IF(INDEX('Engagements Overview'!$I$2:$I$200,X200)="","",INDEX('Engagements Overview'!$I$2:$I$200,X200))))</f>
        <v/>
      </c>
      <c r="S200" s="14" t="str">
        <f>IF($B200="","",IF(X200="","",IF(INDEX('Engagements Overview'!$K$2:$K$200,X200)="","",INDEX('Engagements Overview'!$K$2:$K$200,X200))))</f>
        <v/>
      </c>
      <c r="T200" s="1" t="str">
        <f>IF($B200="","",IF(V200="","",IF(INDEX('Input Contact Information'!$O$2:$O$200,V200)="","",INDEX('Input Contact Information'!$O$2:$O$200,V200))))</f>
        <v/>
      </c>
      <c r="U200" s="1" t="str">
        <f>IF($B200="","",IF(V200="","",IF(INDEX('Input Contact Information'!$P$2:$P$200,V200)="","",INDEX('Input Contact Information'!$P$2:$P$200,V200))))</f>
        <v/>
      </c>
      <c r="V200" s="1" t="str">
        <f>IF(B200="","",IFERROR(MATCH(B200&amp;"|"&amp;C200,'Input Contact Information'!$W$2:$W$200,0),""))</f>
        <v/>
      </c>
      <c r="W200" s="1" t="str">
        <f>IF(C200="","",IFERROR(MATCH(C200,'Accounts Overview'!$B$2:$B$100,0),""))</f>
        <v/>
      </c>
      <c r="X200" s="1" t="str">
        <f>IF(A200="","",IFERROR(MATCH(A200,'Engagements Overview'!$B$2:$B$200,0),""))</f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00"/>
  <sheetViews>
    <sheetView zoomScaleNormal="100" workbookViewId="0">
      <pane ySplit="1" topLeftCell="A2" activePane="bottomLeft" state="frozen"/>
      <selection activeCell="C1" sqref="C1"/>
      <selection pane="bottomLeft" activeCell="O3" sqref="O3"/>
    </sheetView>
  </sheetViews>
  <sheetFormatPr defaultColWidth="8.58203125" defaultRowHeight="15.5" x14ac:dyDescent="0.35"/>
  <cols>
    <col min="1" max="1" width="14" style="1" customWidth="1"/>
    <col min="2" max="2" width="12" style="1" customWidth="1"/>
    <col min="3" max="3" width="19.08203125" style="1" customWidth="1"/>
    <col min="4" max="4" width="13.5" style="1" customWidth="1"/>
    <col min="5" max="5" width="12" style="1" customWidth="1"/>
    <col min="7" max="7" width="19.4140625" style="1" customWidth="1"/>
    <col min="8" max="8" width="25.75" customWidth="1"/>
    <col min="10" max="10" width="18.4140625" customWidth="1"/>
    <col min="13" max="13" width="20.08203125" customWidth="1"/>
    <col min="14" max="14" width="22.25" customWidth="1"/>
    <col min="15" max="15" width="24.25" customWidth="1"/>
    <col min="16" max="16" width="13" style="1" hidden="1" customWidth="1"/>
    <col min="17" max="18" width="13" style="2" hidden="1" customWidth="1"/>
  </cols>
  <sheetData>
    <row r="1" spans="1:18" ht="15" customHeight="1" x14ac:dyDescent="0.35">
      <c r="A1" s="11" t="s">
        <v>253</v>
      </c>
      <c r="B1" s="11" t="s">
        <v>242</v>
      </c>
      <c r="C1" s="11" t="s">
        <v>243</v>
      </c>
      <c r="D1" s="11" t="s">
        <v>244</v>
      </c>
      <c r="E1" s="11" t="s">
        <v>171</v>
      </c>
      <c r="F1" s="11" t="s">
        <v>20</v>
      </c>
      <c r="G1" s="11" t="s">
        <v>254</v>
      </c>
      <c r="H1" s="11" t="s">
        <v>179</v>
      </c>
      <c r="I1" s="11" t="s">
        <v>250</v>
      </c>
      <c r="J1" s="11" t="s">
        <v>255</v>
      </c>
      <c r="K1" s="11" t="s">
        <v>251</v>
      </c>
      <c r="L1" s="11" t="s">
        <v>256</v>
      </c>
      <c r="M1" s="11" t="s">
        <v>257</v>
      </c>
      <c r="N1" s="11" t="s">
        <v>258</v>
      </c>
      <c r="O1" s="11" t="s">
        <v>259</v>
      </c>
      <c r="P1" s="11" t="s">
        <v>260</v>
      </c>
      <c r="Q1" s="11" t="s">
        <v>261</v>
      </c>
      <c r="R1" s="11" t="s">
        <v>262</v>
      </c>
    </row>
    <row r="2" spans="1:18" ht="15" customHeight="1" x14ac:dyDescent="0.35">
      <c r="A2" s="13" t="str">
        <f t="shared" ref="A2:A33" si="0">IF(C2="","","ENG"&amp;TEXT(ROW()-1,"0000"))</f>
        <v>ENG0001</v>
      </c>
      <c r="B2" s="13" t="str">
        <f t="shared" ref="B2:B33" si="1">IF(C2="","","CON"&amp;TEXT(ROW()-1,"0000"))</f>
        <v>CON0001</v>
      </c>
      <c r="C2" s="1" t="str">
        <f>IFERROR(INDEX('Input Contact Information'!$C$2:$C$200,MATCH(ROW()-1,'Input Contact Information'!$V$2:$V$200,0)),"")</f>
        <v>Amal Al Noor</v>
      </c>
      <c r="D2" s="1" t="str">
        <f>IFERROR(INDEX('Input Contact Information'!$B$2:$B$200,MATCH(ROW()-1,'Input Contact Information'!$V$2:$V$200,0)),"")</f>
        <v>QatarEnergy</v>
      </c>
      <c r="E2" s="1" t="str">
        <f>IF($C2="","",IF(R2="","",IF(INDEX('Accounts Overview'!$A$2:$A$100,R2)="","",INDEX('Accounts Overview'!$A$2:$A$100,R2))))</f>
        <v>ACC0001</v>
      </c>
      <c r="F2" s="1" t="str">
        <f>IF($C2="","",IF(P2="","",IF(INDEX('Input Contact Information'!$D$2:$D$200,P2)="","",INDEX('Input Contact Information'!$D$2:$D$200,P2))))</f>
        <v>Chief Executive Officer</v>
      </c>
      <c r="G2" s="1" t="str">
        <f>IF($C2="","",IF(P2="","",IF(INDEX('Input Contact Information'!$A$2:$A$200,P2)="","",INDEX('Input Contact Information'!$A$2:$A$200,P2))))</f>
        <v>Wael Hatoum</v>
      </c>
      <c r="H2" s="1" t="str">
        <f>IF($C2="","",IF(R2="","",IF(INDEX('Accounts Overview'!$I$2:$I$100,R2)="","",INDEX('Accounts Overview'!$I$2:$I$100,R2))))</f>
        <v>Alberto Michelotti</v>
      </c>
      <c r="I2" s="1" t="str">
        <f t="shared" ref="I2:I33" ca="1" si="2">IF($C2="","",IF(J2="","No Task",IF((TODAY()-J2)&gt;=M2,"Overdue",IF((TODAY()-J2)&gt;=L2,"For Review","On Track"))))</f>
        <v>Overdue</v>
      </c>
      <c r="J2" s="12">
        <f>IF($C2="","",IF(P2="","",IF(INDEX('Input Contact Information'!$Q$2:$Q$200,P2)="","",INDEX('Input Contact Information'!$Q$2:$Q$200,P2))))</f>
        <v>46219</v>
      </c>
      <c r="K2" s="14">
        <f t="shared" ref="K2:K33" ca="1" si="3">IF($C2="","",IF(J2="","",TODAY()-J2))</f>
        <v>77</v>
      </c>
      <c r="L2" s="1">
        <f t="shared" ref="L2:L33" si="4">IF($C2="","",IF(Q2="","",IF(Q2="Tier 1",31,IF(Q2="Tier 2",91,181))))</f>
        <v>31</v>
      </c>
      <c r="M2" s="1">
        <f t="shared" ref="M2:M33" si="5">IF($C2="","",IF(Q2="","",IF(Q2="Tier 1",61,IF(Q2="Tier 2",181,366))))</f>
        <v>61</v>
      </c>
      <c r="N2" s="12">
        <f t="shared" ref="N2:N33" ca="1" si="6">TODAY()</f>
        <v>46296</v>
      </c>
      <c r="O2" s="1" t="str">
        <f>IF($C2="","",IF(P2="","",IF(INDEX('Input Contact Information'!$R$2:$R$200,P2)="","",INDEX('Input Contact Information'!$R$2:$R$200,P2))))</f>
        <v/>
      </c>
      <c r="P2" s="1">
        <f>IF(C2="","",IFERROR(MATCH(C2&amp;"|"&amp;D2,'Input Contact Information'!$W$2:$W$200,0),""))</f>
        <v>1</v>
      </c>
      <c r="Q2" s="1" t="str">
        <f>IF($C2="","",IF((IF(P2="","",IF(INDEX('Input Contact Information'!$N$2:$N$200,P2)="","",INDEX('Input Contact Information'!$N$2:$N$200,P2))))&lt;&gt;"",IF(P2="","",IF(INDEX('Input Contact Information'!$N$2:$N$200,P2)="","",INDEX('Input Contact Information'!$N$2:$N$200,P2))),IF(P2="","",IF(INDEX('Input Contact Information'!$M$2:$M$200,P2)="","",INDEX('Input Contact Information'!$M$2:$M$200,P2)))))</f>
        <v>Tier 1</v>
      </c>
      <c r="R2" s="1">
        <f>IF(D2="","",IFERROR(MATCH(D2,'Accounts Overview'!$B$2:$B$100,0),""))</f>
        <v>1</v>
      </c>
    </row>
    <row r="3" spans="1:18" ht="15" customHeight="1" x14ac:dyDescent="0.35">
      <c r="A3" s="13" t="str">
        <f t="shared" si="0"/>
        <v>ENG0002</v>
      </c>
      <c r="B3" s="13" t="str">
        <f t="shared" si="1"/>
        <v>CON0002</v>
      </c>
      <c r="C3" s="1" t="str">
        <f>IFERROR(INDEX('Input Contact Information'!$C$2:$C$200,MATCH(ROW()-1,'Input Contact Information'!$V$2:$V$200,0)),"")</f>
        <v>Khalid Al Thani</v>
      </c>
      <c r="D3" s="1" t="str">
        <f>IFERROR(INDEX('Input Contact Information'!$B$2:$B$200,MATCH(ROW()-1,'Input Contact Information'!$V$2:$V$200,0)),"")</f>
        <v>QatarEnergy</v>
      </c>
      <c r="E3" s="1" t="str">
        <f>IF($C3="","",IF(R3="","",IF(INDEX('Accounts Overview'!$A$2:$A$100,R3)="","",INDEX('Accounts Overview'!$A$2:$A$100,R3))))</f>
        <v>ACC0001</v>
      </c>
      <c r="F3" s="1" t="str">
        <f>IF($C3="","",IF(P3="","",IF(INDEX('Input Contact Information'!$D$2:$D$200,P3)="","",INDEX('Input Contact Information'!$D$2:$D$200,P3))))</f>
        <v>Chief Strategy Officer</v>
      </c>
      <c r="G3" s="1" t="str">
        <f>IF($C3="","",IF(P3="","",IF(INDEX('Input Contact Information'!$A$2:$A$200,P3)="","",INDEX('Input Contact Information'!$A$2:$A$200,P3))))</f>
        <v>Wael Hatoum</v>
      </c>
      <c r="H3" s="1" t="str">
        <f>IF($C3="","",IF(R3="","",IF(INDEX('Accounts Overview'!$I$2:$I$100,R3)="","",INDEX('Accounts Overview'!$I$2:$I$100,R3))))</f>
        <v>Alberto Michelotti</v>
      </c>
      <c r="I3" s="1" t="str">
        <f t="shared" ca="1" si="2"/>
        <v>Overdue</v>
      </c>
      <c r="J3" s="12">
        <f>IF($C3="","",IF(P3="","",IF(INDEX('Input Contact Information'!$Q$2:$Q$200,P3)="","",INDEX('Input Contact Information'!$Q$2:$Q$200,P3))))</f>
        <v>46184</v>
      </c>
      <c r="K3" s="14">
        <f t="shared" ca="1" si="3"/>
        <v>112</v>
      </c>
      <c r="L3" s="1">
        <f t="shared" si="4"/>
        <v>31</v>
      </c>
      <c r="M3" s="1">
        <f t="shared" si="5"/>
        <v>61</v>
      </c>
      <c r="N3" s="12">
        <f t="shared" ca="1" si="6"/>
        <v>46296</v>
      </c>
      <c r="O3" s="1" t="str">
        <f>IF($C3="","",IF(P3="","",IF(INDEX('Input Contact Information'!$R$2:$R$200,P3)="","",INDEX('Input Contact Information'!$R$2:$R$200,P3))))</f>
        <v/>
      </c>
      <c r="P3" s="1">
        <f>IF(C3="","",IFERROR(MATCH(C3&amp;"|"&amp;D3,'Input Contact Information'!$W$2:$W$200,0),""))</f>
        <v>2</v>
      </c>
      <c r="Q3" s="1" t="str">
        <f>IF($C3="","",IF((IF(P3="","",IF(INDEX('Input Contact Information'!$N$2:$N$200,P3)="","",INDEX('Input Contact Information'!$N$2:$N$200,P3))))&lt;&gt;"",IF(P3="","",IF(INDEX('Input Contact Information'!$N$2:$N$200,P3)="","",INDEX('Input Contact Information'!$N$2:$N$200,P3))),IF(P3="","",IF(INDEX('Input Contact Information'!$M$2:$M$200,P3)="","",INDEX('Input Contact Information'!$M$2:$M$200,P3)))))</f>
        <v>Tier 1</v>
      </c>
      <c r="R3" s="1">
        <f>IF(D3="","",IFERROR(MATCH(D3,'Accounts Overview'!$B$2:$B$100,0),""))</f>
        <v>1</v>
      </c>
    </row>
    <row r="4" spans="1:18" ht="15" customHeight="1" x14ac:dyDescent="0.35">
      <c r="A4" s="13" t="str">
        <f t="shared" si="0"/>
        <v>ENG0003</v>
      </c>
      <c r="B4" s="13" t="str">
        <f t="shared" si="1"/>
        <v>CON0003</v>
      </c>
      <c r="C4" s="1" t="str">
        <f>IFERROR(INDEX('Input Contact Information'!$C$2:$C$200,MATCH(ROW()-1,'Input Contact Information'!$V$2:$V$200,0)),"")</f>
        <v>Mariam Al Suwaidi</v>
      </c>
      <c r="D4" s="1" t="str">
        <f>IFERROR(INDEX('Input Contact Information'!$B$2:$B$200,MATCH(ROW()-1,'Input Contact Information'!$V$2:$V$200,0)),"")</f>
        <v>QatarEnergy</v>
      </c>
      <c r="E4" s="1" t="str">
        <f>IF($C4="","",IF(R4="","",IF(INDEX('Accounts Overview'!$A$2:$A$100,R4)="","",INDEX('Accounts Overview'!$A$2:$A$100,R4))))</f>
        <v>ACC0001</v>
      </c>
      <c r="F4" s="1" t="str">
        <f>IF($C4="","",IF(P4="","",IF(INDEX('Input Contact Information'!$D$2:$D$200,P4)="","",INDEX('Input Contact Information'!$D$2:$D$200,P4))))</f>
        <v>Vice President, Strategy</v>
      </c>
      <c r="G4" s="1" t="str">
        <f>IF($C4="","",IF(P4="","",IF(INDEX('Input Contact Information'!$A$2:$A$200,P4)="","",INDEX('Input Contact Information'!$A$2:$A$200,P4))))</f>
        <v>Wael Hatoum</v>
      </c>
      <c r="H4" s="1" t="str">
        <f>IF($C4="","",IF(R4="","",IF(INDEX('Accounts Overview'!$I$2:$I$100,R4)="","",INDEX('Accounts Overview'!$I$2:$I$100,R4))))</f>
        <v>Alberto Michelotti</v>
      </c>
      <c r="I4" s="1" t="str">
        <f t="shared" ca="1" si="2"/>
        <v>Overdue</v>
      </c>
      <c r="J4" s="12">
        <f>IF($C4="","",IF(P4="","",IF(INDEX('Input Contact Information'!$Q$2:$Q$200,P4)="","",INDEX('Input Contact Information'!$Q$2:$Q$200,P4))))</f>
        <v>46154</v>
      </c>
      <c r="K4" s="14">
        <f t="shared" ca="1" si="3"/>
        <v>142</v>
      </c>
      <c r="L4" s="1">
        <f t="shared" si="4"/>
        <v>31</v>
      </c>
      <c r="M4" s="1">
        <f t="shared" si="5"/>
        <v>61</v>
      </c>
      <c r="N4" s="12">
        <f t="shared" ca="1" si="6"/>
        <v>46296</v>
      </c>
      <c r="O4" s="1" t="str">
        <f>IF($C4="","",IF(P4="","",IF(INDEX('Input Contact Information'!$R$2:$R$200,P4)="","",INDEX('Input Contact Information'!$R$2:$R$200,P4))))</f>
        <v/>
      </c>
      <c r="P4" s="1">
        <f>IF(C4="","",IFERROR(MATCH(C4&amp;"|"&amp;D4,'Input Contact Information'!$W$2:$W$200,0),""))</f>
        <v>3</v>
      </c>
      <c r="Q4" s="1" t="str">
        <f>IF($C4="","",IF((IF(P4="","",IF(INDEX('Input Contact Information'!$N$2:$N$200,P4)="","",INDEX('Input Contact Information'!$N$2:$N$200,P4))))&lt;&gt;"",IF(P4="","",IF(INDEX('Input Contact Information'!$N$2:$N$200,P4)="","",INDEX('Input Contact Information'!$N$2:$N$200,P4))),IF(P4="","",IF(INDEX('Input Contact Information'!$M$2:$M$200,P4)="","",INDEX('Input Contact Information'!$M$2:$M$200,P4)))))</f>
        <v>Tier 1</v>
      </c>
      <c r="R4" s="1">
        <f>IF(D4="","",IFERROR(MATCH(D4,'Accounts Overview'!$B$2:$B$100,0),""))</f>
        <v>1</v>
      </c>
    </row>
    <row r="5" spans="1:18" ht="15" customHeight="1" x14ac:dyDescent="0.35">
      <c r="A5" s="13" t="str">
        <f t="shared" si="0"/>
        <v>ENG0004</v>
      </c>
      <c r="B5" s="13" t="str">
        <f t="shared" si="1"/>
        <v>CON0004</v>
      </c>
      <c r="C5" s="1" t="str">
        <f>IFERROR(INDEX('Input Contact Information'!$C$2:$C$200,MATCH(ROW()-1,'Input Contact Information'!$V$2:$V$200,0)),"")</f>
        <v>Fahad Al Kuwari</v>
      </c>
      <c r="D5" s="1" t="str">
        <f>IFERROR(INDEX('Input Contact Information'!$B$2:$B$200,MATCH(ROW()-1,'Input Contact Information'!$V$2:$V$200,0)),"")</f>
        <v>Qatar Airways Group</v>
      </c>
      <c r="E5" s="1" t="str">
        <f>IF($C5="","",IF(R5="","",IF(INDEX('Accounts Overview'!$A$2:$A$100,R5)="","",INDEX('Accounts Overview'!$A$2:$A$100,R5))))</f>
        <v>ACC0002</v>
      </c>
      <c r="F5" s="1" t="str">
        <f>IF($C5="","",IF(P5="","",IF(INDEX('Input Contact Information'!$D$2:$D$200,P5)="","",INDEX('Input Contact Information'!$D$2:$D$200,P5))))</f>
        <v>Chief Executive Officer</v>
      </c>
      <c r="G5" s="1" t="str">
        <f>IF($C5="","",IF(P5="","",IF(INDEX('Input Contact Information'!$A$2:$A$200,P5)="","",INDEX('Input Contact Information'!$A$2:$A$200,P5))))</f>
        <v>Alberto Michelotti</v>
      </c>
      <c r="H5" s="1" t="str">
        <f>IF($C5="","",IF(R5="","",IF(INDEX('Accounts Overview'!$I$2:$I$100,R5)="","",INDEX('Accounts Overview'!$I$2:$I$100,R5))))</f>
        <v>Eric Guraieb</v>
      </c>
      <c r="I5" s="1" t="str">
        <f t="shared" ca="1" si="2"/>
        <v>Overdue</v>
      </c>
      <c r="J5" s="12">
        <f>IF($C5="","",IF(P5="","",IF(INDEX('Input Contact Information'!$Q$2:$Q$200,P5)="","",INDEX('Input Contact Information'!$Q$2:$Q$200,P5))))</f>
        <v>46219</v>
      </c>
      <c r="K5" s="14">
        <f t="shared" ca="1" si="3"/>
        <v>77</v>
      </c>
      <c r="L5" s="1">
        <f t="shared" si="4"/>
        <v>31</v>
      </c>
      <c r="M5" s="1">
        <f t="shared" si="5"/>
        <v>61</v>
      </c>
      <c r="N5" s="12">
        <f t="shared" ca="1" si="6"/>
        <v>46296</v>
      </c>
      <c r="O5" s="1" t="str">
        <f>IF($C5="","",IF(P5="","",IF(INDEX('Input Contact Information'!$R$2:$R$200,P5)="","",INDEX('Input Contact Information'!$R$2:$R$200,P5))))</f>
        <v/>
      </c>
      <c r="P5" s="1">
        <f>IF(C5="","",IFERROR(MATCH(C5&amp;"|"&amp;D5,'Input Contact Information'!$W$2:$W$200,0),""))</f>
        <v>4</v>
      </c>
      <c r="Q5" s="1" t="str">
        <f>IF($C5="","",IF((IF(P5="","",IF(INDEX('Input Contact Information'!$N$2:$N$200,P5)="","",INDEX('Input Contact Information'!$N$2:$N$200,P5))))&lt;&gt;"",IF(P5="","",IF(INDEX('Input Contact Information'!$N$2:$N$200,P5)="","",INDEX('Input Contact Information'!$N$2:$N$200,P5))),IF(P5="","",IF(INDEX('Input Contact Information'!$M$2:$M$200,P5)="","",INDEX('Input Contact Information'!$M$2:$M$200,P5)))))</f>
        <v>Tier 1</v>
      </c>
      <c r="R5" s="1">
        <f>IF(D5="","",IFERROR(MATCH(D5,'Accounts Overview'!$B$2:$B$100,0),""))</f>
        <v>2</v>
      </c>
    </row>
    <row r="6" spans="1:18" ht="15" customHeight="1" x14ac:dyDescent="0.35">
      <c r="A6" s="13" t="str">
        <f t="shared" si="0"/>
        <v>ENG0005</v>
      </c>
      <c r="B6" s="13" t="str">
        <f t="shared" si="1"/>
        <v>CON0005</v>
      </c>
      <c r="C6" s="1" t="str">
        <f>IFERROR(INDEX('Input Contact Information'!$C$2:$C$200,MATCH(ROW()-1,'Input Contact Information'!$V$2:$V$200,0)),"")</f>
        <v>Noor Al Marri</v>
      </c>
      <c r="D6" s="1" t="str">
        <f>IFERROR(INDEX('Input Contact Information'!$B$2:$B$200,MATCH(ROW()-1,'Input Contact Information'!$V$2:$V$200,0)),"")</f>
        <v>Qatar Airways Group</v>
      </c>
      <c r="E6" s="1" t="str">
        <f>IF($C6="","",IF(R6="","",IF(INDEX('Accounts Overview'!$A$2:$A$100,R6)="","",INDEX('Accounts Overview'!$A$2:$A$100,R6))))</f>
        <v>ACC0002</v>
      </c>
      <c r="F6" s="1" t="str">
        <f>IF($C6="","",IF(P6="","",IF(INDEX('Input Contact Information'!$D$2:$D$200,P6)="","",INDEX('Input Contact Information'!$D$2:$D$200,P6))))</f>
        <v>Chief Strategy Officer</v>
      </c>
      <c r="G6" s="1" t="str">
        <f>IF($C6="","",IF(P6="","",IF(INDEX('Input Contact Information'!$A$2:$A$200,P6)="","",INDEX('Input Contact Information'!$A$2:$A$200,P6))))</f>
        <v>Alberto Michelotti</v>
      </c>
      <c r="H6" s="1" t="str">
        <f>IF($C6="","",IF(R6="","",IF(INDEX('Accounts Overview'!$I$2:$I$100,R6)="","",INDEX('Accounts Overview'!$I$2:$I$100,R6))))</f>
        <v>Eric Guraieb</v>
      </c>
      <c r="I6" s="1" t="str">
        <f t="shared" ca="1" si="2"/>
        <v>For Review</v>
      </c>
      <c r="J6" s="12">
        <f>IF($C6="","",IF(P6="","",IF(INDEX('Input Contact Information'!$Q$2:$Q$200,P6)="","",INDEX('Input Contact Information'!$Q$2:$Q$200,P6))))</f>
        <v>46184</v>
      </c>
      <c r="K6" s="14">
        <f t="shared" ca="1" si="3"/>
        <v>112</v>
      </c>
      <c r="L6" s="1">
        <f t="shared" si="4"/>
        <v>91</v>
      </c>
      <c r="M6" s="1">
        <f t="shared" si="5"/>
        <v>181</v>
      </c>
      <c r="N6" s="12">
        <f t="shared" ca="1" si="6"/>
        <v>46296</v>
      </c>
      <c r="O6" s="1" t="str">
        <f>IF($C6="","",IF(P6="","",IF(INDEX('Input Contact Information'!$R$2:$R$200,P6)="","",INDEX('Input Contact Information'!$R$2:$R$200,P6))))</f>
        <v/>
      </c>
      <c r="P6" s="1">
        <f>IF(C6="","",IFERROR(MATCH(C6&amp;"|"&amp;D6,'Input Contact Information'!$W$2:$W$200,0),""))</f>
        <v>5</v>
      </c>
      <c r="Q6" s="1" t="str">
        <f>IF($C6="","",IF((IF(P6="","",IF(INDEX('Input Contact Information'!$N$2:$N$200,P6)="","",INDEX('Input Contact Information'!$N$2:$N$200,P6))))&lt;&gt;"",IF(P6="","",IF(INDEX('Input Contact Information'!$N$2:$N$200,P6)="","",INDEX('Input Contact Information'!$N$2:$N$200,P6))),IF(P6="","",IF(INDEX('Input Contact Information'!$M$2:$M$200,P6)="","",INDEX('Input Contact Information'!$M$2:$M$200,P6)))))</f>
        <v>Tier 2</v>
      </c>
      <c r="R6" s="1">
        <f>IF(D6="","",IFERROR(MATCH(D6,'Accounts Overview'!$B$2:$B$100,0),""))</f>
        <v>2</v>
      </c>
    </row>
    <row r="7" spans="1:18" ht="15" customHeight="1" x14ac:dyDescent="0.35">
      <c r="A7" s="13" t="str">
        <f t="shared" si="0"/>
        <v>ENG0006</v>
      </c>
      <c r="B7" s="13" t="str">
        <f t="shared" si="1"/>
        <v>CON0006</v>
      </c>
      <c r="C7" s="1" t="str">
        <f>IFERROR(INDEX('Input Contact Information'!$C$2:$C$200,MATCH(ROW()-1,'Input Contact Information'!$V$2:$V$200,0)),"")</f>
        <v>Hassan Al Kaabi</v>
      </c>
      <c r="D7" s="1" t="str">
        <f>IFERROR(INDEX('Input Contact Information'!$B$2:$B$200,MATCH(ROW()-1,'Input Contact Information'!$V$2:$V$200,0)),"")</f>
        <v>Qatar Airways Group</v>
      </c>
      <c r="E7" s="1" t="str">
        <f>IF($C7="","",IF(R7="","",IF(INDEX('Accounts Overview'!$A$2:$A$100,R7)="","",INDEX('Accounts Overview'!$A$2:$A$100,R7))))</f>
        <v>ACC0002</v>
      </c>
      <c r="F7" s="1" t="str">
        <f>IF($C7="","",IF(P7="","",IF(INDEX('Input Contact Information'!$D$2:$D$200,P7)="","",INDEX('Input Contact Information'!$D$2:$D$200,P7))))</f>
        <v>Vice President, Strategy</v>
      </c>
      <c r="G7" s="1" t="str">
        <f>IF($C7="","",IF(P7="","",IF(INDEX('Input Contact Information'!$A$2:$A$200,P7)="","",INDEX('Input Contact Information'!$A$2:$A$200,P7))))</f>
        <v>Alberto Michelotti</v>
      </c>
      <c r="H7" s="1" t="str">
        <f>IF($C7="","",IF(R7="","",IF(INDEX('Accounts Overview'!$I$2:$I$100,R7)="","",INDEX('Accounts Overview'!$I$2:$I$100,R7))))</f>
        <v>Eric Guraieb</v>
      </c>
      <c r="I7" s="1" t="str">
        <f t="shared" ca="1" si="2"/>
        <v>On Track</v>
      </c>
      <c r="J7" s="12">
        <f>IF($C7="","",IF(P7="","",IF(INDEX('Input Contact Information'!$Q$2:$Q$200,P7)="","",INDEX('Input Contact Information'!$Q$2:$Q$200,P7))))</f>
        <v>46288</v>
      </c>
      <c r="K7" s="14">
        <f t="shared" ca="1" si="3"/>
        <v>8</v>
      </c>
      <c r="L7" s="1">
        <f t="shared" si="4"/>
        <v>31</v>
      </c>
      <c r="M7" s="1">
        <f t="shared" si="5"/>
        <v>61</v>
      </c>
      <c r="N7" s="12">
        <f t="shared" ca="1" si="6"/>
        <v>46296</v>
      </c>
      <c r="O7" s="1" t="str">
        <f>IF($C7="","",IF(P7="","",IF(INDEX('Input Contact Information'!$R$2:$R$200,P7)="","",INDEX('Input Contact Information'!$R$2:$R$200,P7))))</f>
        <v>Had a conversation - no new projects in pipeline</v>
      </c>
      <c r="P7" s="1">
        <f>IF(C7="","",IFERROR(MATCH(C7&amp;"|"&amp;D7,'Input Contact Information'!$W$2:$W$200,0),""))</f>
        <v>6</v>
      </c>
      <c r="Q7" s="1" t="str">
        <f>IF($C7="","",IF((IF(P7="","",IF(INDEX('Input Contact Information'!$N$2:$N$200,P7)="","",INDEX('Input Contact Information'!$N$2:$N$200,P7))))&lt;&gt;"",IF(P7="","",IF(INDEX('Input Contact Information'!$N$2:$N$200,P7)="","",INDEX('Input Contact Information'!$N$2:$N$200,P7))),IF(P7="","",IF(INDEX('Input Contact Information'!$M$2:$M$200,P7)="","",INDEX('Input Contact Information'!$M$2:$M$200,P7)))))</f>
        <v>Tier 1</v>
      </c>
      <c r="R7" s="1">
        <f>IF(D7="","",IFERROR(MATCH(D7,'Accounts Overview'!$B$2:$B$100,0),""))</f>
        <v>2</v>
      </c>
    </row>
    <row r="8" spans="1:18" ht="15" customHeight="1" x14ac:dyDescent="0.35">
      <c r="A8" s="13" t="str">
        <f t="shared" si="0"/>
        <v>ENG0007</v>
      </c>
      <c r="B8" s="13" t="str">
        <f t="shared" si="1"/>
        <v>CON0007</v>
      </c>
      <c r="C8" s="1" t="str">
        <f>IFERROR(INDEX('Input Contact Information'!$C$2:$C$200,MATCH(ROW()-1,'Input Contact Information'!$V$2:$V$200,0)),"")</f>
        <v>Layla Al Nuaimi</v>
      </c>
      <c r="D8" s="1" t="str">
        <f>IFERROR(INDEX('Input Contact Information'!$B$2:$B$200,MATCH(ROW()-1,'Input Contact Information'!$V$2:$V$200,0)),"")</f>
        <v>Qatar National Bank</v>
      </c>
      <c r="E8" s="1" t="str">
        <f>IF($C8="","",IF(R8="","",IF(INDEX('Accounts Overview'!$A$2:$A$100,R8)="","",INDEX('Accounts Overview'!$A$2:$A$100,R8))))</f>
        <v>ACC0003</v>
      </c>
      <c r="F8" s="1" t="str">
        <f>IF($C8="","",IF(P8="","",IF(INDEX('Input Contact Information'!$D$2:$D$200,P8)="","",INDEX('Input Contact Information'!$D$2:$D$200,P8))))</f>
        <v>Chief Executive Officer</v>
      </c>
      <c r="G8" s="1" t="str">
        <f>IF($C8="","",IF(P8="","",IF(INDEX('Input Contact Information'!$A$2:$A$200,P8)="","",INDEX('Input Contact Information'!$A$2:$A$200,P8))))</f>
        <v>Eric Guraieb</v>
      </c>
      <c r="H8" s="1" t="str">
        <f>IF($C8="","",IF(R8="","",IF(INDEX('Accounts Overview'!$I$2:$I$100,R8)="","",INDEX('Accounts Overview'!$I$2:$I$100,R8))))</f>
        <v>Kyle Strong</v>
      </c>
      <c r="I8" s="1" t="str">
        <f t="shared" ca="1" si="2"/>
        <v>Overdue</v>
      </c>
      <c r="J8" s="12">
        <f>IF($C8="","",IF(P8="","",IF(INDEX('Input Contact Information'!$Q$2:$Q$200,P8)="","",INDEX('Input Contact Information'!$Q$2:$Q$200,P8))))</f>
        <v>46219</v>
      </c>
      <c r="K8" s="14">
        <f t="shared" ca="1" si="3"/>
        <v>77</v>
      </c>
      <c r="L8" s="1">
        <f t="shared" si="4"/>
        <v>31</v>
      </c>
      <c r="M8" s="1">
        <f t="shared" si="5"/>
        <v>61</v>
      </c>
      <c r="N8" s="12">
        <f t="shared" ca="1" si="6"/>
        <v>46296</v>
      </c>
      <c r="O8" s="1" t="str">
        <f>IF($C8="","",IF(P8="","",IF(INDEX('Input Contact Information'!$R$2:$R$200,P8)="","",INDEX('Input Contact Information'!$R$2:$R$200,P8))))</f>
        <v/>
      </c>
      <c r="P8" s="1">
        <f>IF(C8="","",IFERROR(MATCH(C8&amp;"|"&amp;D8,'Input Contact Information'!$W$2:$W$200,0),""))</f>
        <v>7</v>
      </c>
      <c r="Q8" s="1" t="str">
        <f>IF($C8="","",IF((IF(P8="","",IF(INDEX('Input Contact Information'!$N$2:$N$200,P8)="","",INDEX('Input Contact Information'!$N$2:$N$200,P8))))&lt;&gt;"",IF(P8="","",IF(INDEX('Input Contact Information'!$N$2:$N$200,P8)="","",INDEX('Input Contact Information'!$N$2:$N$200,P8))),IF(P8="","",IF(INDEX('Input Contact Information'!$M$2:$M$200,P8)="","",INDEX('Input Contact Information'!$M$2:$M$200,P8)))))</f>
        <v>Tier 1</v>
      </c>
      <c r="R8" s="1">
        <f>IF(D8="","",IFERROR(MATCH(D8,'Accounts Overview'!$B$2:$B$100,0),""))</f>
        <v>3</v>
      </c>
    </row>
    <row r="9" spans="1:18" ht="15" customHeight="1" x14ac:dyDescent="0.35">
      <c r="A9" s="13" t="str">
        <f t="shared" si="0"/>
        <v>ENG0008</v>
      </c>
      <c r="B9" s="13" t="str">
        <f t="shared" si="1"/>
        <v>CON0008</v>
      </c>
      <c r="C9" s="1" t="str">
        <f>IFERROR(INDEX('Input Contact Information'!$C$2:$C$200,MATCH(ROW()-1,'Input Contact Information'!$V$2:$V$200,0)),"")</f>
        <v>Omar Al Ansari</v>
      </c>
      <c r="D9" s="1" t="str">
        <f>IFERROR(INDEX('Input Contact Information'!$B$2:$B$200,MATCH(ROW()-1,'Input Contact Information'!$V$2:$V$200,0)),"")</f>
        <v>Qatar National Bank</v>
      </c>
      <c r="E9" s="1" t="str">
        <f>IF($C9="","",IF(R9="","",IF(INDEX('Accounts Overview'!$A$2:$A$100,R9)="","",INDEX('Accounts Overview'!$A$2:$A$100,R9))))</f>
        <v>ACC0003</v>
      </c>
      <c r="F9" s="1" t="str">
        <f>IF($C9="","",IF(P9="","",IF(INDEX('Input Contact Information'!$D$2:$D$200,P9)="","",INDEX('Input Contact Information'!$D$2:$D$200,P9))))</f>
        <v>Chief Strategy Officer</v>
      </c>
      <c r="G9" s="1" t="str">
        <f>IF($C9="","",IF(P9="","",IF(INDEX('Input Contact Information'!$A$2:$A$200,P9)="","",INDEX('Input Contact Information'!$A$2:$A$200,P9))))</f>
        <v>Eric Guraieb</v>
      </c>
      <c r="H9" s="1" t="str">
        <f>IF($C9="","",IF(R9="","",IF(INDEX('Accounts Overview'!$I$2:$I$100,R9)="","",INDEX('Accounts Overview'!$I$2:$I$100,R9))))</f>
        <v>Kyle Strong</v>
      </c>
      <c r="I9" s="1" t="str">
        <f t="shared" ca="1" si="2"/>
        <v>Overdue</v>
      </c>
      <c r="J9" s="12">
        <f>IF($C9="","",IF(P9="","",IF(INDEX('Input Contact Information'!$Q$2:$Q$200,P9)="","",INDEX('Input Contact Information'!$Q$2:$Q$200,P9))))</f>
        <v>46184</v>
      </c>
      <c r="K9" s="14">
        <f t="shared" ca="1" si="3"/>
        <v>112</v>
      </c>
      <c r="L9" s="1">
        <f t="shared" si="4"/>
        <v>31</v>
      </c>
      <c r="M9" s="1">
        <f t="shared" si="5"/>
        <v>61</v>
      </c>
      <c r="N9" s="12">
        <f t="shared" ca="1" si="6"/>
        <v>46296</v>
      </c>
      <c r="O9" s="1" t="str">
        <f>IF($C9="","",IF(P9="","",IF(INDEX('Input Contact Information'!$R$2:$R$200,P9)="","",INDEX('Input Contact Information'!$R$2:$R$200,P9))))</f>
        <v/>
      </c>
      <c r="P9" s="1">
        <f>IF(C9="","",IFERROR(MATCH(C9&amp;"|"&amp;D9,'Input Contact Information'!$W$2:$W$200,0),""))</f>
        <v>8</v>
      </c>
      <c r="Q9" s="1" t="str">
        <f>IF($C9="","",IF((IF(P9="","",IF(INDEX('Input Contact Information'!$N$2:$N$200,P9)="","",INDEX('Input Contact Information'!$N$2:$N$200,P9))))&lt;&gt;"",IF(P9="","",IF(INDEX('Input Contact Information'!$N$2:$N$200,P9)="","",INDEX('Input Contact Information'!$N$2:$N$200,P9))),IF(P9="","",IF(INDEX('Input Contact Information'!$M$2:$M$200,P9)="","",INDEX('Input Contact Information'!$M$2:$M$200,P9)))))</f>
        <v>Tier 1</v>
      </c>
      <c r="R9" s="1">
        <f>IF(D9="","",IFERROR(MATCH(D9,'Accounts Overview'!$B$2:$B$100,0),""))</f>
        <v>3</v>
      </c>
    </row>
    <row r="10" spans="1:18" ht="15" customHeight="1" x14ac:dyDescent="0.35">
      <c r="A10" s="13" t="str">
        <f t="shared" si="0"/>
        <v>ENG0009</v>
      </c>
      <c r="B10" s="13" t="str">
        <f t="shared" si="1"/>
        <v>CON0009</v>
      </c>
      <c r="C10" s="1" t="str">
        <f>IFERROR(INDEX('Input Contact Information'!$C$2:$C$200,MATCH(ROW()-1,'Input Contact Information'!$V$2:$V$200,0)),"")</f>
        <v>Sara Al Farsi</v>
      </c>
      <c r="D10" s="1" t="str">
        <f>IFERROR(INDEX('Input Contact Information'!$B$2:$B$200,MATCH(ROW()-1,'Input Contact Information'!$V$2:$V$200,0)),"")</f>
        <v>Qatar National Bank</v>
      </c>
      <c r="E10" s="1" t="str">
        <f>IF($C10="","",IF(R10="","",IF(INDEX('Accounts Overview'!$A$2:$A$100,R10)="","",INDEX('Accounts Overview'!$A$2:$A$100,R10))))</f>
        <v>ACC0003</v>
      </c>
      <c r="F10" s="1" t="str">
        <f>IF($C10="","",IF(P10="","",IF(INDEX('Input Contact Information'!$D$2:$D$200,P10)="","",INDEX('Input Contact Information'!$D$2:$D$200,P10))))</f>
        <v>Vice President, Strategy</v>
      </c>
      <c r="G10" s="1" t="str">
        <f>IF($C10="","",IF(P10="","",IF(INDEX('Input Contact Information'!$A$2:$A$200,P10)="","",INDEX('Input Contact Information'!$A$2:$A$200,P10))))</f>
        <v>Eric Guraieb</v>
      </c>
      <c r="H10" s="1" t="str">
        <f>IF($C10="","",IF(R10="","",IF(INDEX('Accounts Overview'!$I$2:$I$100,R10)="","",INDEX('Accounts Overview'!$I$2:$I$100,R10))))</f>
        <v>Kyle Strong</v>
      </c>
      <c r="I10" s="1" t="str">
        <f t="shared" ca="1" si="2"/>
        <v>Overdue</v>
      </c>
      <c r="J10" s="12">
        <f>IF($C10="","",IF(P10="","",IF(INDEX('Input Contact Information'!$Q$2:$Q$200,P10)="","",INDEX('Input Contact Information'!$Q$2:$Q$200,P10))))</f>
        <v>46154</v>
      </c>
      <c r="K10" s="14">
        <f t="shared" ca="1" si="3"/>
        <v>142</v>
      </c>
      <c r="L10" s="1">
        <f t="shared" si="4"/>
        <v>31</v>
      </c>
      <c r="M10" s="1">
        <f t="shared" si="5"/>
        <v>61</v>
      </c>
      <c r="N10" s="12">
        <f t="shared" ca="1" si="6"/>
        <v>46296</v>
      </c>
      <c r="O10" s="1" t="str">
        <f>IF($C10="","",IF(P10="","",IF(INDEX('Input Contact Information'!$R$2:$R$200,P10)="","",INDEX('Input Contact Information'!$R$2:$R$200,P10))))</f>
        <v/>
      </c>
      <c r="P10" s="1">
        <f>IF(C10="","",IFERROR(MATCH(C10&amp;"|"&amp;D10,'Input Contact Information'!$W$2:$W$200,0),""))</f>
        <v>9</v>
      </c>
      <c r="Q10" s="1" t="str">
        <f>IF($C10="","",IF((IF(P10="","",IF(INDEX('Input Contact Information'!$N$2:$N$200,P10)="","",INDEX('Input Contact Information'!$N$2:$N$200,P10))))&lt;&gt;"",IF(P10="","",IF(INDEX('Input Contact Information'!$N$2:$N$200,P10)="","",INDEX('Input Contact Information'!$N$2:$N$200,P10))),IF(P10="","",IF(INDEX('Input Contact Information'!$M$2:$M$200,P10)="","",INDEX('Input Contact Information'!$M$2:$M$200,P10)))))</f>
        <v>Tier 1</v>
      </c>
      <c r="R10" s="1">
        <f>IF(D10="","",IFERROR(MATCH(D10,'Accounts Overview'!$B$2:$B$100,0),""))</f>
        <v>3</v>
      </c>
    </row>
    <row r="11" spans="1:18" ht="15" customHeight="1" x14ac:dyDescent="0.35">
      <c r="A11" s="13" t="str">
        <f t="shared" si="0"/>
        <v>ENG0010</v>
      </c>
      <c r="B11" s="13" t="str">
        <f t="shared" si="1"/>
        <v>CON0010</v>
      </c>
      <c r="C11" s="1" t="str">
        <f>IFERROR(INDEX('Input Contact Information'!$C$2:$C$200,MATCH(ROW()-1,'Input Contact Information'!$V$2:$V$200,0)),"")</f>
        <v>Yousef Al Mulla</v>
      </c>
      <c r="D11" s="1" t="str">
        <f>IFERROR(INDEX('Input Contact Information'!$B$2:$B$200,MATCH(ROW()-1,'Input Contact Information'!$V$2:$V$200,0)),"")</f>
        <v>Ooredoo Qatar</v>
      </c>
      <c r="E11" s="1" t="str">
        <f>IF($C11="","",IF(R11="","",IF(INDEX('Accounts Overview'!$A$2:$A$100,R11)="","",INDEX('Accounts Overview'!$A$2:$A$100,R11))))</f>
        <v>ACC0004</v>
      </c>
      <c r="F11" s="1" t="str">
        <f>IF($C11="","",IF(P11="","",IF(INDEX('Input Contact Information'!$D$2:$D$200,P11)="","",INDEX('Input Contact Information'!$D$2:$D$200,P11))))</f>
        <v>Chief Executive Officer</v>
      </c>
      <c r="G11" s="1" t="str">
        <f>IF($C11="","",IF(P11="","",IF(INDEX('Input Contact Information'!$A$2:$A$200,P11)="","",INDEX('Input Contact Information'!$A$2:$A$200,P11))))</f>
        <v>Kyle Strong</v>
      </c>
      <c r="H11" s="1" t="str">
        <f>IF($C11="","",IF(R11="","",IF(INDEX('Accounts Overview'!$I$2:$I$100,R11)="","",INDEX('Accounts Overview'!$I$2:$I$100,R11))))</f>
        <v>Sergey Glushkin</v>
      </c>
      <c r="I11" s="1" t="str">
        <f t="shared" ca="1" si="2"/>
        <v>Overdue</v>
      </c>
      <c r="J11" s="12">
        <f>IF($C11="","",IF(P11="","",IF(INDEX('Input Contact Information'!$Q$2:$Q$200,P11)="","",INDEX('Input Contact Information'!$Q$2:$Q$200,P11))))</f>
        <v>46219</v>
      </c>
      <c r="K11" s="14">
        <f t="shared" ca="1" si="3"/>
        <v>77</v>
      </c>
      <c r="L11" s="1">
        <f t="shared" si="4"/>
        <v>31</v>
      </c>
      <c r="M11" s="1">
        <f t="shared" si="5"/>
        <v>61</v>
      </c>
      <c r="N11" s="12">
        <f t="shared" ca="1" si="6"/>
        <v>46296</v>
      </c>
      <c r="O11" s="1" t="str">
        <f>IF($C11="","",IF(P11="","",IF(INDEX('Input Contact Information'!$R$2:$R$200,P11)="","",INDEX('Input Contact Information'!$R$2:$R$200,P11))))</f>
        <v/>
      </c>
      <c r="P11" s="1">
        <f>IF(C11="","",IFERROR(MATCH(C11&amp;"|"&amp;D11,'Input Contact Information'!$W$2:$W$200,0),""))</f>
        <v>10</v>
      </c>
      <c r="Q11" s="1" t="str">
        <f>IF($C11="","",IF((IF(P11="","",IF(INDEX('Input Contact Information'!$N$2:$N$200,P11)="","",INDEX('Input Contact Information'!$N$2:$N$200,P11))))&lt;&gt;"",IF(P11="","",IF(INDEX('Input Contact Information'!$N$2:$N$200,P11)="","",INDEX('Input Contact Information'!$N$2:$N$200,P11))),IF(P11="","",IF(INDEX('Input Contact Information'!$M$2:$M$200,P11)="","",INDEX('Input Contact Information'!$M$2:$M$200,P11)))))</f>
        <v>Tier 1</v>
      </c>
      <c r="R11" s="1">
        <f>IF(D11="","",IFERROR(MATCH(D11,'Accounts Overview'!$B$2:$B$100,0),""))</f>
        <v>4</v>
      </c>
    </row>
    <row r="12" spans="1:18" ht="15" customHeight="1" x14ac:dyDescent="0.35">
      <c r="A12" s="13" t="str">
        <f t="shared" si="0"/>
        <v>ENG0011</v>
      </c>
      <c r="B12" s="13" t="str">
        <f t="shared" si="1"/>
        <v>CON0011</v>
      </c>
      <c r="C12" s="1" t="str">
        <f>IFERROR(INDEX('Input Contact Information'!$C$2:$C$200,MATCH(ROW()-1,'Input Contact Information'!$V$2:$V$200,0)),"")</f>
        <v>Aisha Al Hamadi</v>
      </c>
      <c r="D12" s="1" t="str">
        <f>IFERROR(INDEX('Input Contact Information'!$B$2:$B$200,MATCH(ROW()-1,'Input Contact Information'!$V$2:$V$200,0)),"")</f>
        <v>Ooredoo Qatar</v>
      </c>
      <c r="E12" s="1" t="str">
        <f>IF($C12="","",IF(R12="","",IF(INDEX('Accounts Overview'!$A$2:$A$100,R12)="","",INDEX('Accounts Overview'!$A$2:$A$100,R12))))</f>
        <v>ACC0004</v>
      </c>
      <c r="F12" s="1" t="str">
        <f>IF($C12="","",IF(P12="","",IF(INDEX('Input Contact Information'!$D$2:$D$200,P12)="","",INDEX('Input Contact Information'!$D$2:$D$200,P12))))</f>
        <v>Chief Strategy Officer</v>
      </c>
      <c r="G12" s="1" t="str">
        <f>IF($C12="","",IF(P12="","",IF(INDEX('Input Contact Information'!$A$2:$A$200,P12)="","",INDEX('Input Contact Information'!$A$2:$A$200,P12))))</f>
        <v>Kyle Strong</v>
      </c>
      <c r="H12" s="1" t="str">
        <f>IF($C12="","",IF(R12="","",IF(INDEX('Accounts Overview'!$I$2:$I$100,R12)="","",INDEX('Accounts Overview'!$I$2:$I$100,R12))))</f>
        <v>Sergey Glushkin</v>
      </c>
      <c r="I12" s="1" t="str">
        <f t="shared" ca="1" si="2"/>
        <v>Overdue</v>
      </c>
      <c r="J12" s="12">
        <f>IF($C12="","",IF(P12="","",IF(INDEX('Input Contact Information'!$Q$2:$Q$200,P12)="","",INDEX('Input Contact Information'!$Q$2:$Q$200,P12))))</f>
        <v>46184</v>
      </c>
      <c r="K12" s="14">
        <f t="shared" ca="1" si="3"/>
        <v>112</v>
      </c>
      <c r="L12" s="1">
        <f t="shared" si="4"/>
        <v>31</v>
      </c>
      <c r="M12" s="1">
        <f t="shared" si="5"/>
        <v>61</v>
      </c>
      <c r="N12" s="12">
        <f t="shared" ca="1" si="6"/>
        <v>46296</v>
      </c>
      <c r="O12" s="1" t="str">
        <f>IF($C12="","",IF(P12="","",IF(INDEX('Input Contact Information'!$R$2:$R$200,P12)="","",INDEX('Input Contact Information'!$R$2:$R$200,P12))))</f>
        <v/>
      </c>
      <c r="P12" s="1">
        <f>IF(C12="","",IFERROR(MATCH(C12&amp;"|"&amp;D12,'Input Contact Information'!$W$2:$W$200,0),""))</f>
        <v>11</v>
      </c>
      <c r="Q12" s="1" t="str">
        <f>IF($C12="","",IF((IF(P12="","",IF(INDEX('Input Contact Information'!$N$2:$N$200,P12)="","",INDEX('Input Contact Information'!$N$2:$N$200,P12))))&lt;&gt;"",IF(P12="","",IF(INDEX('Input Contact Information'!$N$2:$N$200,P12)="","",INDEX('Input Contact Information'!$N$2:$N$200,P12))),IF(P12="","",IF(INDEX('Input Contact Information'!$M$2:$M$200,P12)="","",INDEX('Input Contact Information'!$M$2:$M$200,P12)))))</f>
        <v>Tier 1</v>
      </c>
      <c r="R12" s="1">
        <f>IF(D12="","",IFERROR(MATCH(D12,'Accounts Overview'!$B$2:$B$100,0),""))</f>
        <v>4</v>
      </c>
    </row>
    <row r="13" spans="1:18" ht="15" customHeight="1" x14ac:dyDescent="0.35">
      <c r="A13" s="13" t="str">
        <f t="shared" si="0"/>
        <v>ENG0012</v>
      </c>
      <c r="B13" s="13" t="str">
        <f t="shared" si="1"/>
        <v>CON0012</v>
      </c>
      <c r="C13" s="1" t="str">
        <f>IFERROR(INDEX('Input Contact Information'!$C$2:$C$200,MATCH(ROW()-1,'Input Contact Information'!$V$2:$V$200,0)),"")</f>
        <v>Rashid Al Jaber</v>
      </c>
      <c r="D13" s="1" t="str">
        <f>IFERROR(INDEX('Input Contact Information'!$B$2:$B$200,MATCH(ROW()-1,'Input Contact Information'!$V$2:$V$200,0)),"")</f>
        <v>Ooredoo Qatar</v>
      </c>
      <c r="E13" s="1" t="str">
        <f>IF($C13="","",IF(R13="","",IF(INDEX('Accounts Overview'!$A$2:$A$100,R13)="","",INDEX('Accounts Overview'!$A$2:$A$100,R13))))</f>
        <v>ACC0004</v>
      </c>
      <c r="F13" s="1" t="str">
        <f>IF($C13="","",IF(P13="","",IF(INDEX('Input Contact Information'!$D$2:$D$200,P13)="","",INDEX('Input Contact Information'!$D$2:$D$200,P13))))</f>
        <v>Vice President, Strategy</v>
      </c>
      <c r="G13" s="1" t="str">
        <f>IF($C13="","",IF(P13="","",IF(INDEX('Input Contact Information'!$A$2:$A$200,P13)="","",INDEX('Input Contact Information'!$A$2:$A$200,P13))))</f>
        <v>Kyle Strong</v>
      </c>
      <c r="H13" s="1" t="str">
        <f>IF($C13="","",IF(R13="","",IF(INDEX('Accounts Overview'!$I$2:$I$100,R13)="","",INDEX('Accounts Overview'!$I$2:$I$100,R13))))</f>
        <v>Sergey Glushkin</v>
      </c>
      <c r="I13" s="1" t="str">
        <f t="shared" ca="1" si="2"/>
        <v>Overdue</v>
      </c>
      <c r="J13" s="12">
        <f>IF($C13="","",IF(P13="","",IF(INDEX('Input Contact Information'!$Q$2:$Q$200,P13)="","",INDEX('Input Contact Information'!$Q$2:$Q$200,P13))))</f>
        <v>46154</v>
      </c>
      <c r="K13" s="14">
        <f t="shared" ca="1" si="3"/>
        <v>142</v>
      </c>
      <c r="L13" s="1">
        <f t="shared" si="4"/>
        <v>31</v>
      </c>
      <c r="M13" s="1">
        <f t="shared" si="5"/>
        <v>61</v>
      </c>
      <c r="N13" s="12">
        <f t="shared" ca="1" si="6"/>
        <v>46296</v>
      </c>
      <c r="O13" s="1" t="str">
        <f>IF($C13="","",IF(P13="","",IF(INDEX('Input Contact Information'!$R$2:$R$200,P13)="","",INDEX('Input Contact Information'!$R$2:$R$200,P13))))</f>
        <v/>
      </c>
      <c r="P13" s="1">
        <f>IF(C13="","",IFERROR(MATCH(C13&amp;"|"&amp;D13,'Input Contact Information'!$W$2:$W$200,0),""))</f>
        <v>12</v>
      </c>
      <c r="Q13" s="1" t="str">
        <f>IF($C13="","",IF((IF(P13="","",IF(INDEX('Input Contact Information'!$N$2:$N$200,P13)="","",INDEX('Input Contact Information'!$N$2:$N$200,P13))))&lt;&gt;"",IF(P13="","",IF(INDEX('Input Contact Information'!$N$2:$N$200,P13)="","",INDEX('Input Contact Information'!$N$2:$N$200,P13))),IF(P13="","",IF(INDEX('Input Contact Information'!$M$2:$M$200,P13)="","",INDEX('Input Contact Information'!$M$2:$M$200,P13)))))</f>
        <v>Tier 1</v>
      </c>
      <c r="R13" s="1">
        <f>IF(D13="","",IFERROR(MATCH(D13,'Accounts Overview'!$B$2:$B$100,0),""))</f>
        <v>4</v>
      </c>
    </row>
    <row r="14" spans="1:18" ht="15" customHeight="1" x14ac:dyDescent="0.35">
      <c r="A14" s="13" t="str">
        <f t="shared" si="0"/>
        <v>ENG0013</v>
      </c>
      <c r="B14" s="13" t="str">
        <f t="shared" si="1"/>
        <v>CON0013</v>
      </c>
      <c r="C14" s="1" t="str">
        <f>IFERROR(INDEX('Input Contact Information'!$C$2:$C$200,MATCH(ROW()-1,'Input Contact Information'!$V$2:$V$200,0)),"")</f>
        <v>Dana Al Mazrouei</v>
      </c>
      <c r="D14" s="1" t="str">
        <f>IFERROR(INDEX('Input Contact Information'!$B$2:$B$200,MATCH(ROW()-1,'Input Contact Information'!$V$2:$V$200,0)),"")</f>
        <v>Industries Qatar</v>
      </c>
      <c r="E14" s="1" t="str">
        <f>IF($C14="","",IF(R14="","",IF(INDEX('Accounts Overview'!$A$2:$A$100,R14)="","",INDEX('Accounts Overview'!$A$2:$A$100,R14))))</f>
        <v>ACC0005</v>
      </c>
      <c r="F14" s="1" t="str">
        <f>IF($C14="","",IF(P14="","",IF(INDEX('Input Contact Information'!$D$2:$D$200,P14)="","",INDEX('Input Contact Information'!$D$2:$D$200,P14))))</f>
        <v>Vice President, Strategy</v>
      </c>
      <c r="G14" s="1" t="str">
        <f>IF($C14="","",IF(P14="","",IF(INDEX('Input Contact Information'!$A$2:$A$200,P14)="","",INDEX('Input Contact Information'!$A$2:$A$200,P14))))</f>
        <v>Sergey Glushkin</v>
      </c>
      <c r="H14" s="1" t="str">
        <f>IF($C14="","",IF(R14="","",IF(INDEX('Accounts Overview'!$I$2:$I$100,R14)="","",INDEX('Accounts Overview'!$I$2:$I$100,R14))))</f>
        <v>Naveed Vakil</v>
      </c>
      <c r="I14" s="1" t="str">
        <f t="shared" ca="1" si="2"/>
        <v>Overdue</v>
      </c>
      <c r="J14" s="12">
        <f>IF($C14="","",IF(P14="","",IF(INDEX('Input Contact Information'!$Q$2:$Q$200,P14)="","",INDEX('Input Contact Information'!$Q$2:$Q$200,P14))))</f>
        <v>46219</v>
      </c>
      <c r="K14" s="14">
        <f t="shared" ca="1" si="3"/>
        <v>77</v>
      </c>
      <c r="L14" s="1">
        <f t="shared" si="4"/>
        <v>31</v>
      </c>
      <c r="M14" s="1">
        <f t="shared" si="5"/>
        <v>61</v>
      </c>
      <c r="N14" s="12">
        <f t="shared" ca="1" si="6"/>
        <v>46296</v>
      </c>
      <c r="O14" s="1" t="str">
        <f>IF($C14="","",IF(P14="","",IF(INDEX('Input Contact Information'!$R$2:$R$200,P14)="","",INDEX('Input Contact Information'!$R$2:$R$200,P14))))</f>
        <v/>
      </c>
      <c r="P14" s="1">
        <f>IF(C14="","",IFERROR(MATCH(C14&amp;"|"&amp;D14,'Input Contact Information'!$W$2:$W$200,0),""))</f>
        <v>13</v>
      </c>
      <c r="Q14" s="1" t="str">
        <f>IF($C14="","",IF((IF(P14="","",IF(INDEX('Input Contact Information'!$N$2:$N$200,P14)="","",INDEX('Input Contact Information'!$N$2:$N$200,P14))))&lt;&gt;"",IF(P14="","",IF(INDEX('Input Contact Information'!$N$2:$N$200,P14)="","",INDEX('Input Contact Information'!$N$2:$N$200,P14))),IF(P14="","",IF(INDEX('Input Contact Information'!$M$2:$M$200,P14)="","",INDEX('Input Contact Information'!$M$2:$M$200,P14)))))</f>
        <v>Tier 1</v>
      </c>
      <c r="R14" s="1">
        <f>IF(D14="","",IFERROR(MATCH(D14,'Accounts Overview'!$B$2:$B$100,0),""))</f>
        <v>5</v>
      </c>
    </row>
    <row r="15" spans="1:18" ht="15" customHeight="1" x14ac:dyDescent="0.35">
      <c r="A15" s="13" t="str">
        <f t="shared" si="0"/>
        <v>ENG0014</v>
      </c>
      <c r="B15" s="13" t="str">
        <f t="shared" si="1"/>
        <v>CON0014</v>
      </c>
      <c r="C15" s="1" t="str">
        <f>IFERROR(INDEX('Input Contact Information'!$C$2:$C$200,MATCH(ROW()-1,'Input Contact Information'!$V$2:$V$200,0)),"")</f>
        <v>Tariq Al Sayed</v>
      </c>
      <c r="D15" s="1" t="str">
        <f>IFERROR(INDEX('Input Contact Information'!$B$2:$B$200,MATCH(ROW()-1,'Input Contact Information'!$V$2:$V$200,0)),"")</f>
        <v>Industries Qatar</v>
      </c>
      <c r="E15" s="1" t="str">
        <f>IF($C15="","",IF(R15="","",IF(INDEX('Accounts Overview'!$A$2:$A$100,R15)="","",INDEX('Accounts Overview'!$A$2:$A$100,R15))))</f>
        <v>ACC0005</v>
      </c>
      <c r="F15" s="1" t="str">
        <f>IF($C15="","",IF(P15="","",IF(INDEX('Input Contact Information'!$D$2:$D$200,P15)="","",INDEX('Input Contact Information'!$D$2:$D$200,P15))))</f>
        <v>Director, Transformation</v>
      </c>
      <c r="G15" s="1" t="str">
        <f>IF($C15="","",IF(P15="","",IF(INDEX('Input Contact Information'!$A$2:$A$200,P15)="","",INDEX('Input Contact Information'!$A$2:$A$200,P15))))</f>
        <v>Sergey Glushkin</v>
      </c>
      <c r="H15" s="1" t="str">
        <f>IF($C15="","",IF(R15="","",IF(INDEX('Accounts Overview'!$I$2:$I$100,R15)="","",INDEX('Accounts Overview'!$I$2:$I$100,R15))))</f>
        <v>Naveed Vakil</v>
      </c>
      <c r="I15" s="1" t="str">
        <f t="shared" ca="1" si="2"/>
        <v>Overdue</v>
      </c>
      <c r="J15" s="12">
        <f>IF($C15="","",IF(P15="","",IF(INDEX('Input Contact Information'!$Q$2:$Q$200,P15)="","",INDEX('Input Contact Information'!$Q$2:$Q$200,P15))))</f>
        <v>46184</v>
      </c>
      <c r="K15" s="14">
        <f t="shared" ca="1" si="3"/>
        <v>112</v>
      </c>
      <c r="L15" s="1">
        <f t="shared" si="4"/>
        <v>31</v>
      </c>
      <c r="M15" s="1">
        <f t="shared" si="5"/>
        <v>61</v>
      </c>
      <c r="N15" s="12">
        <f t="shared" ca="1" si="6"/>
        <v>46296</v>
      </c>
      <c r="O15" s="1" t="str">
        <f>IF($C15="","",IF(P15="","",IF(INDEX('Input Contact Information'!$R$2:$R$200,P15)="","",INDEX('Input Contact Information'!$R$2:$R$200,P15))))</f>
        <v/>
      </c>
      <c r="P15" s="1">
        <f>IF(C15="","",IFERROR(MATCH(C15&amp;"|"&amp;D15,'Input Contact Information'!$W$2:$W$200,0),""))</f>
        <v>14</v>
      </c>
      <c r="Q15" s="1" t="str">
        <f>IF($C15="","",IF((IF(P15="","",IF(INDEX('Input Contact Information'!$N$2:$N$200,P15)="","",INDEX('Input Contact Information'!$N$2:$N$200,P15))))&lt;&gt;"",IF(P15="","",IF(INDEX('Input Contact Information'!$N$2:$N$200,P15)="","",INDEX('Input Contact Information'!$N$2:$N$200,P15))),IF(P15="","",IF(INDEX('Input Contact Information'!$M$2:$M$200,P15)="","",INDEX('Input Contact Information'!$M$2:$M$200,P15)))))</f>
        <v>Tier 1</v>
      </c>
      <c r="R15" s="1">
        <f>IF(D15="","",IFERROR(MATCH(D15,'Accounts Overview'!$B$2:$B$100,0),""))</f>
        <v>5</v>
      </c>
    </row>
    <row r="16" spans="1:18" ht="15" customHeight="1" x14ac:dyDescent="0.35">
      <c r="A16" s="13" t="str">
        <f t="shared" si="0"/>
        <v>ENG0015</v>
      </c>
      <c r="B16" s="13" t="str">
        <f t="shared" si="1"/>
        <v>CON0015</v>
      </c>
      <c r="C16" s="1" t="str">
        <f>IFERROR(INDEX('Input Contact Information'!$C$2:$C$200,MATCH(ROW()-1,'Input Contact Information'!$V$2:$V$200,0)),"")</f>
        <v>Lina Al Mansoori</v>
      </c>
      <c r="D16" s="1" t="str">
        <f>IFERROR(INDEX('Input Contact Information'!$B$2:$B$200,MATCH(ROW()-1,'Input Contact Information'!$V$2:$V$200,0)),"")</f>
        <v>Industries Qatar</v>
      </c>
      <c r="E16" s="1" t="str">
        <f>IF($C16="","",IF(R16="","",IF(INDEX('Accounts Overview'!$A$2:$A$100,R16)="","",INDEX('Accounts Overview'!$A$2:$A$100,R16))))</f>
        <v>ACC0005</v>
      </c>
      <c r="F16" s="1" t="str">
        <f>IF($C16="","",IF(P16="","",IF(INDEX('Input Contact Information'!$D$2:$D$200,P16)="","",INDEX('Input Contact Information'!$D$2:$D$200,P16))))</f>
        <v>Senior Manager, Strategy</v>
      </c>
      <c r="G16" s="1" t="str">
        <f>IF($C16="","",IF(P16="","",IF(INDEX('Input Contact Information'!$A$2:$A$200,P16)="","",INDEX('Input Contact Information'!$A$2:$A$200,P16))))</f>
        <v>Sergey Glushkin</v>
      </c>
      <c r="H16" s="1" t="str">
        <f>IF($C16="","",IF(R16="","",IF(INDEX('Accounts Overview'!$I$2:$I$100,R16)="","",INDEX('Accounts Overview'!$I$2:$I$100,R16))))</f>
        <v>Naveed Vakil</v>
      </c>
      <c r="I16" s="1" t="str">
        <f t="shared" ca="1" si="2"/>
        <v>For Review</v>
      </c>
      <c r="J16" s="12">
        <f>IF($C16="","",IF(P16="","",IF(INDEX('Input Contact Information'!$Q$2:$Q$200,P16)="","",INDEX('Input Contact Information'!$Q$2:$Q$200,P16))))</f>
        <v>46154</v>
      </c>
      <c r="K16" s="14">
        <f t="shared" ca="1" si="3"/>
        <v>142</v>
      </c>
      <c r="L16" s="1">
        <f t="shared" si="4"/>
        <v>91</v>
      </c>
      <c r="M16" s="1">
        <f t="shared" si="5"/>
        <v>181</v>
      </c>
      <c r="N16" s="12">
        <f t="shared" ca="1" si="6"/>
        <v>46296</v>
      </c>
      <c r="O16" s="1" t="str">
        <f>IF($C16="","",IF(P16="","",IF(INDEX('Input Contact Information'!$R$2:$R$200,P16)="","",INDEX('Input Contact Information'!$R$2:$R$200,P16))))</f>
        <v>Had a conversation- Might have a new project in pipeline</v>
      </c>
      <c r="P16" s="1">
        <f>IF(C16="","",IFERROR(MATCH(C16&amp;"|"&amp;D16,'Input Contact Information'!$W$2:$W$200,0),""))</f>
        <v>15</v>
      </c>
      <c r="Q16" s="1" t="str">
        <f>IF($C16="","",IF((IF(P16="","",IF(INDEX('Input Contact Information'!$N$2:$N$200,P16)="","",INDEX('Input Contact Information'!$N$2:$N$200,P16))))&lt;&gt;"",IF(P16="","",IF(INDEX('Input Contact Information'!$N$2:$N$200,P16)="","",INDEX('Input Contact Information'!$N$2:$N$200,P16))),IF(P16="","",IF(INDEX('Input Contact Information'!$M$2:$M$200,P16)="","",INDEX('Input Contact Information'!$M$2:$M$200,P16)))))</f>
        <v>Tier 2</v>
      </c>
      <c r="R16" s="1">
        <f>IF(D16="","",IFERROR(MATCH(D16,'Accounts Overview'!$B$2:$B$100,0),""))</f>
        <v>5</v>
      </c>
    </row>
    <row r="17" spans="1:18" ht="15" customHeight="1" x14ac:dyDescent="0.35">
      <c r="A17" s="13" t="str">
        <f t="shared" si="0"/>
        <v>ENG0016</v>
      </c>
      <c r="B17" s="13" t="str">
        <f t="shared" si="1"/>
        <v>CON0016</v>
      </c>
      <c r="C17" s="1" t="str">
        <f>IFERROR(INDEX('Input Contact Information'!$C$2:$C$200,MATCH(ROW()-1,'Input Contact Information'!$V$2:$V$200,0)),"")</f>
        <v>Moza Al Kuwari</v>
      </c>
      <c r="D17" s="1" t="str">
        <f>IFERROR(INDEX('Input Contact Information'!$B$2:$B$200,MATCH(ROW()-1,'Input Contact Information'!$V$2:$V$200,0)),"")</f>
        <v>Commercial Bank of Qatar</v>
      </c>
      <c r="E17" s="1" t="str">
        <f>IF($C17="","",IF(R17="","",IF(INDEX('Accounts Overview'!$A$2:$A$100,R17)="","",INDEX('Accounts Overview'!$A$2:$A$100,R17))))</f>
        <v>ACC0006</v>
      </c>
      <c r="F17" s="1" t="str">
        <f>IF($C17="","",IF(P17="","",IF(INDEX('Input Contact Information'!$D$2:$D$200,P17)="","",INDEX('Input Contact Information'!$D$2:$D$200,P17))))</f>
        <v>Vice President, Strategy</v>
      </c>
      <c r="G17" s="1" t="str">
        <f>IF($C17="","",IF(P17="","",IF(INDEX('Input Contact Information'!$A$2:$A$200,P17)="","",INDEX('Input Contact Information'!$A$2:$A$200,P17))))</f>
        <v>Alberto Michelotti</v>
      </c>
      <c r="H17" s="1" t="str">
        <f>IF($C17="","",IF(R17="","",IF(INDEX('Accounts Overview'!$I$2:$I$100,R17)="","",INDEX('Accounts Overview'!$I$2:$I$100,R17))))</f>
        <v>Reda Jennane</v>
      </c>
      <c r="I17" s="1" t="str">
        <f t="shared" ca="1" si="2"/>
        <v>For Review</v>
      </c>
      <c r="J17" s="12">
        <f>IF($C17="","",IF(P17="","",IF(INDEX('Input Contact Information'!$Q$2:$Q$200,P17)="","",INDEX('Input Contact Information'!$Q$2:$Q$200,P17))))</f>
        <v>46199</v>
      </c>
      <c r="K17" s="14">
        <f t="shared" ca="1" si="3"/>
        <v>97</v>
      </c>
      <c r="L17" s="1">
        <f t="shared" si="4"/>
        <v>91</v>
      </c>
      <c r="M17" s="1">
        <f t="shared" si="5"/>
        <v>181</v>
      </c>
      <c r="N17" s="12">
        <f t="shared" ca="1" si="6"/>
        <v>46296</v>
      </c>
      <c r="O17" s="1" t="str">
        <f>IF($C17="","",IF(P17="","",IF(INDEX('Input Contact Information'!$R$2:$R$200,P17)="","",INDEX('Input Contact Information'!$R$2:$R$200,P17))))</f>
        <v/>
      </c>
      <c r="P17" s="1">
        <f>IF(C17="","",IFERROR(MATCH(C17&amp;"|"&amp;D17,'Input Contact Information'!$W$2:$W$200,0),""))</f>
        <v>16</v>
      </c>
      <c r="Q17" s="1" t="str">
        <f>IF($C17="","",IF((IF(P17="","",IF(INDEX('Input Contact Information'!$N$2:$N$200,P17)="","",INDEX('Input Contact Information'!$N$2:$N$200,P17))))&lt;&gt;"",IF(P17="","",IF(INDEX('Input Contact Information'!$N$2:$N$200,P17)="","",INDEX('Input Contact Information'!$N$2:$N$200,P17))),IF(P17="","",IF(INDEX('Input Contact Information'!$M$2:$M$200,P17)="","",INDEX('Input Contact Information'!$M$2:$M$200,P17)))))</f>
        <v>Tier 2</v>
      </c>
      <c r="R17" s="1">
        <f>IF(D17="","",IFERROR(MATCH(D17,'Accounts Overview'!$B$2:$B$100,0),""))</f>
        <v>6</v>
      </c>
    </row>
    <row r="18" spans="1:18" ht="15" customHeight="1" x14ac:dyDescent="0.35">
      <c r="A18" s="13" t="str">
        <f t="shared" si="0"/>
        <v>ENG0017</v>
      </c>
      <c r="B18" s="13" t="str">
        <f t="shared" si="1"/>
        <v>CON0017</v>
      </c>
      <c r="C18" s="1" t="str">
        <f>IFERROR(INDEX('Input Contact Information'!$C$2:$C$200,MATCH(ROW()-1,'Input Contact Information'!$V$2:$V$200,0)),"")</f>
        <v>Saeed Al Romaihi</v>
      </c>
      <c r="D18" s="1" t="str">
        <f>IFERROR(INDEX('Input Contact Information'!$B$2:$B$200,MATCH(ROW()-1,'Input Contact Information'!$V$2:$V$200,0)),"")</f>
        <v>Commercial Bank of Qatar</v>
      </c>
      <c r="E18" s="1" t="str">
        <f>IF($C18="","",IF(R18="","",IF(INDEX('Accounts Overview'!$A$2:$A$100,R18)="","",INDEX('Accounts Overview'!$A$2:$A$100,R18))))</f>
        <v>ACC0006</v>
      </c>
      <c r="F18" s="1" t="str">
        <f>IF($C18="","",IF(P18="","",IF(INDEX('Input Contact Information'!$D$2:$D$200,P18)="","",INDEX('Input Contact Information'!$D$2:$D$200,P18))))</f>
        <v>Director, Transformation</v>
      </c>
      <c r="G18" s="1" t="str">
        <f>IF($C18="","",IF(P18="","",IF(INDEX('Input Contact Information'!$A$2:$A$200,P18)="","",INDEX('Input Contact Information'!$A$2:$A$200,P18))))</f>
        <v>Alberto Michelotti</v>
      </c>
      <c r="H18" s="1" t="str">
        <f>IF($C18="","",IF(R18="","",IF(INDEX('Accounts Overview'!$I$2:$I$100,R18)="","",INDEX('Accounts Overview'!$I$2:$I$100,R18))))</f>
        <v>Reda Jennane</v>
      </c>
      <c r="I18" s="1" t="str">
        <f t="shared" ca="1" si="2"/>
        <v>Overdue</v>
      </c>
      <c r="J18" s="12">
        <f>IF($C18="","",IF(P18="","",IF(INDEX('Input Contact Information'!$Q$2:$Q$200,P18)="","",INDEX('Input Contact Information'!$Q$2:$Q$200,P18))))</f>
        <v>46109</v>
      </c>
      <c r="K18" s="14">
        <f t="shared" ca="1" si="3"/>
        <v>187</v>
      </c>
      <c r="L18" s="1">
        <f t="shared" si="4"/>
        <v>91</v>
      </c>
      <c r="M18" s="1">
        <f t="shared" si="5"/>
        <v>181</v>
      </c>
      <c r="N18" s="12">
        <f t="shared" ca="1" si="6"/>
        <v>46296</v>
      </c>
      <c r="O18" s="1" t="str">
        <f>IF($C18="","",IF(P18="","",IF(INDEX('Input Contact Information'!$R$2:$R$200,P18)="","",INDEX('Input Contact Information'!$R$2:$R$200,P18))))</f>
        <v/>
      </c>
      <c r="P18" s="1">
        <f>IF(C18="","",IFERROR(MATCH(C18&amp;"|"&amp;D18,'Input Contact Information'!$W$2:$W$200,0),""))</f>
        <v>17</v>
      </c>
      <c r="Q18" s="1" t="str">
        <f>IF($C18="","",IF((IF(P18="","",IF(INDEX('Input Contact Information'!$N$2:$N$200,P18)="","",INDEX('Input Contact Information'!$N$2:$N$200,P18))))&lt;&gt;"",IF(P18="","",IF(INDEX('Input Contact Information'!$N$2:$N$200,P18)="","",INDEX('Input Contact Information'!$N$2:$N$200,P18))),IF(P18="","",IF(INDEX('Input Contact Information'!$M$2:$M$200,P18)="","",INDEX('Input Contact Information'!$M$2:$M$200,P18)))))</f>
        <v>Tier 2</v>
      </c>
      <c r="R18" s="1">
        <f>IF(D18="","",IFERROR(MATCH(D18,'Accounts Overview'!$B$2:$B$100,0),""))</f>
        <v>6</v>
      </c>
    </row>
    <row r="19" spans="1:18" ht="15" customHeight="1" x14ac:dyDescent="0.35">
      <c r="A19" s="13" t="str">
        <f t="shared" si="0"/>
        <v>ENG0018</v>
      </c>
      <c r="B19" s="13" t="str">
        <f t="shared" si="1"/>
        <v>CON0018</v>
      </c>
      <c r="C19" s="1" t="str">
        <f>IFERROR(INDEX('Input Contact Information'!$C$2:$C$200,MATCH(ROW()-1,'Input Contact Information'!$V$2:$V$200,0)),"")</f>
        <v>Hessa Al Hajri</v>
      </c>
      <c r="D19" s="1" t="str">
        <f>IFERROR(INDEX('Input Contact Information'!$B$2:$B$200,MATCH(ROW()-1,'Input Contact Information'!$V$2:$V$200,0)),"")</f>
        <v>Commercial Bank of Qatar</v>
      </c>
      <c r="E19" s="1" t="str">
        <f>IF($C19="","",IF(R19="","",IF(INDEX('Accounts Overview'!$A$2:$A$100,R19)="","",INDEX('Accounts Overview'!$A$2:$A$100,R19))))</f>
        <v>ACC0006</v>
      </c>
      <c r="F19" s="1" t="str">
        <f>IF($C19="","",IF(P19="","",IF(INDEX('Input Contact Information'!$D$2:$D$200,P19)="","",INDEX('Input Contact Information'!$D$2:$D$200,P19))))</f>
        <v>Senior Manager, Strategy</v>
      </c>
      <c r="G19" s="1" t="str">
        <f>IF($C19="","",IF(P19="","",IF(INDEX('Input Contact Information'!$A$2:$A$200,P19)="","",INDEX('Input Contact Information'!$A$2:$A$200,P19))))</f>
        <v>Alberto Michelotti</v>
      </c>
      <c r="H19" s="1" t="str">
        <f>IF($C19="","",IF(R19="","",IF(INDEX('Accounts Overview'!$I$2:$I$100,R19)="","",INDEX('Accounts Overview'!$I$2:$I$100,R19))))</f>
        <v>Reda Jennane</v>
      </c>
      <c r="I19" s="1" t="str">
        <f t="shared" ca="1" si="2"/>
        <v>Overdue</v>
      </c>
      <c r="J19" s="12">
        <f>IF($C19="","",IF(P19="","",IF(INDEX('Input Contact Information'!$Q$2:$Q$200,P19)="","",INDEX('Input Contact Information'!$Q$2:$Q$200,P19))))</f>
        <v>46009</v>
      </c>
      <c r="K19" s="14">
        <f t="shared" ca="1" si="3"/>
        <v>287</v>
      </c>
      <c r="L19" s="1">
        <f t="shared" si="4"/>
        <v>91</v>
      </c>
      <c r="M19" s="1">
        <f t="shared" si="5"/>
        <v>181</v>
      </c>
      <c r="N19" s="12">
        <f t="shared" ca="1" si="6"/>
        <v>46296</v>
      </c>
      <c r="O19" s="1" t="str">
        <f>IF($C19="","",IF(P19="","",IF(INDEX('Input Contact Information'!$R$2:$R$200,P19)="","",INDEX('Input Contact Information'!$R$2:$R$200,P19))))</f>
        <v/>
      </c>
      <c r="P19" s="1">
        <f>IF(C19="","",IFERROR(MATCH(C19&amp;"|"&amp;D19,'Input Contact Information'!$W$2:$W$200,0),""))</f>
        <v>18</v>
      </c>
      <c r="Q19" s="1" t="str">
        <f>IF($C19="","",IF((IF(P19="","",IF(INDEX('Input Contact Information'!$N$2:$N$200,P19)="","",INDEX('Input Contact Information'!$N$2:$N$200,P19))))&lt;&gt;"",IF(P19="","",IF(INDEX('Input Contact Information'!$N$2:$N$200,P19)="","",INDEX('Input Contact Information'!$N$2:$N$200,P19))),IF(P19="","",IF(INDEX('Input Contact Information'!$M$2:$M$200,P19)="","",INDEX('Input Contact Information'!$M$2:$M$200,P19)))))</f>
        <v>Tier 2</v>
      </c>
      <c r="R19" s="1">
        <f>IF(D19="","",IFERROR(MATCH(D19,'Accounts Overview'!$B$2:$B$100,0),""))</f>
        <v>6</v>
      </c>
    </row>
    <row r="20" spans="1:18" ht="15" customHeight="1" x14ac:dyDescent="0.35">
      <c r="A20" s="13" t="str">
        <f t="shared" si="0"/>
        <v>ENG0019</v>
      </c>
      <c r="B20" s="13" t="str">
        <f t="shared" si="1"/>
        <v>CON0019</v>
      </c>
      <c r="C20" s="1" t="str">
        <f>IFERROR(INDEX('Input Contact Information'!$C$2:$C$200,MATCH(ROW()-1,'Input Contact Information'!$V$2:$V$200,0)),"")</f>
        <v>Jassim Al Subaie</v>
      </c>
      <c r="D20" s="1" t="str">
        <f>IFERROR(INDEX('Input Contact Information'!$B$2:$B$200,MATCH(ROW()-1,'Input Contact Information'!$V$2:$V$200,0)),"")</f>
        <v>Doha Bank</v>
      </c>
      <c r="E20" s="1" t="str">
        <f>IF($C20="","",IF(R20="","",IF(INDEX('Accounts Overview'!$A$2:$A$100,R20)="","",INDEX('Accounts Overview'!$A$2:$A$100,R20))))</f>
        <v>ACC0007</v>
      </c>
      <c r="F20" s="1" t="str">
        <f>IF($C20="","",IF(P20="","",IF(INDEX('Input Contact Information'!$D$2:$D$200,P20)="","",INDEX('Input Contact Information'!$D$2:$D$200,P20))))</f>
        <v>Chief Executive Officer</v>
      </c>
      <c r="G20" s="1" t="str">
        <f>IF($C20="","",IF(P20="","",IF(INDEX('Input Contact Information'!$A$2:$A$200,P20)="","",INDEX('Input Contact Information'!$A$2:$A$200,P20))))</f>
        <v>Eric Guraieb</v>
      </c>
      <c r="H20" s="1" t="str">
        <f>IF($C20="","",IF(R20="","",IF(INDEX('Accounts Overview'!$I$2:$I$100,R20)="","",INDEX('Accounts Overview'!$I$2:$I$100,R20))))</f>
        <v>Riccardo Terruzzi</v>
      </c>
      <c r="I20" s="1" t="str">
        <f t="shared" ca="1" si="2"/>
        <v>For Review</v>
      </c>
      <c r="J20" s="12">
        <f>IF($C20="","",IF(P20="","",IF(INDEX('Input Contact Information'!$Q$2:$Q$200,P20)="","",INDEX('Input Contact Information'!$Q$2:$Q$200,P20))))</f>
        <v>46199</v>
      </c>
      <c r="K20" s="14">
        <f t="shared" ca="1" si="3"/>
        <v>97</v>
      </c>
      <c r="L20" s="1">
        <f t="shared" si="4"/>
        <v>91</v>
      </c>
      <c r="M20" s="1">
        <f t="shared" si="5"/>
        <v>181</v>
      </c>
      <c r="N20" s="12">
        <f t="shared" ca="1" si="6"/>
        <v>46296</v>
      </c>
      <c r="O20" s="1" t="str">
        <f>IF($C20="","",IF(P20="","",IF(INDEX('Input Contact Information'!$R$2:$R$200,P20)="","",INDEX('Input Contact Information'!$R$2:$R$200,P20))))</f>
        <v/>
      </c>
      <c r="P20" s="1">
        <f>IF(C20="","",IFERROR(MATCH(C20&amp;"|"&amp;D20,'Input Contact Information'!$W$2:$W$200,0),""))</f>
        <v>19</v>
      </c>
      <c r="Q20" s="1" t="str">
        <f>IF($C20="","",IF((IF(P20="","",IF(INDEX('Input Contact Information'!$N$2:$N$200,P20)="","",INDEX('Input Contact Information'!$N$2:$N$200,P20))))&lt;&gt;"",IF(P20="","",IF(INDEX('Input Contact Information'!$N$2:$N$200,P20)="","",INDEX('Input Contact Information'!$N$2:$N$200,P20))),IF(P20="","",IF(INDEX('Input Contact Information'!$M$2:$M$200,P20)="","",INDEX('Input Contact Information'!$M$2:$M$200,P20)))))</f>
        <v>Tier 2</v>
      </c>
      <c r="R20" s="1">
        <f>IF(D20="","",IFERROR(MATCH(D20,'Accounts Overview'!$B$2:$B$100,0),""))</f>
        <v>7</v>
      </c>
    </row>
    <row r="21" spans="1:18" ht="15" customHeight="1" x14ac:dyDescent="0.35">
      <c r="A21" s="13" t="str">
        <f t="shared" si="0"/>
        <v>ENG0020</v>
      </c>
      <c r="B21" s="13" t="str">
        <f t="shared" si="1"/>
        <v>CON0020</v>
      </c>
      <c r="C21" s="1" t="str">
        <f>IFERROR(INDEX('Input Contact Information'!$C$2:$C$200,MATCH(ROW()-1,'Input Contact Information'!$V$2:$V$200,0)),"")</f>
        <v>Reem Al Khulaifi</v>
      </c>
      <c r="D21" s="1" t="str">
        <f>IFERROR(INDEX('Input Contact Information'!$B$2:$B$200,MATCH(ROW()-1,'Input Contact Information'!$V$2:$V$200,0)),"")</f>
        <v>Doha Bank</v>
      </c>
      <c r="E21" s="1" t="str">
        <f>IF($C21="","",IF(R21="","",IF(INDEX('Accounts Overview'!$A$2:$A$100,R21)="","",INDEX('Accounts Overview'!$A$2:$A$100,R21))))</f>
        <v>ACC0007</v>
      </c>
      <c r="F21" s="1" t="str">
        <f>IF($C21="","",IF(P21="","",IF(INDEX('Input Contact Information'!$D$2:$D$200,P21)="","",INDEX('Input Contact Information'!$D$2:$D$200,P21))))</f>
        <v>Chief Strategy Officer</v>
      </c>
      <c r="G21" s="1" t="str">
        <f>IF($C21="","",IF(P21="","",IF(INDEX('Input Contact Information'!$A$2:$A$200,P21)="","",INDEX('Input Contact Information'!$A$2:$A$200,P21))))</f>
        <v>Eric Guraieb</v>
      </c>
      <c r="H21" s="1" t="str">
        <f>IF($C21="","",IF(R21="","",IF(INDEX('Accounts Overview'!$I$2:$I$100,R21)="","",INDEX('Accounts Overview'!$I$2:$I$100,R21))))</f>
        <v>Riccardo Terruzzi</v>
      </c>
      <c r="I21" s="1" t="str">
        <f t="shared" ca="1" si="2"/>
        <v>Overdue</v>
      </c>
      <c r="J21" s="12">
        <f>IF($C21="","",IF(P21="","",IF(INDEX('Input Contact Information'!$Q$2:$Q$200,P21)="","",INDEX('Input Contact Information'!$Q$2:$Q$200,P21))))</f>
        <v>46109</v>
      </c>
      <c r="K21" s="14">
        <f t="shared" ca="1" si="3"/>
        <v>187</v>
      </c>
      <c r="L21" s="1">
        <f t="shared" si="4"/>
        <v>91</v>
      </c>
      <c r="M21" s="1">
        <f t="shared" si="5"/>
        <v>181</v>
      </c>
      <c r="N21" s="12">
        <f t="shared" ca="1" si="6"/>
        <v>46296</v>
      </c>
      <c r="O21" s="1" t="str">
        <f>IF($C21="","",IF(P21="","",IF(INDEX('Input Contact Information'!$R$2:$R$200,P21)="","",INDEX('Input Contact Information'!$R$2:$R$200,P21))))</f>
        <v/>
      </c>
      <c r="P21" s="1">
        <f>IF(C21="","",IFERROR(MATCH(C21&amp;"|"&amp;D21,'Input Contact Information'!$W$2:$W$200,0),""))</f>
        <v>20</v>
      </c>
      <c r="Q21" s="1" t="str">
        <f>IF($C21="","",IF((IF(P21="","",IF(INDEX('Input Contact Information'!$N$2:$N$200,P21)="","",INDEX('Input Contact Information'!$N$2:$N$200,P21))))&lt;&gt;"",IF(P21="","",IF(INDEX('Input Contact Information'!$N$2:$N$200,P21)="","",INDEX('Input Contact Information'!$N$2:$N$200,P21))),IF(P21="","",IF(INDEX('Input Contact Information'!$M$2:$M$200,P21)="","",INDEX('Input Contact Information'!$M$2:$M$200,P21)))))</f>
        <v>Tier 2</v>
      </c>
      <c r="R21" s="1">
        <f>IF(D21="","",IFERROR(MATCH(D21,'Accounts Overview'!$B$2:$B$100,0),""))</f>
        <v>7</v>
      </c>
    </row>
    <row r="22" spans="1:18" ht="15" customHeight="1" x14ac:dyDescent="0.35">
      <c r="A22" s="13" t="str">
        <f t="shared" si="0"/>
        <v>ENG0021</v>
      </c>
      <c r="B22" s="13" t="str">
        <f t="shared" si="1"/>
        <v>CON0021</v>
      </c>
      <c r="C22" s="1" t="str">
        <f>IFERROR(INDEX('Input Contact Information'!$C$2:$C$200,MATCH(ROW()-1,'Input Contact Information'!$V$2:$V$200,0)),"")</f>
        <v>Abdulla Al Dosari</v>
      </c>
      <c r="D22" s="1" t="str">
        <f>IFERROR(INDEX('Input Contact Information'!$B$2:$B$200,MATCH(ROW()-1,'Input Contact Information'!$V$2:$V$200,0)),"")</f>
        <v>Doha Bank</v>
      </c>
      <c r="E22" s="1" t="str">
        <f>IF($C22="","",IF(R22="","",IF(INDEX('Accounts Overview'!$A$2:$A$100,R22)="","",INDEX('Accounts Overview'!$A$2:$A$100,R22))))</f>
        <v>ACC0007</v>
      </c>
      <c r="F22" s="1" t="str">
        <f>IF($C22="","",IF(P22="","",IF(INDEX('Input Contact Information'!$D$2:$D$200,P22)="","",INDEX('Input Contact Information'!$D$2:$D$200,P22))))</f>
        <v>Vice President, Strategy</v>
      </c>
      <c r="G22" s="1" t="str">
        <f>IF($C22="","",IF(P22="","",IF(INDEX('Input Contact Information'!$A$2:$A$200,P22)="","",INDEX('Input Contact Information'!$A$2:$A$200,P22))))</f>
        <v>Eric Guraieb</v>
      </c>
      <c r="H22" s="1" t="str">
        <f>IF($C22="","",IF(R22="","",IF(INDEX('Accounts Overview'!$I$2:$I$100,R22)="","",INDEX('Accounts Overview'!$I$2:$I$100,R22))))</f>
        <v>Riccardo Terruzzi</v>
      </c>
      <c r="I22" s="1" t="str">
        <f t="shared" ca="1" si="2"/>
        <v>Overdue</v>
      </c>
      <c r="J22" s="12">
        <f>IF($C22="","",IF(P22="","",IF(INDEX('Input Contact Information'!$Q$2:$Q$200,P22)="","",INDEX('Input Contact Information'!$Q$2:$Q$200,P22))))</f>
        <v>46009</v>
      </c>
      <c r="K22" s="14">
        <f t="shared" ca="1" si="3"/>
        <v>287</v>
      </c>
      <c r="L22" s="1">
        <f t="shared" si="4"/>
        <v>91</v>
      </c>
      <c r="M22" s="1">
        <f t="shared" si="5"/>
        <v>181</v>
      </c>
      <c r="N22" s="12">
        <f t="shared" ca="1" si="6"/>
        <v>46296</v>
      </c>
      <c r="O22" s="1" t="str">
        <f>IF($C22="","",IF(P22="","",IF(INDEX('Input Contact Information'!$R$2:$R$200,P22)="","",INDEX('Input Contact Information'!$R$2:$R$200,P22))))</f>
        <v>Meeting fixed for next month</v>
      </c>
      <c r="P22" s="1">
        <f>IF(C22="","",IFERROR(MATCH(C22&amp;"|"&amp;D22,'Input Contact Information'!$W$2:$W$200,0),""))</f>
        <v>21</v>
      </c>
      <c r="Q22" s="1" t="str">
        <f>IF($C22="","",IF((IF(P22="","",IF(INDEX('Input Contact Information'!$N$2:$N$200,P22)="","",INDEX('Input Contact Information'!$N$2:$N$200,P22))))&lt;&gt;"",IF(P22="","",IF(INDEX('Input Contact Information'!$N$2:$N$200,P22)="","",INDEX('Input Contact Information'!$N$2:$N$200,P22))),IF(P22="","",IF(INDEX('Input Contact Information'!$M$2:$M$200,P22)="","",INDEX('Input Contact Information'!$M$2:$M$200,P22)))))</f>
        <v>Tier 2</v>
      </c>
      <c r="R22" s="1">
        <f>IF(D22="","",IFERROR(MATCH(D22,'Accounts Overview'!$B$2:$B$100,0),""))</f>
        <v>7</v>
      </c>
    </row>
    <row r="23" spans="1:18" ht="15" customHeight="1" x14ac:dyDescent="0.35">
      <c r="A23" s="13" t="str">
        <f t="shared" si="0"/>
        <v>ENG0022</v>
      </c>
      <c r="B23" s="13" t="str">
        <f t="shared" si="1"/>
        <v>CON0022</v>
      </c>
      <c r="C23" s="1" t="str">
        <f>IFERROR(INDEX('Input Contact Information'!$C$2:$C$200,MATCH(ROW()-1,'Input Contact Information'!$V$2:$V$200,0)),"")</f>
        <v>Fatima Al Mohannadi</v>
      </c>
      <c r="D23" s="1" t="str">
        <f>IFERROR(INDEX('Input Contact Information'!$B$2:$B$200,MATCH(ROW()-1,'Input Contact Information'!$V$2:$V$200,0)),"")</f>
        <v>Qatar Insurance Company</v>
      </c>
      <c r="E23" s="1" t="str">
        <f>IF($C23="","",IF(R23="","",IF(INDEX('Accounts Overview'!$A$2:$A$100,R23)="","",INDEX('Accounts Overview'!$A$2:$A$100,R23))))</f>
        <v>ACC0008</v>
      </c>
      <c r="F23" s="1" t="str">
        <f>IF($C23="","",IF(P23="","",IF(INDEX('Input Contact Information'!$D$2:$D$200,P23)="","",INDEX('Input Contact Information'!$D$2:$D$200,P23))))</f>
        <v>Vice President, Strategy</v>
      </c>
      <c r="G23" s="1" t="str">
        <f>IF($C23="","",IF(P23="","",IF(INDEX('Input Contact Information'!$A$2:$A$200,P23)="","",INDEX('Input Contact Information'!$A$2:$A$200,P23))))</f>
        <v>Kyle Strong</v>
      </c>
      <c r="H23" s="1" t="str">
        <f>IF($C23="","",IF(R23="","",IF(INDEX('Accounts Overview'!$I$2:$I$100,R23)="","",INDEX('Accounts Overview'!$I$2:$I$100,R23))))</f>
        <v>Stanislav Gaiduk</v>
      </c>
      <c r="I23" s="1" t="str">
        <f t="shared" ca="1" si="2"/>
        <v>For Review</v>
      </c>
      <c r="J23" s="12">
        <f>IF($C23="","",IF(P23="","",IF(INDEX('Input Contact Information'!$Q$2:$Q$200,P23)="","",INDEX('Input Contact Information'!$Q$2:$Q$200,P23))))</f>
        <v>46199</v>
      </c>
      <c r="K23" s="14">
        <f t="shared" ca="1" si="3"/>
        <v>97</v>
      </c>
      <c r="L23" s="1">
        <f t="shared" si="4"/>
        <v>91</v>
      </c>
      <c r="M23" s="1">
        <f t="shared" si="5"/>
        <v>181</v>
      </c>
      <c r="N23" s="12">
        <f t="shared" ca="1" si="6"/>
        <v>46296</v>
      </c>
      <c r="O23" s="1" t="str">
        <f>IF($C23="","",IF(P23="","",IF(INDEX('Input Contact Information'!$R$2:$R$200,P23)="","",INDEX('Input Contact Information'!$R$2:$R$200,P23))))</f>
        <v/>
      </c>
      <c r="P23" s="1">
        <f>IF(C23="","",IFERROR(MATCH(C23&amp;"|"&amp;D23,'Input Contact Information'!$W$2:$W$200,0),""))</f>
        <v>22</v>
      </c>
      <c r="Q23" s="1" t="str">
        <f>IF($C23="","",IF((IF(P23="","",IF(INDEX('Input Contact Information'!$N$2:$N$200,P23)="","",INDEX('Input Contact Information'!$N$2:$N$200,P23))))&lt;&gt;"",IF(P23="","",IF(INDEX('Input Contact Information'!$N$2:$N$200,P23)="","",INDEX('Input Contact Information'!$N$2:$N$200,P23))),IF(P23="","",IF(INDEX('Input Contact Information'!$M$2:$M$200,P23)="","",INDEX('Input Contact Information'!$M$2:$M$200,P23)))))</f>
        <v>Tier 2</v>
      </c>
      <c r="R23" s="1">
        <f>IF(D23="","",IFERROR(MATCH(D23,'Accounts Overview'!$B$2:$B$100,0),""))</f>
        <v>8</v>
      </c>
    </row>
    <row r="24" spans="1:18" ht="15" customHeight="1" x14ac:dyDescent="0.35">
      <c r="A24" s="13" t="str">
        <f t="shared" si="0"/>
        <v>ENG0023</v>
      </c>
      <c r="B24" s="13" t="str">
        <f t="shared" si="1"/>
        <v>CON0023</v>
      </c>
      <c r="C24" s="1" t="str">
        <f>IFERROR(INDEX('Input Contact Information'!$C$2:$C$200,MATCH(ROW()-1,'Input Contact Information'!$V$2:$V$200,0)),"")</f>
        <v>Hamad Al Nasr</v>
      </c>
      <c r="D24" s="1" t="str">
        <f>IFERROR(INDEX('Input Contact Information'!$B$2:$B$200,MATCH(ROW()-1,'Input Contact Information'!$V$2:$V$200,0)),"")</f>
        <v>Qatar Insurance Company</v>
      </c>
      <c r="E24" s="1" t="str">
        <f>IF($C24="","",IF(R24="","",IF(INDEX('Accounts Overview'!$A$2:$A$100,R24)="","",INDEX('Accounts Overview'!$A$2:$A$100,R24))))</f>
        <v>ACC0008</v>
      </c>
      <c r="F24" s="1" t="str">
        <f>IF($C24="","",IF(P24="","",IF(INDEX('Input Contact Information'!$D$2:$D$200,P24)="","",INDEX('Input Contact Information'!$D$2:$D$200,P24))))</f>
        <v>Director, Transformation</v>
      </c>
      <c r="G24" s="1" t="str">
        <f>IF($C24="","",IF(P24="","",IF(INDEX('Input Contact Information'!$A$2:$A$200,P24)="","",INDEX('Input Contact Information'!$A$2:$A$200,P24))))</f>
        <v>Kyle Strong</v>
      </c>
      <c r="H24" s="1" t="str">
        <f>IF($C24="","",IF(R24="","",IF(INDEX('Accounts Overview'!$I$2:$I$100,R24)="","",INDEX('Accounts Overview'!$I$2:$I$100,R24))))</f>
        <v>Stanislav Gaiduk</v>
      </c>
      <c r="I24" s="1" t="str">
        <f t="shared" ca="1" si="2"/>
        <v>For Review</v>
      </c>
      <c r="J24" s="12">
        <f>IF($C24="","",IF(P24="","",IF(INDEX('Input Contact Information'!$Q$2:$Q$200,P24)="","",INDEX('Input Contact Information'!$Q$2:$Q$200,P24))))</f>
        <v>46109</v>
      </c>
      <c r="K24" s="14">
        <f t="shared" ca="1" si="3"/>
        <v>187</v>
      </c>
      <c r="L24" s="1">
        <f t="shared" si="4"/>
        <v>181</v>
      </c>
      <c r="M24" s="1">
        <f t="shared" si="5"/>
        <v>366</v>
      </c>
      <c r="N24" s="12">
        <f t="shared" ca="1" si="6"/>
        <v>46296</v>
      </c>
      <c r="O24" s="1" t="str">
        <f>IF($C24="","",IF(P24="","",IF(INDEX('Input Contact Information'!$R$2:$R$200,P24)="","",INDEX('Input Contact Information'!$R$2:$R$200,P24))))</f>
        <v/>
      </c>
      <c r="P24" s="1">
        <f>IF(C24="","",IFERROR(MATCH(C24&amp;"|"&amp;D24,'Input Contact Information'!$W$2:$W$200,0),""))</f>
        <v>23</v>
      </c>
      <c r="Q24" s="1" t="str">
        <f>IF($C24="","",IF((IF(P24="","",IF(INDEX('Input Contact Information'!$N$2:$N$200,P24)="","",INDEX('Input Contact Information'!$N$2:$N$200,P24))))&lt;&gt;"",IF(P24="","",IF(INDEX('Input Contact Information'!$N$2:$N$200,P24)="","",INDEX('Input Contact Information'!$N$2:$N$200,P24))),IF(P24="","",IF(INDEX('Input Contact Information'!$M$2:$M$200,P24)="","",INDEX('Input Contact Information'!$M$2:$M$200,P24)))))</f>
        <v>Tier 3</v>
      </c>
      <c r="R24" s="1">
        <f>IF(D24="","",IFERROR(MATCH(D24,'Accounts Overview'!$B$2:$B$100,0),""))</f>
        <v>8</v>
      </c>
    </row>
    <row r="25" spans="1:18" ht="15" customHeight="1" x14ac:dyDescent="0.35">
      <c r="A25" s="13" t="str">
        <f t="shared" si="0"/>
        <v>ENG0024</v>
      </c>
      <c r="B25" s="13" t="str">
        <f t="shared" si="1"/>
        <v>CON0024</v>
      </c>
      <c r="C25" s="1" t="str">
        <f>IFERROR(INDEX('Input Contact Information'!$C$2:$C$200,MATCH(ROW()-1,'Input Contact Information'!$V$2:$V$200,0)),"")</f>
        <v>Shaikha Al Muftah</v>
      </c>
      <c r="D25" s="1" t="str">
        <f>IFERROR(INDEX('Input Contact Information'!$B$2:$B$200,MATCH(ROW()-1,'Input Contact Information'!$V$2:$V$200,0)),"")</f>
        <v>Qatar Insurance Company</v>
      </c>
      <c r="E25" s="1" t="str">
        <f>IF($C25="","",IF(R25="","",IF(INDEX('Accounts Overview'!$A$2:$A$100,R25)="","",INDEX('Accounts Overview'!$A$2:$A$100,R25))))</f>
        <v>ACC0008</v>
      </c>
      <c r="F25" s="1" t="str">
        <f>IF($C25="","",IF(P25="","",IF(INDEX('Input Contact Information'!$D$2:$D$200,P25)="","",INDEX('Input Contact Information'!$D$2:$D$200,P25))))</f>
        <v>Senior Manager, Strategy</v>
      </c>
      <c r="G25" s="1" t="str">
        <f>IF($C25="","",IF(P25="","",IF(INDEX('Input Contact Information'!$A$2:$A$200,P25)="","",INDEX('Input Contact Information'!$A$2:$A$200,P25))))</f>
        <v>Kyle Strong</v>
      </c>
      <c r="H25" s="1" t="str">
        <f>IF($C25="","",IF(R25="","",IF(INDEX('Accounts Overview'!$I$2:$I$100,R25)="","",INDEX('Accounts Overview'!$I$2:$I$100,R25))))</f>
        <v>Stanislav Gaiduk</v>
      </c>
      <c r="I25" s="1" t="str">
        <f t="shared" ca="1" si="2"/>
        <v>For Review</v>
      </c>
      <c r="J25" s="12">
        <f>IF($C25="","",IF(P25="","",IF(INDEX('Input Contact Information'!$Q$2:$Q$200,P25)="","",INDEX('Input Contact Information'!$Q$2:$Q$200,P25))))</f>
        <v>46009</v>
      </c>
      <c r="K25" s="14">
        <f t="shared" ca="1" si="3"/>
        <v>287</v>
      </c>
      <c r="L25" s="1">
        <f t="shared" si="4"/>
        <v>181</v>
      </c>
      <c r="M25" s="1">
        <f t="shared" si="5"/>
        <v>366</v>
      </c>
      <c r="N25" s="12">
        <f t="shared" ca="1" si="6"/>
        <v>46296</v>
      </c>
      <c r="O25" s="1" t="str">
        <f>IF($C25="","",IF(P25="","",IF(INDEX('Input Contact Information'!$R$2:$R$200,P25)="","",INDEX('Input Contact Information'!$R$2:$R$200,P25))))</f>
        <v/>
      </c>
      <c r="P25" s="1">
        <f>IF(C25="","",IFERROR(MATCH(C25&amp;"|"&amp;D25,'Input Contact Information'!$W$2:$W$200,0),""))</f>
        <v>24</v>
      </c>
      <c r="Q25" s="1" t="str">
        <f>IF($C25="","",IF((IF(P25="","",IF(INDEX('Input Contact Information'!$N$2:$N$200,P25)="","",INDEX('Input Contact Information'!$N$2:$N$200,P25))))&lt;&gt;"",IF(P25="","",IF(INDEX('Input Contact Information'!$N$2:$N$200,P25)="","",INDEX('Input Contact Information'!$N$2:$N$200,P25))),IF(P25="","",IF(INDEX('Input Contact Information'!$M$2:$M$200,P25)="","",INDEX('Input Contact Information'!$M$2:$M$200,P25)))))</f>
        <v>Tier 3</v>
      </c>
      <c r="R25" s="1">
        <f>IF(D25="","",IFERROR(MATCH(D25,'Accounts Overview'!$B$2:$B$100,0),""))</f>
        <v>8</v>
      </c>
    </row>
    <row r="26" spans="1:18" ht="15" customHeight="1" x14ac:dyDescent="0.35">
      <c r="A26" s="13" t="str">
        <f t="shared" si="0"/>
        <v>ENG0025</v>
      </c>
      <c r="B26" s="13" t="str">
        <f t="shared" si="1"/>
        <v>CON0025</v>
      </c>
      <c r="C26" s="1" t="str">
        <f>IFERROR(INDEX('Input Contact Information'!$C$2:$C$200,MATCH(ROW()-1,'Input Contact Information'!$V$2:$V$200,0)),"")</f>
        <v>Bader Al Emadi</v>
      </c>
      <c r="D26" s="1" t="str">
        <f>IFERROR(INDEX('Input Contact Information'!$B$2:$B$200,MATCH(ROW()-1,'Input Contact Information'!$V$2:$V$200,0)),"")</f>
        <v>Nakilat</v>
      </c>
      <c r="E26" s="1" t="str">
        <f>IF($C26="","",IF(R26="","",IF(INDEX('Accounts Overview'!$A$2:$A$100,R26)="","",INDEX('Accounts Overview'!$A$2:$A$100,R26))))</f>
        <v>ACC0009</v>
      </c>
      <c r="F26" s="1" t="str">
        <f>IF($C26="","",IF(P26="","",IF(INDEX('Input Contact Information'!$D$2:$D$200,P26)="","",INDEX('Input Contact Information'!$D$2:$D$200,P26))))</f>
        <v>Vice President, Strategy</v>
      </c>
      <c r="G26" s="1" t="str">
        <f>IF($C26="","",IF(P26="","",IF(INDEX('Input Contact Information'!$A$2:$A$200,P26)="","",INDEX('Input Contact Information'!$A$2:$A$200,P26))))</f>
        <v>Sergey Glushkin</v>
      </c>
      <c r="H26" s="1" t="str">
        <f>IF($C26="","",IF(R26="","",IF(INDEX('Accounts Overview'!$I$2:$I$100,R26)="","",INDEX('Accounts Overview'!$I$2:$I$100,R26))))</f>
        <v>Badaoui Saroufim</v>
      </c>
      <c r="I26" s="1" t="str">
        <f t="shared" ca="1" si="2"/>
        <v>For Review</v>
      </c>
      <c r="J26" s="12">
        <f>IF($C26="","",IF(P26="","",IF(INDEX('Input Contact Information'!$Q$2:$Q$200,P26)="","",INDEX('Input Contact Information'!$Q$2:$Q$200,P26))))</f>
        <v>46199</v>
      </c>
      <c r="K26" s="14">
        <f t="shared" ca="1" si="3"/>
        <v>97</v>
      </c>
      <c r="L26" s="1">
        <f t="shared" si="4"/>
        <v>91</v>
      </c>
      <c r="M26" s="1">
        <f t="shared" si="5"/>
        <v>181</v>
      </c>
      <c r="N26" s="12">
        <f t="shared" ca="1" si="6"/>
        <v>46296</v>
      </c>
      <c r="O26" s="1" t="str">
        <f>IF($C26="","",IF(P26="","",IF(INDEX('Input Contact Information'!$R$2:$R$200,P26)="","",INDEX('Input Contact Information'!$R$2:$R$200,P26))))</f>
        <v/>
      </c>
      <c r="P26" s="1">
        <f>IF(C26="","",IFERROR(MATCH(C26&amp;"|"&amp;D26,'Input Contact Information'!$W$2:$W$200,0),""))</f>
        <v>25</v>
      </c>
      <c r="Q26" s="1" t="str">
        <f>IF($C26="","",IF((IF(P26="","",IF(INDEX('Input Contact Information'!$N$2:$N$200,P26)="","",INDEX('Input Contact Information'!$N$2:$N$200,P26))))&lt;&gt;"",IF(P26="","",IF(INDEX('Input Contact Information'!$N$2:$N$200,P26)="","",INDEX('Input Contact Information'!$N$2:$N$200,P26))),IF(P26="","",IF(INDEX('Input Contact Information'!$M$2:$M$200,P26)="","",INDEX('Input Contact Information'!$M$2:$M$200,P26)))))</f>
        <v>Tier 2</v>
      </c>
      <c r="R26" s="1">
        <f>IF(D26="","",IFERROR(MATCH(D26,'Accounts Overview'!$B$2:$B$100,0),""))</f>
        <v>9</v>
      </c>
    </row>
    <row r="27" spans="1:18" ht="15" customHeight="1" x14ac:dyDescent="0.35">
      <c r="A27" s="13" t="str">
        <f t="shared" si="0"/>
        <v>ENG0026</v>
      </c>
      <c r="B27" s="13" t="str">
        <f t="shared" si="1"/>
        <v>CON0026</v>
      </c>
      <c r="C27" s="1" t="str">
        <f>IFERROR(INDEX('Input Contact Information'!$C$2:$C$200,MATCH(ROW()-1,'Input Contact Information'!$V$2:$V$200,0)),"")</f>
        <v>Maryam Al Rayes</v>
      </c>
      <c r="D27" s="1" t="str">
        <f>IFERROR(INDEX('Input Contact Information'!$B$2:$B$200,MATCH(ROW()-1,'Input Contact Information'!$V$2:$V$200,0)),"")</f>
        <v>Nakilat</v>
      </c>
      <c r="E27" s="1" t="str">
        <f>IF($C27="","",IF(R27="","",IF(INDEX('Accounts Overview'!$A$2:$A$100,R27)="","",INDEX('Accounts Overview'!$A$2:$A$100,R27))))</f>
        <v>ACC0009</v>
      </c>
      <c r="F27" s="1" t="str">
        <f>IF($C27="","",IF(P27="","",IF(INDEX('Input Contact Information'!$D$2:$D$200,P27)="","",INDEX('Input Contact Information'!$D$2:$D$200,P27))))</f>
        <v>Director, Transformation</v>
      </c>
      <c r="G27" s="1" t="str">
        <f>IF($C27="","",IF(P27="","",IF(INDEX('Input Contact Information'!$A$2:$A$200,P27)="","",INDEX('Input Contact Information'!$A$2:$A$200,P27))))</f>
        <v>Sergey Glushkin</v>
      </c>
      <c r="H27" s="1" t="str">
        <f>IF($C27="","",IF(R27="","",IF(INDEX('Accounts Overview'!$I$2:$I$100,R27)="","",INDEX('Accounts Overview'!$I$2:$I$100,R27))))</f>
        <v>Badaoui Saroufim</v>
      </c>
      <c r="I27" s="1" t="str">
        <f t="shared" ca="1" si="2"/>
        <v>Overdue</v>
      </c>
      <c r="J27" s="12">
        <f>IF($C27="","",IF(P27="","",IF(INDEX('Input Contact Information'!$Q$2:$Q$200,P27)="","",INDEX('Input Contact Information'!$Q$2:$Q$200,P27))))</f>
        <v>46109</v>
      </c>
      <c r="K27" s="14">
        <f t="shared" ca="1" si="3"/>
        <v>187</v>
      </c>
      <c r="L27" s="1">
        <f t="shared" si="4"/>
        <v>91</v>
      </c>
      <c r="M27" s="1">
        <f t="shared" si="5"/>
        <v>181</v>
      </c>
      <c r="N27" s="12">
        <f t="shared" ca="1" si="6"/>
        <v>46296</v>
      </c>
      <c r="O27" s="1" t="str">
        <f>IF($C27="","",IF(P27="","",IF(INDEX('Input Contact Information'!$R$2:$R$200,P27)="","",INDEX('Input Contact Information'!$R$2:$R$200,P27))))</f>
        <v>Meeting fixed for next week</v>
      </c>
      <c r="P27" s="1">
        <f>IF(C27="","",IFERROR(MATCH(C27&amp;"|"&amp;D27,'Input Contact Information'!$W$2:$W$200,0),""))</f>
        <v>26</v>
      </c>
      <c r="Q27" s="1" t="str">
        <f>IF($C27="","",IF((IF(P27="","",IF(INDEX('Input Contact Information'!$N$2:$N$200,P27)="","",INDEX('Input Contact Information'!$N$2:$N$200,P27))))&lt;&gt;"",IF(P27="","",IF(INDEX('Input Contact Information'!$N$2:$N$200,P27)="","",INDEX('Input Contact Information'!$N$2:$N$200,P27))),IF(P27="","",IF(INDEX('Input Contact Information'!$M$2:$M$200,P27)="","",INDEX('Input Contact Information'!$M$2:$M$200,P27)))))</f>
        <v>Tier 2</v>
      </c>
      <c r="R27" s="1">
        <f>IF(D27="","",IFERROR(MATCH(D27,'Accounts Overview'!$B$2:$B$100,0),""))</f>
        <v>9</v>
      </c>
    </row>
    <row r="28" spans="1:18" ht="15" customHeight="1" x14ac:dyDescent="0.35">
      <c r="A28" s="13" t="str">
        <f t="shared" si="0"/>
        <v>ENG0027</v>
      </c>
      <c r="B28" s="13" t="str">
        <f t="shared" si="1"/>
        <v>CON0027</v>
      </c>
      <c r="C28" s="1" t="str">
        <f>IFERROR(INDEX('Input Contact Information'!$C$2:$C$200,MATCH(ROW()-1,'Input Contact Information'!$V$2:$V$200,0)),"")</f>
        <v>Noura Al Derham</v>
      </c>
      <c r="D28" s="1" t="str">
        <f>IFERROR(INDEX('Input Contact Information'!$B$2:$B$200,MATCH(ROW()-1,'Input Contact Information'!$V$2:$V$200,0)),"")</f>
        <v>United Development Company</v>
      </c>
      <c r="E28" s="1" t="str">
        <f>IF($C28="","",IF(R28="","",IF(INDEX('Accounts Overview'!$A$2:$A$100,R28)="","",INDEX('Accounts Overview'!$A$2:$A$100,R28))))</f>
        <v>ACC0010</v>
      </c>
      <c r="F28" s="1" t="str">
        <f>IF($C28="","",IF(P28="","",IF(INDEX('Input Contact Information'!$D$2:$D$200,P28)="","",INDEX('Input Contact Information'!$D$2:$D$200,P28))))</f>
        <v>Chief Executive Officer</v>
      </c>
      <c r="G28" s="1" t="str">
        <f>IF($C28="","",IF(P28="","",IF(INDEX('Input Contact Information'!$A$2:$A$200,P28)="","",INDEX('Input Contact Information'!$A$2:$A$200,P28))))</f>
        <v>Naveed Vakil</v>
      </c>
      <c r="H28" s="1" t="str">
        <f>IF($C28="","",IF(R28="","",IF(INDEX('Accounts Overview'!$I$2:$I$100,R28)="","",INDEX('Accounts Overview'!$I$2:$I$100,R28))))</f>
        <v>Meher Ben Marzouk</v>
      </c>
      <c r="I28" s="1" t="str">
        <f t="shared" ca="1" si="2"/>
        <v>For Review</v>
      </c>
      <c r="J28" s="12">
        <f>IF($C28="","",IF(P28="","",IF(INDEX('Input Contact Information'!$Q$2:$Q$200,P28)="","",INDEX('Input Contact Information'!$Q$2:$Q$200,P28))))</f>
        <v>46199</v>
      </c>
      <c r="K28" s="14">
        <f t="shared" ca="1" si="3"/>
        <v>97</v>
      </c>
      <c r="L28" s="1">
        <f t="shared" si="4"/>
        <v>91</v>
      </c>
      <c r="M28" s="1">
        <f t="shared" si="5"/>
        <v>181</v>
      </c>
      <c r="N28" s="12">
        <f t="shared" ca="1" si="6"/>
        <v>46296</v>
      </c>
      <c r="O28" s="1" t="str">
        <f>IF($C28="","",IF(P28="","",IF(INDEX('Input Contact Information'!$R$2:$R$200,P28)="","",INDEX('Input Contact Information'!$R$2:$R$200,P28))))</f>
        <v/>
      </c>
      <c r="P28" s="1">
        <f>IF(C28="","",IFERROR(MATCH(C28&amp;"|"&amp;D28,'Input Contact Information'!$W$2:$W$200,0),""))</f>
        <v>27</v>
      </c>
      <c r="Q28" s="1" t="str">
        <f>IF($C28="","",IF((IF(P28="","",IF(INDEX('Input Contact Information'!$N$2:$N$200,P28)="","",INDEX('Input Contact Information'!$N$2:$N$200,P28))))&lt;&gt;"",IF(P28="","",IF(INDEX('Input Contact Information'!$N$2:$N$200,P28)="","",INDEX('Input Contact Information'!$N$2:$N$200,P28))),IF(P28="","",IF(INDEX('Input Contact Information'!$M$2:$M$200,P28)="","",INDEX('Input Contact Information'!$M$2:$M$200,P28)))))</f>
        <v>Tier 2</v>
      </c>
      <c r="R28" s="1">
        <f>IF(D28="","",IFERROR(MATCH(D28,'Accounts Overview'!$B$2:$B$100,0),""))</f>
        <v>10</v>
      </c>
    </row>
    <row r="29" spans="1:18" ht="15" customHeight="1" x14ac:dyDescent="0.35">
      <c r="A29" s="13" t="str">
        <f t="shared" si="0"/>
        <v>ENG0028</v>
      </c>
      <c r="B29" s="13" t="str">
        <f t="shared" si="1"/>
        <v>CON0028</v>
      </c>
      <c r="C29" s="1" t="str">
        <f>IFERROR(INDEX('Input Contact Information'!$C$2:$C$200,MATCH(ROW()-1,'Input Contact Information'!$V$2:$V$200,0)),"")</f>
        <v>Waleed Al Khater</v>
      </c>
      <c r="D29" s="1" t="str">
        <f>IFERROR(INDEX('Input Contact Information'!$B$2:$B$200,MATCH(ROW()-1,'Input Contact Information'!$V$2:$V$200,0)),"")</f>
        <v>United Development Company</v>
      </c>
      <c r="E29" s="1" t="str">
        <f>IF($C29="","",IF(R29="","",IF(INDEX('Accounts Overview'!$A$2:$A$100,R29)="","",INDEX('Accounts Overview'!$A$2:$A$100,R29))))</f>
        <v>ACC0010</v>
      </c>
      <c r="F29" s="1" t="str">
        <f>IF($C29="","",IF(P29="","",IF(INDEX('Input Contact Information'!$D$2:$D$200,P29)="","",INDEX('Input Contact Information'!$D$2:$D$200,P29))))</f>
        <v>Chief Strategy Officer</v>
      </c>
      <c r="G29" s="1" t="str">
        <f>IF($C29="","",IF(P29="","",IF(INDEX('Input Contact Information'!$A$2:$A$200,P29)="","",INDEX('Input Contact Information'!$A$2:$A$200,P29))))</f>
        <v>Naveed Vakil</v>
      </c>
      <c r="H29" s="1" t="str">
        <f>IF($C29="","",IF(R29="","",IF(INDEX('Accounts Overview'!$I$2:$I$100,R29)="","",INDEX('Accounts Overview'!$I$2:$I$100,R29))))</f>
        <v>Meher Ben Marzouk</v>
      </c>
      <c r="I29" s="1" t="str">
        <f t="shared" ca="1" si="2"/>
        <v>Overdue</v>
      </c>
      <c r="J29" s="12">
        <f>IF($C29="","",IF(P29="","",IF(INDEX('Input Contact Information'!$Q$2:$Q$200,P29)="","",INDEX('Input Contact Information'!$Q$2:$Q$200,P29))))</f>
        <v>46109</v>
      </c>
      <c r="K29" s="14">
        <f t="shared" ca="1" si="3"/>
        <v>187</v>
      </c>
      <c r="L29" s="1">
        <f t="shared" si="4"/>
        <v>91</v>
      </c>
      <c r="M29" s="1">
        <f t="shared" si="5"/>
        <v>181</v>
      </c>
      <c r="N29" s="12">
        <f t="shared" ca="1" si="6"/>
        <v>46296</v>
      </c>
      <c r="O29" s="1" t="str">
        <f>IF($C29="","",IF(P29="","",IF(INDEX('Input Contact Information'!$R$2:$R$200,P29)="","",INDEX('Input Contact Information'!$R$2:$R$200,P29))))</f>
        <v/>
      </c>
      <c r="P29" s="1">
        <f>IF(C29="","",IFERROR(MATCH(C29&amp;"|"&amp;D29,'Input Contact Information'!$W$2:$W$200,0),""))</f>
        <v>28</v>
      </c>
      <c r="Q29" s="1" t="str">
        <f>IF($C29="","",IF((IF(P29="","",IF(INDEX('Input Contact Information'!$N$2:$N$200,P29)="","",INDEX('Input Contact Information'!$N$2:$N$200,P29))))&lt;&gt;"",IF(P29="","",IF(INDEX('Input Contact Information'!$N$2:$N$200,P29)="","",INDEX('Input Contact Information'!$N$2:$N$200,P29))),IF(P29="","",IF(INDEX('Input Contact Information'!$M$2:$M$200,P29)="","",INDEX('Input Contact Information'!$M$2:$M$200,P29)))))</f>
        <v>Tier 2</v>
      </c>
      <c r="R29" s="1">
        <f>IF(D29="","",IFERROR(MATCH(D29,'Accounts Overview'!$B$2:$B$100,0),""))</f>
        <v>10</v>
      </c>
    </row>
    <row r="30" spans="1:18" ht="15" customHeight="1" x14ac:dyDescent="0.35">
      <c r="A30" s="13" t="str">
        <f t="shared" si="0"/>
        <v>ENG0029</v>
      </c>
      <c r="B30" s="13" t="str">
        <f t="shared" si="1"/>
        <v>CON0029</v>
      </c>
      <c r="C30" s="1" t="str">
        <f>IFERROR(INDEX('Input Contact Information'!$C$2:$C$200,MATCH(ROW()-1,'Input Contact Information'!$V$2:$V$200,0)),"")</f>
        <v>Hind Al Qasimi</v>
      </c>
      <c r="D30" s="1" t="str">
        <f>IFERROR(INDEX('Input Contact Information'!$B$2:$B$200,MATCH(ROW()-1,'Input Contact Information'!$V$2:$V$200,0)),"")</f>
        <v>United Development Company</v>
      </c>
      <c r="E30" s="1" t="str">
        <f>IF($C30="","",IF(R30="","",IF(INDEX('Accounts Overview'!$A$2:$A$100,R30)="","",INDEX('Accounts Overview'!$A$2:$A$100,R30))))</f>
        <v>ACC0010</v>
      </c>
      <c r="F30" s="1" t="str">
        <f>IF($C30="","",IF(P30="","",IF(INDEX('Input Contact Information'!$D$2:$D$200,P30)="","",INDEX('Input Contact Information'!$D$2:$D$200,P30))))</f>
        <v>Vice President, Strategy</v>
      </c>
      <c r="G30" s="1" t="str">
        <f>IF($C30="","",IF(P30="","",IF(INDEX('Input Contact Information'!$A$2:$A$200,P30)="","",INDEX('Input Contact Information'!$A$2:$A$200,P30))))</f>
        <v>Naveed Vakil</v>
      </c>
      <c r="H30" s="1" t="str">
        <f>IF($C30="","",IF(R30="","",IF(INDEX('Accounts Overview'!$I$2:$I$100,R30)="","",INDEX('Accounts Overview'!$I$2:$I$100,R30))))</f>
        <v>Meher Ben Marzouk</v>
      </c>
      <c r="I30" s="1" t="str">
        <f t="shared" ca="1" si="2"/>
        <v>Overdue</v>
      </c>
      <c r="J30" s="12">
        <f>IF($C30="","",IF(P30="","",IF(INDEX('Input Contact Information'!$Q$2:$Q$200,P30)="","",INDEX('Input Contact Information'!$Q$2:$Q$200,P30))))</f>
        <v>46009</v>
      </c>
      <c r="K30" s="14">
        <f t="shared" ca="1" si="3"/>
        <v>287</v>
      </c>
      <c r="L30" s="1">
        <f t="shared" si="4"/>
        <v>91</v>
      </c>
      <c r="M30" s="1">
        <f t="shared" si="5"/>
        <v>181</v>
      </c>
      <c r="N30" s="12">
        <f t="shared" ca="1" si="6"/>
        <v>46296</v>
      </c>
      <c r="O30" s="1" t="str">
        <f>IF($C30="","",IF(P30="","",IF(INDEX('Input Contact Information'!$R$2:$R$200,P30)="","",INDEX('Input Contact Information'!$R$2:$R$200,P30))))</f>
        <v/>
      </c>
      <c r="P30" s="1">
        <f>IF(C30="","",IFERROR(MATCH(C30&amp;"|"&amp;D30,'Input Contact Information'!$W$2:$W$200,0),""))</f>
        <v>29</v>
      </c>
      <c r="Q30" s="1" t="str">
        <f>IF($C30="","",IF((IF(P30="","",IF(INDEX('Input Contact Information'!$N$2:$N$200,P30)="","",INDEX('Input Contact Information'!$N$2:$N$200,P30))))&lt;&gt;"",IF(P30="","",IF(INDEX('Input Contact Information'!$N$2:$N$200,P30)="","",INDEX('Input Contact Information'!$N$2:$N$200,P30))),IF(P30="","",IF(INDEX('Input Contact Information'!$M$2:$M$200,P30)="","",INDEX('Input Contact Information'!$M$2:$M$200,P30)))))</f>
        <v>Tier 2</v>
      </c>
      <c r="R30" s="1">
        <f>IF(D30="","",IFERROR(MATCH(D30,'Accounts Overview'!$B$2:$B$100,0),""))</f>
        <v>10</v>
      </c>
    </row>
    <row r="31" spans="1:18" ht="15" customHeight="1" x14ac:dyDescent="0.35">
      <c r="A31" s="13" t="str">
        <f t="shared" si="0"/>
        <v>ENG0030</v>
      </c>
      <c r="B31" s="13" t="str">
        <f t="shared" si="1"/>
        <v>CON0030</v>
      </c>
      <c r="C31" s="1" t="str">
        <f>IFERROR(INDEX('Input Contact Information'!$C$2:$C$200,MATCH(ROW()-1,'Input Contact Information'!$V$2:$V$200,0)),"")</f>
        <v>Majed Al Shafi</v>
      </c>
      <c r="D31" s="1" t="str">
        <f>IFERROR(INDEX('Input Contact Information'!$B$2:$B$200,MATCH(ROW()-1,'Input Contact Information'!$V$2:$V$200,0)),"")</f>
        <v>Milaha</v>
      </c>
      <c r="E31" s="1" t="str">
        <f>IF($C31="","",IF(R31="","",IF(INDEX('Accounts Overview'!$A$2:$A$100,R31)="","",INDEX('Accounts Overview'!$A$2:$A$100,R31))))</f>
        <v>ACC0011</v>
      </c>
      <c r="F31" s="1" t="str">
        <f>IF($C31="","",IF(P31="","",IF(INDEX('Input Contact Information'!$D$2:$D$200,P31)="","",INDEX('Input Contact Information'!$D$2:$D$200,P31))))</f>
        <v>Vice President, Strategy</v>
      </c>
      <c r="G31" s="1" t="str">
        <f>IF($C31="","",IF(P31="","",IF(INDEX('Input Contact Information'!$A$2:$A$200,P31)="","",INDEX('Input Contact Information'!$A$2:$A$200,P31))))</f>
        <v>Reda Jennane</v>
      </c>
      <c r="H31" s="1" t="str">
        <f>IF($C31="","",IF(R31="","",IF(INDEX('Accounts Overview'!$I$2:$I$100,R31)="","",INDEX('Accounts Overview'!$I$2:$I$100,R31))))</f>
        <v>Sidhant Shetty</v>
      </c>
      <c r="I31" s="1" t="str">
        <f t="shared" ca="1" si="2"/>
        <v>On Track</v>
      </c>
      <c r="J31" s="12">
        <f>IF($C31="","",IF(P31="","",IF(INDEX('Input Contact Information'!$Q$2:$Q$200,P31)="","",INDEX('Input Contact Information'!$Q$2:$Q$200,P31))))</f>
        <v>46139</v>
      </c>
      <c r="K31" s="14">
        <f t="shared" ca="1" si="3"/>
        <v>157</v>
      </c>
      <c r="L31" s="1">
        <f t="shared" si="4"/>
        <v>181</v>
      </c>
      <c r="M31" s="1">
        <f t="shared" si="5"/>
        <v>366</v>
      </c>
      <c r="N31" s="12">
        <f t="shared" ca="1" si="6"/>
        <v>46296</v>
      </c>
      <c r="O31" s="1" t="str">
        <f>IF($C31="","",IF(P31="","",IF(INDEX('Input Contact Information'!$R$2:$R$200,P31)="","",INDEX('Input Contact Information'!$R$2:$R$200,P31))))</f>
        <v/>
      </c>
      <c r="P31" s="1">
        <f>IF(C31="","",IFERROR(MATCH(C31&amp;"|"&amp;D31,'Input Contact Information'!$W$2:$W$200,0),""))</f>
        <v>30</v>
      </c>
      <c r="Q31" s="1" t="str">
        <f>IF($C31="","",IF((IF(P31="","",IF(INDEX('Input Contact Information'!$N$2:$N$200,P31)="","",INDEX('Input Contact Information'!$N$2:$N$200,P31))))&lt;&gt;"",IF(P31="","",IF(INDEX('Input Contact Information'!$N$2:$N$200,P31)="","",INDEX('Input Contact Information'!$N$2:$N$200,P31))),IF(P31="","",IF(INDEX('Input Contact Information'!$M$2:$M$200,P31)="","",INDEX('Input Contact Information'!$M$2:$M$200,P31)))))</f>
        <v>Tier 3</v>
      </c>
      <c r="R31" s="1">
        <f>IF(D31="","",IFERROR(MATCH(D31,'Accounts Overview'!$B$2:$B$100,0),""))</f>
        <v>11</v>
      </c>
    </row>
    <row r="32" spans="1:18" ht="15" customHeight="1" x14ac:dyDescent="0.35">
      <c r="A32" s="13" t="str">
        <f t="shared" si="0"/>
        <v>ENG0031</v>
      </c>
      <c r="B32" s="13" t="str">
        <f t="shared" si="1"/>
        <v>CON0031</v>
      </c>
      <c r="C32" s="1" t="str">
        <f>IFERROR(INDEX('Input Contact Information'!$C$2:$C$200,MATCH(ROW()-1,'Input Contact Information'!$V$2:$V$200,0)),"")</f>
        <v>Jawaher Al Murikhi</v>
      </c>
      <c r="D32" s="1" t="str">
        <f>IFERROR(INDEX('Input Contact Information'!$B$2:$B$200,MATCH(ROW()-1,'Input Contact Information'!$V$2:$V$200,0)),"")</f>
        <v>Milaha</v>
      </c>
      <c r="E32" s="1" t="str">
        <f>IF($C32="","",IF(R32="","",IF(INDEX('Accounts Overview'!$A$2:$A$100,R32)="","",INDEX('Accounts Overview'!$A$2:$A$100,R32))))</f>
        <v>ACC0011</v>
      </c>
      <c r="F32" s="1" t="str">
        <f>IF($C32="","",IF(P32="","",IF(INDEX('Input Contact Information'!$D$2:$D$200,P32)="","",INDEX('Input Contact Information'!$D$2:$D$200,P32))))</f>
        <v>Director, Transformation</v>
      </c>
      <c r="G32" s="1" t="str">
        <f>IF($C32="","",IF(P32="","",IF(INDEX('Input Contact Information'!$A$2:$A$200,P32)="","",INDEX('Input Contact Information'!$A$2:$A$200,P32))))</f>
        <v>Reda Jennane</v>
      </c>
      <c r="H32" s="1" t="str">
        <f>IF($C32="","",IF(R32="","",IF(INDEX('Accounts Overview'!$I$2:$I$100,R32)="","",INDEX('Accounts Overview'!$I$2:$I$100,R32))))</f>
        <v>Sidhant Shetty</v>
      </c>
      <c r="I32" s="1" t="str">
        <f t="shared" ca="1" si="2"/>
        <v>For Review</v>
      </c>
      <c r="J32" s="12">
        <f>IF($C32="","",IF(P32="","",IF(INDEX('Input Contact Information'!$Q$2:$Q$200,P32)="","",INDEX('Input Contact Information'!$Q$2:$Q$200,P32))))</f>
        <v>45979</v>
      </c>
      <c r="K32" s="14">
        <f t="shared" ca="1" si="3"/>
        <v>317</v>
      </c>
      <c r="L32" s="1">
        <f t="shared" si="4"/>
        <v>181</v>
      </c>
      <c r="M32" s="1">
        <f t="shared" si="5"/>
        <v>366</v>
      </c>
      <c r="N32" s="12">
        <f t="shared" ca="1" si="6"/>
        <v>46296</v>
      </c>
      <c r="O32" s="1" t="str">
        <f>IF($C32="","",IF(P32="","",IF(INDEX('Input Contact Information'!$R$2:$R$200,P32)="","",INDEX('Input Contact Information'!$R$2:$R$200,P32))))</f>
        <v/>
      </c>
      <c r="P32" s="1">
        <f>IF(C32="","",IFERROR(MATCH(C32&amp;"|"&amp;D32,'Input Contact Information'!$W$2:$W$200,0),""))</f>
        <v>31</v>
      </c>
      <c r="Q32" s="1" t="str">
        <f>IF($C32="","",IF((IF(P32="","",IF(INDEX('Input Contact Information'!$N$2:$N$200,P32)="","",INDEX('Input Contact Information'!$N$2:$N$200,P32))))&lt;&gt;"",IF(P32="","",IF(INDEX('Input Contact Information'!$N$2:$N$200,P32)="","",INDEX('Input Contact Information'!$N$2:$N$200,P32))),IF(P32="","",IF(INDEX('Input Contact Information'!$M$2:$M$200,P32)="","",INDEX('Input Contact Information'!$M$2:$M$200,P32)))))</f>
        <v>Tier 3</v>
      </c>
      <c r="R32" s="1">
        <f>IF(D32="","",IFERROR(MATCH(D32,'Accounts Overview'!$B$2:$B$100,0),""))</f>
        <v>11</v>
      </c>
    </row>
    <row r="33" spans="1:18" ht="15" customHeight="1" x14ac:dyDescent="0.35">
      <c r="A33" s="13" t="str">
        <f t="shared" si="0"/>
        <v>ENG0032</v>
      </c>
      <c r="B33" s="13" t="str">
        <f t="shared" si="1"/>
        <v>CON0032</v>
      </c>
      <c r="C33" s="1" t="str">
        <f>IFERROR(INDEX('Input Contact Information'!$C$2:$C$200,MATCH(ROW()-1,'Input Contact Information'!$V$2:$V$200,0)),"")</f>
        <v>Thamer Al Misnad</v>
      </c>
      <c r="D33" s="1" t="str">
        <f>IFERROR(INDEX('Input Contact Information'!$B$2:$B$200,MATCH(ROW()-1,'Input Contact Information'!$V$2:$V$200,0)),"")</f>
        <v>Milaha</v>
      </c>
      <c r="E33" s="1" t="str">
        <f>IF($C33="","",IF(R33="","",IF(INDEX('Accounts Overview'!$A$2:$A$100,R33)="","",INDEX('Accounts Overview'!$A$2:$A$100,R33))))</f>
        <v>ACC0011</v>
      </c>
      <c r="F33" s="1" t="str">
        <f>IF($C33="","",IF(P33="","",IF(INDEX('Input Contact Information'!$D$2:$D$200,P33)="","",INDEX('Input Contact Information'!$D$2:$D$200,P33))))</f>
        <v>Senior Manager, Strategy</v>
      </c>
      <c r="G33" s="1" t="str">
        <f>IF($C33="","",IF(P33="","",IF(INDEX('Input Contact Information'!$A$2:$A$200,P33)="","",INDEX('Input Contact Information'!$A$2:$A$200,P33))))</f>
        <v>Reda Jennane</v>
      </c>
      <c r="H33" s="1" t="str">
        <f>IF($C33="","",IF(R33="","",IF(INDEX('Accounts Overview'!$I$2:$I$100,R33)="","",INDEX('Accounts Overview'!$I$2:$I$100,R33))))</f>
        <v>Sidhant Shetty</v>
      </c>
      <c r="I33" s="1" t="str">
        <f t="shared" ca="1" si="2"/>
        <v>Overdue</v>
      </c>
      <c r="J33" s="12">
        <f>IF($C33="","",IF(P33="","",IF(INDEX('Input Contact Information'!$Q$2:$Q$200,P33)="","",INDEX('Input Contact Information'!$Q$2:$Q$200,P33))))</f>
        <v>45809</v>
      </c>
      <c r="K33" s="14">
        <f t="shared" ca="1" si="3"/>
        <v>487</v>
      </c>
      <c r="L33" s="1">
        <f t="shared" si="4"/>
        <v>181</v>
      </c>
      <c r="M33" s="1">
        <f t="shared" si="5"/>
        <v>366</v>
      </c>
      <c r="N33" s="12">
        <f t="shared" ca="1" si="6"/>
        <v>46296</v>
      </c>
      <c r="O33" s="1" t="str">
        <f>IF($C33="","",IF(P33="","",IF(INDEX('Input Contact Information'!$R$2:$R$200,P33)="","",INDEX('Input Contact Information'!$R$2:$R$200,P33))))</f>
        <v/>
      </c>
      <c r="P33" s="1">
        <f>IF(C33="","",IFERROR(MATCH(C33&amp;"|"&amp;D33,'Input Contact Information'!$W$2:$W$200,0),""))</f>
        <v>32</v>
      </c>
      <c r="Q33" s="1" t="str">
        <f>IF($C33="","",IF((IF(P33="","",IF(INDEX('Input Contact Information'!$N$2:$N$200,P33)="","",INDEX('Input Contact Information'!$N$2:$N$200,P33))))&lt;&gt;"",IF(P33="","",IF(INDEX('Input Contact Information'!$N$2:$N$200,P33)="","",INDEX('Input Contact Information'!$N$2:$N$200,P33))),IF(P33="","",IF(INDEX('Input Contact Information'!$M$2:$M$200,P33)="","",INDEX('Input Contact Information'!$M$2:$M$200,P33)))))</f>
        <v>Tier 3</v>
      </c>
      <c r="R33" s="1">
        <f>IF(D33="","",IFERROR(MATCH(D33,'Accounts Overview'!$B$2:$B$100,0),""))</f>
        <v>11</v>
      </c>
    </row>
    <row r="34" spans="1:18" ht="15" customHeight="1" x14ac:dyDescent="0.35">
      <c r="A34" s="13" t="str">
        <f t="shared" ref="A34:A65" si="7">IF(C34="","","ENG"&amp;TEXT(ROW()-1,"0000"))</f>
        <v>ENG0033</v>
      </c>
      <c r="B34" s="13" t="str">
        <f t="shared" ref="B34:B65" si="8">IF(C34="","","CON"&amp;TEXT(ROW()-1,"0000"))</f>
        <v>CON0033</v>
      </c>
      <c r="C34" s="1" t="str">
        <f>IFERROR(INDEX('Input Contact Information'!$C$2:$C$200,MATCH(ROW()-1,'Input Contact Information'!$V$2:$V$200,0)),"")</f>
        <v>Latifa Al Shamlan</v>
      </c>
      <c r="D34" s="1" t="str">
        <f>IFERROR(INDEX('Input Contact Information'!$B$2:$B$200,MATCH(ROW()-1,'Input Contact Information'!$V$2:$V$200,0)),"")</f>
        <v>Baladna</v>
      </c>
      <c r="E34" s="1" t="str">
        <f>IF($C34="","",IF(R34="","",IF(INDEX('Accounts Overview'!$A$2:$A$100,R34)="","",INDEX('Accounts Overview'!$A$2:$A$100,R34))))</f>
        <v>ACC0012</v>
      </c>
      <c r="F34" s="1" t="str">
        <f>IF($C34="","",IF(P34="","",IF(INDEX('Input Contact Information'!$D$2:$D$200,P34)="","",INDEX('Input Contact Information'!$D$2:$D$200,P34))))</f>
        <v>Vice President, Strategy</v>
      </c>
      <c r="G34" s="1" t="str">
        <f>IF($C34="","",IF(P34="","",IF(INDEX('Input Contact Information'!$A$2:$A$200,P34)="","",INDEX('Input Contact Information'!$A$2:$A$200,P34))))</f>
        <v>Riccardo Terruzzi</v>
      </c>
      <c r="H34" s="1" t="str">
        <f>IF($C34="","",IF(R34="","",IF(INDEX('Accounts Overview'!$I$2:$I$100,R34)="","",INDEX('Accounts Overview'!$I$2:$I$100,R34))))</f>
        <v>Shantanu Mittal</v>
      </c>
      <c r="I34" s="1" t="str">
        <f t="shared" ref="I34:I65" ca="1" si="9">IF($C34="","",IF(J34="","No Task",IF((TODAY()-J34)&gt;=M34,"Overdue",IF((TODAY()-J34)&gt;=L34,"For Review","On Track"))))</f>
        <v>On Track</v>
      </c>
      <c r="J34" s="12">
        <f>IF($C34="","",IF(P34="","",IF(INDEX('Input Contact Information'!$Q$2:$Q$200,P34)="","",INDEX('Input Contact Information'!$Q$2:$Q$200,P34))))</f>
        <v>46139</v>
      </c>
      <c r="K34" s="14">
        <f t="shared" ref="K34:K65" ca="1" si="10">IF($C34="","",IF(J34="","",TODAY()-J34))</f>
        <v>157</v>
      </c>
      <c r="L34" s="1">
        <f t="shared" ref="L34:L65" si="11">IF($C34="","",IF(Q34="","",IF(Q34="Tier 1",31,IF(Q34="Tier 2",91,181))))</f>
        <v>181</v>
      </c>
      <c r="M34" s="1">
        <f t="shared" ref="M34:M65" si="12">IF($C34="","",IF(Q34="","",IF(Q34="Tier 1",61,IF(Q34="Tier 2",181,366))))</f>
        <v>366</v>
      </c>
      <c r="N34" s="12">
        <f t="shared" ref="N34:N65" ca="1" si="13">TODAY()</f>
        <v>46296</v>
      </c>
      <c r="O34" s="1" t="str">
        <f>IF($C34="","",IF(P34="","",IF(INDEX('Input Contact Information'!$R$2:$R$200,P34)="","",INDEX('Input Contact Information'!$R$2:$R$200,P34))))</f>
        <v/>
      </c>
      <c r="P34" s="1">
        <f>IF(C34="","",IFERROR(MATCH(C34&amp;"|"&amp;D34,'Input Contact Information'!$W$2:$W$200,0),""))</f>
        <v>33</v>
      </c>
      <c r="Q34" s="1" t="str">
        <f>IF($C34="","",IF((IF(P34="","",IF(INDEX('Input Contact Information'!$N$2:$N$200,P34)="","",INDEX('Input Contact Information'!$N$2:$N$200,P34))))&lt;&gt;"",IF(P34="","",IF(INDEX('Input Contact Information'!$N$2:$N$200,P34)="","",INDEX('Input Contact Information'!$N$2:$N$200,P34))),IF(P34="","",IF(INDEX('Input Contact Information'!$M$2:$M$200,P34)="","",INDEX('Input Contact Information'!$M$2:$M$200,P34)))))</f>
        <v>Tier 3</v>
      </c>
      <c r="R34" s="1">
        <f>IF(D34="","",IFERROR(MATCH(D34,'Accounts Overview'!$B$2:$B$100,0),""))</f>
        <v>12</v>
      </c>
    </row>
    <row r="35" spans="1:18" ht="15" customHeight="1" x14ac:dyDescent="0.35">
      <c r="A35" s="13" t="str">
        <f t="shared" si="7"/>
        <v>ENG0034</v>
      </c>
      <c r="B35" s="13" t="str">
        <f t="shared" si="8"/>
        <v>CON0034</v>
      </c>
      <c r="C35" s="1" t="str">
        <f>IFERROR(INDEX('Input Contact Information'!$C$2:$C$200,MATCH(ROW()-1,'Input Contact Information'!$V$2:$V$200,0)),"")</f>
        <v>Mansour Al Dehaimi</v>
      </c>
      <c r="D35" s="1" t="str">
        <f>IFERROR(INDEX('Input Contact Information'!$B$2:$B$200,MATCH(ROW()-1,'Input Contact Information'!$V$2:$V$200,0)),"")</f>
        <v>Baladna</v>
      </c>
      <c r="E35" s="1" t="str">
        <f>IF($C35="","",IF(R35="","",IF(INDEX('Accounts Overview'!$A$2:$A$100,R35)="","",INDEX('Accounts Overview'!$A$2:$A$100,R35))))</f>
        <v>ACC0012</v>
      </c>
      <c r="F35" s="1" t="str">
        <f>IF($C35="","",IF(P35="","",IF(INDEX('Input Contact Information'!$D$2:$D$200,P35)="","",INDEX('Input Contact Information'!$D$2:$D$200,P35))))</f>
        <v>Director, Transformation</v>
      </c>
      <c r="G35" s="1" t="str">
        <f>IF($C35="","",IF(P35="","",IF(INDEX('Input Contact Information'!$A$2:$A$200,P35)="","",INDEX('Input Contact Information'!$A$2:$A$200,P35))))</f>
        <v>Riccardo Terruzzi</v>
      </c>
      <c r="H35" s="1" t="str">
        <f>IF($C35="","",IF(R35="","",IF(INDEX('Accounts Overview'!$I$2:$I$100,R35)="","",INDEX('Accounts Overview'!$I$2:$I$100,R35))))</f>
        <v>Shantanu Mittal</v>
      </c>
      <c r="I35" s="1" t="str">
        <f t="shared" ca="1" si="9"/>
        <v>For Review</v>
      </c>
      <c r="J35" s="12">
        <f>IF($C35="","",IF(P35="","",IF(INDEX('Input Contact Information'!$Q$2:$Q$200,P35)="","",INDEX('Input Contact Information'!$Q$2:$Q$200,P35))))</f>
        <v>45979</v>
      </c>
      <c r="K35" s="14">
        <f t="shared" ca="1" si="10"/>
        <v>317</v>
      </c>
      <c r="L35" s="1">
        <f t="shared" si="11"/>
        <v>181</v>
      </c>
      <c r="M35" s="1">
        <f t="shared" si="12"/>
        <v>366</v>
      </c>
      <c r="N35" s="12">
        <f t="shared" ca="1" si="13"/>
        <v>46296</v>
      </c>
      <c r="O35" s="1" t="str">
        <f>IF($C35="","",IF(P35="","",IF(INDEX('Input Contact Information'!$R$2:$R$200,P35)="","",INDEX('Input Contact Information'!$R$2:$R$200,P35))))</f>
        <v/>
      </c>
      <c r="P35" s="1">
        <f>IF(C35="","",IFERROR(MATCH(C35&amp;"|"&amp;D35,'Input Contact Information'!$W$2:$W$200,0),""))</f>
        <v>34</v>
      </c>
      <c r="Q35" s="1" t="str">
        <f>IF($C35="","",IF((IF(P35="","",IF(INDEX('Input Contact Information'!$N$2:$N$200,P35)="","",INDEX('Input Contact Information'!$N$2:$N$200,P35))))&lt;&gt;"",IF(P35="","",IF(INDEX('Input Contact Information'!$N$2:$N$200,P35)="","",INDEX('Input Contact Information'!$N$2:$N$200,P35))),IF(P35="","",IF(INDEX('Input Contact Information'!$M$2:$M$200,P35)="","",INDEX('Input Contact Information'!$M$2:$M$200,P35)))))</f>
        <v>Tier 3</v>
      </c>
      <c r="R35" s="1">
        <f>IF(D35="","",IFERROR(MATCH(D35,'Accounts Overview'!$B$2:$B$100,0),""))</f>
        <v>12</v>
      </c>
    </row>
    <row r="36" spans="1:18" ht="15" customHeight="1" x14ac:dyDescent="0.35">
      <c r="A36" s="13" t="str">
        <f t="shared" si="7"/>
        <v>ENG0035</v>
      </c>
      <c r="B36" s="13" t="str">
        <f t="shared" si="8"/>
        <v>CON0035</v>
      </c>
      <c r="C36" s="1" t="str">
        <f>IFERROR(INDEX('Input Contact Information'!$C$2:$C$200,MATCH(ROW()-1,'Input Contact Information'!$V$2:$V$200,0)),"")</f>
        <v>Meirah Al Obaidly</v>
      </c>
      <c r="D36" s="1" t="str">
        <f>IFERROR(INDEX('Input Contact Information'!$B$2:$B$200,MATCH(ROW()-1,'Input Contact Information'!$V$2:$V$200,0)),"")</f>
        <v>Baladna</v>
      </c>
      <c r="E36" s="1" t="str">
        <f>IF($C36="","",IF(R36="","",IF(INDEX('Accounts Overview'!$A$2:$A$100,R36)="","",INDEX('Accounts Overview'!$A$2:$A$100,R36))))</f>
        <v>ACC0012</v>
      </c>
      <c r="F36" s="1" t="str">
        <f>IF($C36="","",IF(P36="","",IF(INDEX('Input Contact Information'!$D$2:$D$200,P36)="","",INDEX('Input Contact Information'!$D$2:$D$200,P36))))</f>
        <v>Senior Manager, Strategy</v>
      </c>
      <c r="G36" s="1" t="str">
        <f>IF($C36="","",IF(P36="","",IF(INDEX('Input Contact Information'!$A$2:$A$200,P36)="","",INDEX('Input Contact Information'!$A$2:$A$200,P36))))</f>
        <v>Riccardo Terruzzi</v>
      </c>
      <c r="H36" s="1" t="str">
        <f>IF($C36="","",IF(R36="","",IF(INDEX('Accounts Overview'!$I$2:$I$100,R36)="","",INDEX('Accounts Overview'!$I$2:$I$100,R36))))</f>
        <v>Shantanu Mittal</v>
      </c>
      <c r="I36" s="1" t="str">
        <f t="shared" ca="1" si="9"/>
        <v>Overdue</v>
      </c>
      <c r="J36" s="12">
        <f>IF($C36="","",IF(P36="","",IF(INDEX('Input Contact Information'!$Q$2:$Q$200,P36)="","",INDEX('Input Contact Information'!$Q$2:$Q$200,P36))))</f>
        <v>45809</v>
      </c>
      <c r="K36" s="14">
        <f t="shared" ca="1" si="10"/>
        <v>487</v>
      </c>
      <c r="L36" s="1">
        <f t="shared" si="11"/>
        <v>181</v>
      </c>
      <c r="M36" s="1">
        <f t="shared" si="12"/>
        <v>366</v>
      </c>
      <c r="N36" s="12">
        <f t="shared" ca="1" si="13"/>
        <v>46296</v>
      </c>
      <c r="O36" s="1" t="str">
        <f>IF($C36="","",IF(P36="","",IF(INDEX('Input Contact Information'!$R$2:$R$200,P36)="","",INDEX('Input Contact Information'!$R$2:$R$200,P36))))</f>
        <v/>
      </c>
      <c r="P36" s="1">
        <f>IF(C36="","",IFERROR(MATCH(C36&amp;"|"&amp;D36,'Input Contact Information'!$W$2:$W$200,0),""))</f>
        <v>35</v>
      </c>
      <c r="Q36" s="1" t="str">
        <f>IF($C36="","",IF((IF(P36="","",IF(INDEX('Input Contact Information'!$N$2:$N$200,P36)="","",INDEX('Input Contact Information'!$N$2:$N$200,P36))))&lt;&gt;"",IF(P36="","",IF(INDEX('Input Contact Information'!$N$2:$N$200,P36)="","",INDEX('Input Contact Information'!$N$2:$N$200,P36))),IF(P36="","",IF(INDEX('Input Contact Information'!$M$2:$M$200,P36)="","",INDEX('Input Contact Information'!$M$2:$M$200,P36)))))</f>
        <v>Tier 3</v>
      </c>
      <c r="R36" s="1">
        <f>IF(D36="","",IFERROR(MATCH(D36,'Accounts Overview'!$B$2:$B$100,0),""))</f>
        <v>12</v>
      </c>
    </row>
    <row r="37" spans="1:18" ht="15" customHeight="1" x14ac:dyDescent="0.35">
      <c r="A37" s="13" t="str">
        <f t="shared" si="7"/>
        <v>ENG0036</v>
      </c>
      <c r="B37" s="13" t="str">
        <f t="shared" si="8"/>
        <v>CON0036</v>
      </c>
      <c r="C37" s="1" t="str">
        <f>IFERROR(INDEX('Input Contact Information'!$C$2:$C$200,MATCH(ROW()-1,'Input Contact Information'!$V$2:$V$200,0)),"")</f>
        <v>Khalifa Al Yafei</v>
      </c>
      <c r="D37" s="1" t="str">
        <f>IFERROR(INDEX('Input Contact Information'!$B$2:$B$200,MATCH(ROW()-1,'Input Contact Information'!$V$2:$V$200,0)),"")</f>
        <v>Emirates Group</v>
      </c>
      <c r="E37" s="1" t="str">
        <f>IF($C37="","",IF(R37="","",IF(INDEX('Accounts Overview'!$A$2:$A$100,R37)="","",INDEX('Accounts Overview'!$A$2:$A$100,R37))))</f>
        <v>ACC0013</v>
      </c>
      <c r="F37" s="1" t="str">
        <f>IF($C37="","",IF(P37="","",IF(INDEX('Input Contact Information'!$D$2:$D$200,P37)="","",INDEX('Input Contact Information'!$D$2:$D$200,P37))))</f>
        <v>Senior Manager, Strategy</v>
      </c>
      <c r="G37" s="1" t="str">
        <f>IF($C37="","",IF(P37="","",IF(INDEX('Input Contact Information'!$A$2:$A$200,P37)="","",INDEX('Input Contact Information'!$A$2:$A$200,P37))))</f>
        <v>Stanislav Gaiduk</v>
      </c>
      <c r="H37" s="1" t="str">
        <f>IF($C37="","",IF(R37="","",IF(INDEX('Accounts Overview'!$I$2:$I$100,R37)="","",INDEX('Accounts Overview'!$I$2:$I$100,R37))))</f>
        <v>Freddy Cabrera</v>
      </c>
      <c r="I37" s="1" t="str">
        <f t="shared" ca="1" si="9"/>
        <v>On Track</v>
      </c>
      <c r="J37" s="12">
        <f>IF($C37="","",IF(P37="","",IF(INDEX('Input Contact Information'!$Q$2:$Q$200,P37)="","",INDEX('Input Contact Information'!$Q$2:$Q$200,P37))))</f>
        <v>46139</v>
      </c>
      <c r="K37" s="14">
        <f t="shared" ca="1" si="10"/>
        <v>157</v>
      </c>
      <c r="L37" s="1">
        <f t="shared" si="11"/>
        <v>181</v>
      </c>
      <c r="M37" s="1">
        <f t="shared" si="12"/>
        <v>366</v>
      </c>
      <c r="N37" s="12">
        <f t="shared" ca="1" si="13"/>
        <v>46296</v>
      </c>
      <c r="O37" s="1" t="str">
        <f>IF($C37="","",IF(P37="","",IF(INDEX('Input Contact Information'!$R$2:$R$200,P37)="","",INDEX('Input Contact Information'!$R$2:$R$200,P37))))</f>
        <v/>
      </c>
      <c r="P37" s="1">
        <f>IF(C37="","",IFERROR(MATCH(C37&amp;"|"&amp;D37,'Input Contact Information'!$W$2:$W$200,0),""))</f>
        <v>36</v>
      </c>
      <c r="Q37" s="1" t="str">
        <f>IF($C37="","",IF((IF(P37="","",IF(INDEX('Input Contact Information'!$N$2:$N$200,P37)="","",INDEX('Input Contact Information'!$N$2:$N$200,P37))))&lt;&gt;"",IF(P37="","",IF(INDEX('Input Contact Information'!$N$2:$N$200,P37)="","",INDEX('Input Contact Information'!$N$2:$N$200,P37))),IF(P37="","",IF(INDEX('Input Contact Information'!$M$2:$M$200,P37)="","",INDEX('Input Contact Information'!$M$2:$M$200,P37)))))</f>
        <v>Tier 3</v>
      </c>
      <c r="R37" s="1">
        <f>IF(D37="","",IFERROR(MATCH(D37,'Accounts Overview'!$B$2:$B$100,0),""))</f>
        <v>13</v>
      </c>
    </row>
    <row r="38" spans="1:18" ht="15" customHeight="1" x14ac:dyDescent="0.35">
      <c r="A38" s="13" t="str">
        <f t="shared" si="7"/>
        <v>ENG0037</v>
      </c>
      <c r="B38" s="13" t="str">
        <f t="shared" si="8"/>
        <v>CON0037</v>
      </c>
      <c r="C38" s="1" t="str">
        <f>IFERROR(INDEX('Input Contact Information'!$C$2:$C$200,MATCH(ROW()-1,'Input Contact Information'!$V$2:$V$200,0)),"")</f>
        <v>Wafa Al Humaid</v>
      </c>
      <c r="D38" s="1" t="str">
        <f>IFERROR(INDEX('Input Contact Information'!$B$2:$B$200,MATCH(ROW()-1,'Input Contact Information'!$V$2:$V$200,0)),"")</f>
        <v>Emirates Group</v>
      </c>
      <c r="E38" s="1" t="str">
        <f>IF($C38="","",IF(R38="","",IF(INDEX('Accounts Overview'!$A$2:$A$100,R38)="","",INDEX('Accounts Overview'!$A$2:$A$100,R38))))</f>
        <v>ACC0013</v>
      </c>
      <c r="F38" s="1" t="str">
        <f>IF($C38="","",IF(P38="","",IF(INDEX('Input Contact Information'!$D$2:$D$200,P38)="","",INDEX('Input Contact Information'!$D$2:$D$200,P38))))</f>
        <v>Manager, Transformation</v>
      </c>
      <c r="G38" s="1" t="str">
        <f>IF($C38="","",IF(P38="","",IF(INDEX('Input Contact Information'!$A$2:$A$200,P38)="","",INDEX('Input Contact Information'!$A$2:$A$200,P38))))</f>
        <v>Stanislav Gaiduk</v>
      </c>
      <c r="H38" s="1" t="str">
        <f>IF($C38="","",IF(R38="","",IF(INDEX('Accounts Overview'!$I$2:$I$100,R38)="","",INDEX('Accounts Overview'!$I$2:$I$100,R38))))</f>
        <v>Freddy Cabrera</v>
      </c>
      <c r="I38" s="1" t="str">
        <f t="shared" ca="1" si="9"/>
        <v>For Review</v>
      </c>
      <c r="J38" s="12">
        <f>IF($C38="","",IF(P38="","",IF(INDEX('Input Contact Information'!$Q$2:$Q$200,P38)="","",INDEX('Input Contact Information'!$Q$2:$Q$200,P38))))</f>
        <v>45979</v>
      </c>
      <c r="K38" s="14">
        <f t="shared" ca="1" si="10"/>
        <v>317</v>
      </c>
      <c r="L38" s="1">
        <f t="shared" si="11"/>
        <v>181</v>
      </c>
      <c r="M38" s="1">
        <f t="shared" si="12"/>
        <v>366</v>
      </c>
      <c r="N38" s="12">
        <f t="shared" ca="1" si="13"/>
        <v>46296</v>
      </c>
      <c r="O38" s="1" t="str">
        <f>IF($C38="","",IF(P38="","",IF(INDEX('Input Contact Information'!$R$2:$R$200,P38)="","",INDEX('Input Contact Information'!$R$2:$R$200,P38))))</f>
        <v/>
      </c>
      <c r="P38" s="1">
        <f>IF(C38="","",IFERROR(MATCH(C38&amp;"|"&amp;D38,'Input Contact Information'!$W$2:$W$200,0),""))</f>
        <v>37</v>
      </c>
      <c r="Q38" s="1" t="str">
        <f>IF($C38="","",IF((IF(P38="","",IF(INDEX('Input Contact Information'!$N$2:$N$200,P38)="","",INDEX('Input Contact Information'!$N$2:$N$200,P38))))&lt;&gt;"",IF(P38="","",IF(INDEX('Input Contact Information'!$N$2:$N$200,P38)="","",INDEX('Input Contact Information'!$N$2:$N$200,P38))),IF(P38="","",IF(INDEX('Input Contact Information'!$M$2:$M$200,P38)="","",INDEX('Input Contact Information'!$M$2:$M$200,P38)))))</f>
        <v>Tier 3</v>
      </c>
      <c r="R38" s="1">
        <f>IF(D38="","",IFERROR(MATCH(D38,'Accounts Overview'!$B$2:$B$100,0),""))</f>
        <v>13</v>
      </c>
    </row>
    <row r="39" spans="1:18" ht="15" customHeight="1" x14ac:dyDescent="0.35">
      <c r="A39" s="13" t="str">
        <f t="shared" si="7"/>
        <v>ENG0038</v>
      </c>
      <c r="B39" s="13" t="str">
        <f t="shared" si="8"/>
        <v>CON0038</v>
      </c>
      <c r="C39" s="1" t="str">
        <f>IFERROR(INDEX('Input Contact Information'!$C$2:$C$200,MATCH(ROW()-1,'Input Contact Information'!$V$2:$V$200,0)),"")</f>
        <v>Nasser Al Khaldi</v>
      </c>
      <c r="D39" s="1" t="str">
        <f>IFERROR(INDEX('Input Contact Information'!$B$2:$B$200,MATCH(ROW()-1,'Input Contact Information'!$V$2:$V$200,0)),"")</f>
        <v>Emirates Group</v>
      </c>
      <c r="E39" s="1" t="str">
        <f>IF($C39="","",IF(R39="","",IF(INDEX('Accounts Overview'!$A$2:$A$100,R39)="","",INDEX('Accounts Overview'!$A$2:$A$100,R39))))</f>
        <v>ACC0013</v>
      </c>
      <c r="F39" s="1" t="str">
        <f>IF($C39="","",IF(P39="","",IF(INDEX('Input Contact Information'!$D$2:$D$200,P39)="","",INDEX('Input Contact Information'!$D$2:$D$200,P39))))</f>
        <v>Program Manager</v>
      </c>
      <c r="G39" s="1" t="str">
        <f>IF($C39="","",IF(P39="","",IF(INDEX('Input Contact Information'!$A$2:$A$200,P39)="","",INDEX('Input Contact Information'!$A$2:$A$200,P39))))</f>
        <v>Stanislav Gaiduk</v>
      </c>
      <c r="H39" s="1" t="str">
        <f>IF($C39="","",IF(R39="","",IF(INDEX('Accounts Overview'!$I$2:$I$100,R39)="","",INDEX('Accounts Overview'!$I$2:$I$100,R39))))</f>
        <v>Freddy Cabrera</v>
      </c>
      <c r="I39" s="1" t="str">
        <f t="shared" ca="1" si="9"/>
        <v>Overdue</v>
      </c>
      <c r="J39" s="12">
        <f>IF($C39="","",IF(P39="","",IF(INDEX('Input Contact Information'!$Q$2:$Q$200,P39)="","",INDEX('Input Contact Information'!$Q$2:$Q$200,P39))))</f>
        <v>45809</v>
      </c>
      <c r="K39" s="14">
        <f t="shared" ca="1" si="10"/>
        <v>487</v>
      </c>
      <c r="L39" s="1">
        <f t="shared" si="11"/>
        <v>181</v>
      </c>
      <c r="M39" s="1">
        <f t="shared" si="12"/>
        <v>366</v>
      </c>
      <c r="N39" s="12">
        <f t="shared" ca="1" si="13"/>
        <v>46296</v>
      </c>
      <c r="O39" s="1" t="str">
        <f>IF($C39="","",IF(P39="","",IF(INDEX('Input Contact Information'!$R$2:$R$200,P39)="","",INDEX('Input Contact Information'!$R$2:$R$200,P39))))</f>
        <v/>
      </c>
      <c r="P39" s="1">
        <f>IF(C39="","",IFERROR(MATCH(C39&amp;"|"&amp;D39,'Input Contact Information'!$W$2:$W$200,0),""))</f>
        <v>38</v>
      </c>
      <c r="Q39" s="1" t="str">
        <f>IF($C39="","",IF((IF(P39="","",IF(INDEX('Input Contact Information'!$N$2:$N$200,P39)="","",INDEX('Input Contact Information'!$N$2:$N$200,P39))))&lt;&gt;"",IF(P39="","",IF(INDEX('Input Contact Information'!$N$2:$N$200,P39)="","",INDEX('Input Contact Information'!$N$2:$N$200,P39))),IF(P39="","",IF(INDEX('Input Contact Information'!$M$2:$M$200,P39)="","",INDEX('Input Contact Information'!$M$2:$M$200,P39)))))</f>
        <v>Tier 3</v>
      </c>
      <c r="R39" s="1">
        <f>IF(D39="","",IFERROR(MATCH(D39,'Accounts Overview'!$B$2:$B$100,0),""))</f>
        <v>13</v>
      </c>
    </row>
    <row r="40" spans="1:18" ht="15" customHeight="1" x14ac:dyDescent="0.35">
      <c r="A40" s="13" t="str">
        <f t="shared" si="7"/>
        <v>ENG0039</v>
      </c>
      <c r="B40" s="13" t="str">
        <f t="shared" si="8"/>
        <v>CON0039</v>
      </c>
      <c r="C40" s="1" t="str">
        <f>IFERROR(INDEX('Input Contact Information'!$C$2:$C$200,MATCH(ROW()-1,'Input Contact Information'!$V$2:$V$200,0)),"")</f>
        <v>Asma Al Buainain</v>
      </c>
      <c r="D40" s="1" t="str">
        <f>IFERROR(INDEX('Input Contact Information'!$B$2:$B$200,MATCH(ROW()-1,'Input Contact Information'!$V$2:$V$200,0)),"")</f>
        <v>DP World</v>
      </c>
      <c r="E40" s="1" t="str">
        <f>IF($C40="","",IF(R40="","",IF(INDEX('Accounts Overview'!$A$2:$A$100,R40)="","",INDEX('Accounts Overview'!$A$2:$A$100,R40))))</f>
        <v>ACC0014</v>
      </c>
      <c r="F40" s="1" t="str">
        <f>IF($C40="","",IF(P40="","",IF(INDEX('Input Contact Information'!$D$2:$D$200,P40)="","",INDEX('Input Contact Information'!$D$2:$D$200,P40))))</f>
        <v>Senior Manager, Strategy</v>
      </c>
      <c r="G40" s="1" t="str">
        <f>IF($C40="","",IF(P40="","",IF(INDEX('Input Contact Information'!$A$2:$A$200,P40)="","",INDEX('Input Contact Information'!$A$2:$A$200,P40))))</f>
        <v>Badaoui Saroufim</v>
      </c>
      <c r="H40" s="1" t="str">
        <f>IF($C40="","",IF(R40="","",IF(INDEX('Accounts Overview'!$I$2:$I$100,R40)="","",INDEX('Accounts Overview'!$I$2:$I$100,R40))))</f>
        <v>Mark Jreissaty</v>
      </c>
      <c r="I40" s="1" t="str">
        <f t="shared" ca="1" si="9"/>
        <v>On Track</v>
      </c>
      <c r="J40" s="12">
        <f>IF($C40="","",IF(P40="","",IF(INDEX('Input Contact Information'!$Q$2:$Q$200,P40)="","",INDEX('Input Contact Information'!$Q$2:$Q$200,P40))))</f>
        <v>46139</v>
      </c>
      <c r="K40" s="14">
        <f t="shared" ca="1" si="10"/>
        <v>157</v>
      </c>
      <c r="L40" s="1">
        <f t="shared" si="11"/>
        <v>181</v>
      </c>
      <c r="M40" s="1">
        <f t="shared" si="12"/>
        <v>366</v>
      </c>
      <c r="N40" s="12">
        <f t="shared" ca="1" si="13"/>
        <v>46296</v>
      </c>
      <c r="O40" s="1" t="str">
        <f>IF($C40="","",IF(P40="","",IF(INDEX('Input Contact Information'!$R$2:$R$200,P40)="","",INDEX('Input Contact Information'!$R$2:$R$200,P40))))</f>
        <v/>
      </c>
      <c r="P40" s="1">
        <f>IF(C40="","",IFERROR(MATCH(C40&amp;"|"&amp;D40,'Input Contact Information'!$W$2:$W$200,0),""))</f>
        <v>39</v>
      </c>
      <c r="Q40" s="1" t="str">
        <f>IF($C40="","",IF((IF(P40="","",IF(INDEX('Input Contact Information'!$N$2:$N$200,P40)="","",INDEX('Input Contact Information'!$N$2:$N$200,P40))))&lt;&gt;"",IF(P40="","",IF(INDEX('Input Contact Information'!$N$2:$N$200,P40)="","",INDEX('Input Contact Information'!$N$2:$N$200,P40))),IF(P40="","",IF(INDEX('Input Contact Information'!$M$2:$M$200,P40)="","",INDEX('Input Contact Information'!$M$2:$M$200,P40)))))</f>
        <v>Tier 3</v>
      </c>
      <c r="R40" s="1">
        <f>IF(D40="","",IFERROR(MATCH(D40,'Accounts Overview'!$B$2:$B$100,0),""))</f>
        <v>14</v>
      </c>
    </row>
    <row r="41" spans="1:18" ht="15" customHeight="1" x14ac:dyDescent="0.35">
      <c r="A41" s="13" t="str">
        <f t="shared" si="7"/>
        <v>ENG0040</v>
      </c>
      <c r="B41" s="13" t="str">
        <f t="shared" si="8"/>
        <v>CON0040</v>
      </c>
      <c r="C41" s="1" t="str">
        <f>IFERROR(INDEX('Input Contact Information'!$C$2:$C$200,MATCH(ROW()-1,'Input Contact Information'!$V$2:$V$200,0)),"")</f>
        <v>Turki Al Sowaidi</v>
      </c>
      <c r="D41" s="1" t="str">
        <f>IFERROR(INDEX('Input Contact Information'!$B$2:$B$200,MATCH(ROW()-1,'Input Contact Information'!$V$2:$V$200,0)),"")</f>
        <v>DP World</v>
      </c>
      <c r="E41" s="1" t="str">
        <f>IF($C41="","",IF(R41="","",IF(INDEX('Accounts Overview'!$A$2:$A$100,R41)="","",INDEX('Accounts Overview'!$A$2:$A$100,R41))))</f>
        <v>ACC0014</v>
      </c>
      <c r="F41" s="1" t="str">
        <f>IF($C41="","",IF(P41="","",IF(INDEX('Input Contact Information'!$D$2:$D$200,P41)="","",INDEX('Input Contact Information'!$D$2:$D$200,P41))))</f>
        <v>Manager, Transformation</v>
      </c>
      <c r="G41" s="1" t="str">
        <f>IF($C41="","",IF(P41="","",IF(INDEX('Input Contact Information'!$A$2:$A$200,P41)="","",INDEX('Input Contact Information'!$A$2:$A$200,P41))))</f>
        <v>Badaoui Saroufim</v>
      </c>
      <c r="H41" s="1" t="str">
        <f>IF($C41="","",IF(R41="","",IF(INDEX('Accounts Overview'!$I$2:$I$100,R41)="","",INDEX('Accounts Overview'!$I$2:$I$100,R41))))</f>
        <v>Mark Jreissaty</v>
      </c>
      <c r="I41" s="1" t="str">
        <f t="shared" ca="1" si="9"/>
        <v>For Review</v>
      </c>
      <c r="J41" s="12">
        <f>IF($C41="","",IF(P41="","",IF(INDEX('Input Contact Information'!$Q$2:$Q$200,P41)="","",INDEX('Input Contact Information'!$Q$2:$Q$200,P41))))</f>
        <v>45979</v>
      </c>
      <c r="K41" s="14">
        <f t="shared" ca="1" si="10"/>
        <v>317</v>
      </c>
      <c r="L41" s="1">
        <f t="shared" si="11"/>
        <v>181</v>
      </c>
      <c r="M41" s="1">
        <f t="shared" si="12"/>
        <v>366</v>
      </c>
      <c r="N41" s="12">
        <f t="shared" ca="1" si="13"/>
        <v>46296</v>
      </c>
      <c r="O41" s="1" t="str">
        <f>IF($C41="","",IF(P41="","",IF(INDEX('Input Contact Information'!$R$2:$R$200,P41)="","",INDEX('Input Contact Information'!$R$2:$R$200,P41))))</f>
        <v/>
      </c>
      <c r="P41" s="1">
        <f>IF(C41="","",IFERROR(MATCH(C41&amp;"|"&amp;D41,'Input Contact Information'!$W$2:$W$200,0),""))</f>
        <v>40</v>
      </c>
      <c r="Q41" s="1" t="str">
        <f>IF($C41="","",IF((IF(P41="","",IF(INDEX('Input Contact Information'!$N$2:$N$200,P41)="","",INDEX('Input Contact Information'!$N$2:$N$200,P41))))&lt;&gt;"",IF(P41="","",IF(INDEX('Input Contact Information'!$N$2:$N$200,P41)="","",INDEX('Input Contact Information'!$N$2:$N$200,P41))),IF(P41="","",IF(INDEX('Input Contact Information'!$M$2:$M$200,P41)="","",INDEX('Input Contact Information'!$M$2:$M$200,P41)))))</f>
        <v>Tier 3</v>
      </c>
      <c r="R41" s="1">
        <f>IF(D41="","",IFERROR(MATCH(D41,'Accounts Overview'!$B$2:$B$100,0),""))</f>
        <v>14</v>
      </c>
    </row>
    <row r="42" spans="1:18" ht="15" customHeight="1" x14ac:dyDescent="0.35">
      <c r="A42" s="13" t="str">
        <f t="shared" si="7"/>
        <v>ENG0041</v>
      </c>
      <c r="B42" s="13" t="str">
        <f t="shared" si="8"/>
        <v>CON0041</v>
      </c>
      <c r="C42" s="1" t="str">
        <f>IFERROR(INDEX('Input Contact Information'!$C$2:$C$200,MATCH(ROW()-1,'Input Contact Information'!$V$2:$V$200,0)),"")</f>
        <v>Amna Al Kaldi</v>
      </c>
      <c r="D42" s="1" t="str">
        <f>IFERROR(INDEX('Input Contact Information'!$B$2:$B$200,MATCH(ROW()-1,'Input Contact Information'!$V$2:$V$200,0)),"")</f>
        <v>DP World</v>
      </c>
      <c r="E42" s="1" t="str">
        <f>IF($C42="","",IF(R42="","",IF(INDEX('Accounts Overview'!$A$2:$A$100,R42)="","",INDEX('Accounts Overview'!$A$2:$A$100,R42))))</f>
        <v>ACC0014</v>
      </c>
      <c r="F42" s="1" t="str">
        <f>IF($C42="","",IF(P42="","",IF(INDEX('Input Contact Information'!$D$2:$D$200,P42)="","",INDEX('Input Contact Information'!$D$2:$D$200,P42))))</f>
        <v>Program Manager</v>
      </c>
      <c r="G42" s="1" t="str">
        <f>IF($C42="","",IF(P42="","",IF(INDEX('Input Contact Information'!$A$2:$A$200,P42)="","",INDEX('Input Contact Information'!$A$2:$A$200,P42))))</f>
        <v>Badaoui Saroufim</v>
      </c>
      <c r="H42" s="1" t="str">
        <f>IF($C42="","",IF(R42="","",IF(INDEX('Accounts Overview'!$I$2:$I$100,R42)="","",INDEX('Accounts Overview'!$I$2:$I$100,R42))))</f>
        <v>Mark Jreissaty</v>
      </c>
      <c r="I42" s="1" t="str">
        <f t="shared" ca="1" si="9"/>
        <v>Overdue</v>
      </c>
      <c r="J42" s="12">
        <f>IF($C42="","",IF(P42="","",IF(INDEX('Input Contact Information'!$Q$2:$Q$200,P42)="","",INDEX('Input Contact Information'!$Q$2:$Q$200,P42))))</f>
        <v>45809</v>
      </c>
      <c r="K42" s="14">
        <f t="shared" ca="1" si="10"/>
        <v>487</v>
      </c>
      <c r="L42" s="1">
        <f t="shared" si="11"/>
        <v>181</v>
      </c>
      <c r="M42" s="1">
        <f t="shared" si="12"/>
        <v>366</v>
      </c>
      <c r="N42" s="12">
        <f t="shared" ca="1" si="13"/>
        <v>46296</v>
      </c>
      <c r="O42" s="1" t="str">
        <f>IF($C42="","",IF(P42="","",IF(INDEX('Input Contact Information'!$R$2:$R$200,P42)="","",INDEX('Input Contact Information'!$R$2:$R$200,P42))))</f>
        <v/>
      </c>
      <c r="P42" s="1">
        <f>IF(C42="","",IFERROR(MATCH(C42&amp;"|"&amp;D42,'Input Contact Information'!$W$2:$W$200,0),""))</f>
        <v>41</v>
      </c>
      <c r="Q42" s="1" t="str">
        <f>IF($C42="","",IF((IF(P42="","",IF(INDEX('Input Contact Information'!$N$2:$N$200,P42)="","",INDEX('Input Contact Information'!$N$2:$N$200,P42))))&lt;&gt;"",IF(P42="","",IF(INDEX('Input Contact Information'!$N$2:$N$200,P42)="","",INDEX('Input Contact Information'!$N$2:$N$200,P42))),IF(P42="","",IF(INDEX('Input Contact Information'!$M$2:$M$200,P42)="","",INDEX('Input Contact Information'!$M$2:$M$200,P42)))))</f>
        <v>Tier 3</v>
      </c>
      <c r="R42" s="1">
        <f>IF(D42="","",IFERROR(MATCH(D42,'Accounts Overview'!$B$2:$B$100,0),""))</f>
        <v>14</v>
      </c>
    </row>
    <row r="43" spans="1:18" ht="15" customHeight="1" x14ac:dyDescent="0.35">
      <c r="A43" s="13" t="str">
        <f t="shared" si="7"/>
        <v>ENG0042</v>
      </c>
      <c r="B43" s="13" t="str">
        <f t="shared" si="8"/>
        <v>CON0042</v>
      </c>
      <c r="C43" s="1" t="str">
        <f>IFERROR(INDEX('Input Contact Information'!$C$2:$C$200,MATCH(ROW()-1,'Input Contact Information'!$V$2:$V$200,0)),"")</f>
        <v>Sultan Al Meer</v>
      </c>
      <c r="D43" s="1" t="str">
        <f>IFERROR(INDEX('Input Contact Information'!$B$2:$B$200,MATCH(ROW()-1,'Input Contact Information'!$V$2:$V$200,0)),"")</f>
        <v>Emaar Properties</v>
      </c>
      <c r="E43" s="1" t="str">
        <f>IF($C43="","",IF(R43="","",IF(INDEX('Accounts Overview'!$A$2:$A$100,R43)="","",INDEX('Accounts Overview'!$A$2:$A$100,R43))))</f>
        <v>ACC0015</v>
      </c>
      <c r="F43" s="1" t="str">
        <f>IF($C43="","",IF(P43="","",IF(INDEX('Input Contact Information'!$D$2:$D$200,P43)="","",INDEX('Input Contact Information'!$D$2:$D$200,P43))))</f>
        <v>Vice President, Strategy</v>
      </c>
      <c r="G43" s="1" t="str">
        <f>IF($C43="","",IF(P43="","",IF(INDEX('Input Contact Information'!$A$2:$A$200,P43)="","",INDEX('Input Contact Information'!$A$2:$A$200,P43))))</f>
        <v>Meher Ben Marzouk</v>
      </c>
      <c r="H43" s="1" t="str">
        <f>IF($C43="","",IF(R43="","",IF(INDEX('Accounts Overview'!$I$2:$I$100,R43)="","",INDEX('Accounts Overview'!$I$2:$I$100,R43))))</f>
        <v>Omar Jadallah</v>
      </c>
      <c r="I43" s="1" t="str">
        <f t="shared" ca="1" si="9"/>
        <v>On Track</v>
      </c>
      <c r="J43" s="12">
        <f>IF($C43="","",IF(P43="","",IF(INDEX('Input Contact Information'!$Q$2:$Q$200,P43)="","",INDEX('Input Contact Information'!$Q$2:$Q$200,P43))))</f>
        <v>46139</v>
      </c>
      <c r="K43" s="14">
        <f t="shared" ca="1" si="10"/>
        <v>157</v>
      </c>
      <c r="L43" s="1">
        <f t="shared" si="11"/>
        <v>181</v>
      </c>
      <c r="M43" s="1">
        <f t="shared" si="12"/>
        <v>366</v>
      </c>
      <c r="N43" s="12">
        <f t="shared" ca="1" si="13"/>
        <v>46296</v>
      </c>
      <c r="O43" s="1" t="str">
        <f>IF($C43="","",IF(P43="","",IF(INDEX('Input Contact Information'!$R$2:$R$200,P43)="","",INDEX('Input Contact Information'!$R$2:$R$200,P43))))</f>
        <v/>
      </c>
      <c r="P43" s="1">
        <f>IF(C43="","",IFERROR(MATCH(C43&amp;"|"&amp;D43,'Input Contact Information'!$W$2:$W$200,0),""))</f>
        <v>42</v>
      </c>
      <c r="Q43" s="1" t="str">
        <f>IF($C43="","",IF((IF(P43="","",IF(INDEX('Input Contact Information'!$N$2:$N$200,P43)="","",INDEX('Input Contact Information'!$N$2:$N$200,P43))))&lt;&gt;"",IF(P43="","",IF(INDEX('Input Contact Information'!$N$2:$N$200,P43)="","",INDEX('Input Contact Information'!$N$2:$N$200,P43))),IF(P43="","",IF(INDEX('Input Contact Information'!$M$2:$M$200,P43)="","",INDEX('Input Contact Information'!$M$2:$M$200,P43)))))</f>
        <v>Tier 3</v>
      </c>
      <c r="R43" s="1">
        <f>IF(D43="","",IFERROR(MATCH(D43,'Accounts Overview'!$B$2:$B$100,0),""))</f>
        <v>15</v>
      </c>
    </row>
    <row r="44" spans="1:18" ht="15" customHeight="1" x14ac:dyDescent="0.35">
      <c r="A44" s="13" t="str">
        <f t="shared" si="7"/>
        <v>ENG0043</v>
      </c>
      <c r="B44" s="13" t="str">
        <f t="shared" si="8"/>
        <v>CON0043</v>
      </c>
      <c r="C44" s="1" t="str">
        <f>IFERROR(INDEX('Input Contact Information'!$C$2:$C$200,MATCH(ROW()-1,'Input Contact Information'!$V$2:$V$200,0)),"")</f>
        <v>Hoor Al Hajj</v>
      </c>
      <c r="D44" s="1" t="str">
        <f>IFERROR(INDEX('Input Contact Information'!$B$2:$B$200,MATCH(ROW()-1,'Input Contact Information'!$V$2:$V$200,0)),"")</f>
        <v>Emaar Properties</v>
      </c>
      <c r="E44" s="1" t="str">
        <f>IF($C44="","",IF(R44="","",IF(INDEX('Accounts Overview'!$A$2:$A$100,R44)="","",INDEX('Accounts Overview'!$A$2:$A$100,R44))))</f>
        <v>ACC0015</v>
      </c>
      <c r="F44" s="1" t="str">
        <f>IF($C44="","",IF(P44="","",IF(INDEX('Input Contact Information'!$D$2:$D$200,P44)="","",INDEX('Input Contact Information'!$D$2:$D$200,P44))))</f>
        <v>Director, Transformation</v>
      </c>
      <c r="G44" s="1" t="str">
        <f>IF($C44="","",IF(P44="","",IF(INDEX('Input Contact Information'!$A$2:$A$200,P44)="","",INDEX('Input Contact Information'!$A$2:$A$200,P44))))</f>
        <v>Meher Ben Marzouk</v>
      </c>
      <c r="H44" s="1" t="str">
        <f>IF($C44="","",IF(R44="","",IF(INDEX('Accounts Overview'!$I$2:$I$100,R44)="","",INDEX('Accounts Overview'!$I$2:$I$100,R44))))</f>
        <v>Omar Jadallah</v>
      </c>
      <c r="I44" s="1" t="str">
        <f t="shared" ca="1" si="9"/>
        <v>For Review</v>
      </c>
      <c r="J44" s="12">
        <f>IF($C44="","",IF(P44="","",IF(INDEX('Input Contact Information'!$Q$2:$Q$200,P44)="","",INDEX('Input Contact Information'!$Q$2:$Q$200,P44))))</f>
        <v>45979</v>
      </c>
      <c r="K44" s="14">
        <f t="shared" ca="1" si="10"/>
        <v>317</v>
      </c>
      <c r="L44" s="1">
        <f t="shared" si="11"/>
        <v>181</v>
      </c>
      <c r="M44" s="1">
        <f t="shared" si="12"/>
        <v>366</v>
      </c>
      <c r="N44" s="12">
        <f t="shared" ca="1" si="13"/>
        <v>46296</v>
      </c>
      <c r="O44" s="1" t="str">
        <f>IF($C44="","",IF(P44="","",IF(INDEX('Input Contact Information'!$R$2:$R$200,P44)="","",INDEX('Input Contact Information'!$R$2:$R$200,P44))))</f>
        <v/>
      </c>
      <c r="P44" s="1">
        <f>IF(C44="","",IFERROR(MATCH(C44&amp;"|"&amp;D44,'Input Contact Information'!$W$2:$W$200,0),""))</f>
        <v>43</v>
      </c>
      <c r="Q44" s="1" t="str">
        <f>IF($C44="","",IF((IF(P44="","",IF(INDEX('Input Contact Information'!$N$2:$N$200,P44)="","",INDEX('Input Contact Information'!$N$2:$N$200,P44))))&lt;&gt;"",IF(P44="","",IF(INDEX('Input Contact Information'!$N$2:$N$200,P44)="","",INDEX('Input Contact Information'!$N$2:$N$200,P44))),IF(P44="","",IF(INDEX('Input Contact Information'!$M$2:$M$200,P44)="","",INDEX('Input Contact Information'!$M$2:$M$200,P44)))))</f>
        <v>Tier 3</v>
      </c>
      <c r="R44" s="1">
        <f>IF(D44="","",IFERROR(MATCH(D44,'Accounts Overview'!$B$2:$B$100,0),""))</f>
        <v>15</v>
      </c>
    </row>
    <row r="45" spans="1:18" ht="15" customHeight="1" x14ac:dyDescent="0.35">
      <c r="A45" s="13" t="str">
        <f t="shared" si="7"/>
        <v>ENG0044</v>
      </c>
      <c r="B45" s="13" t="str">
        <f t="shared" si="8"/>
        <v>CON0044</v>
      </c>
      <c r="C45" s="1" t="str">
        <f>IFERROR(INDEX('Input Contact Information'!$C$2:$C$200,MATCH(ROW()-1,'Input Contact Information'!$V$2:$V$200,0)),"")</f>
        <v>Zayed Al Rashdi</v>
      </c>
      <c r="D45" s="1" t="str">
        <f>IFERROR(INDEX('Input Contact Information'!$B$2:$B$200,MATCH(ROW()-1,'Input Contact Information'!$V$2:$V$200,0)),"")</f>
        <v>Emaar Properties</v>
      </c>
      <c r="E45" s="1" t="str">
        <f>IF($C45="","",IF(R45="","",IF(INDEX('Accounts Overview'!$A$2:$A$100,R45)="","",INDEX('Accounts Overview'!$A$2:$A$100,R45))))</f>
        <v>ACC0015</v>
      </c>
      <c r="F45" s="1" t="str">
        <f>IF($C45="","",IF(P45="","",IF(INDEX('Input Contact Information'!$D$2:$D$200,P45)="","",INDEX('Input Contact Information'!$D$2:$D$200,P45))))</f>
        <v>Senior Manager, Strategy</v>
      </c>
      <c r="G45" s="1" t="str">
        <f>IF($C45="","",IF(P45="","",IF(INDEX('Input Contact Information'!$A$2:$A$200,P45)="","",INDEX('Input Contact Information'!$A$2:$A$200,P45))))</f>
        <v>Meher Ben Marzouk</v>
      </c>
      <c r="H45" s="1" t="str">
        <f>IF($C45="","",IF(R45="","",IF(INDEX('Accounts Overview'!$I$2:$I$100,R45)="","",INDEX('Accounts Overview'!$I$2:$I$100,R45))))</f>
        <v>Omar Jadallah</v>
      </c>
      <c r="I45" s="1" t="str">
        <f t="shared" ca="1" si="9"/>
        <v>Overdue</v>
      </c>
      <c r="J45" s="12">
        <f>IF($C45="","",IF(P45="","",IF(INDEX('Input Contact Information'!$Q$2:$Q$200,P45)="","",INDEX('Input Contact Information'!$Q$2:$Q$200,P45))))</f>
        <v>45809</v>
      </c>
      <c r="K45" s="14">
        <f t="shared" ca="1" si="10"/>
        <v>487</v>
      </c>
      <c r="L45" s="1">
        <f t="shared" si="11"/>
        <v>181</v>
      </c>
      <c r="M45" s="1">
        <f t="shared" si="12"/>
        <v>366</v>
      </c>
      <c r="N45" s="12">
        <f t="shared" ca="1" si="13"/>
        <v>46296</v>
      </c>
      <c r="O45" s="1" t="str">
        <f>IF($C45="","",IF(P45="","",IF(INDEX('Input Contact Information'!$R$2:$R$200,P45)="","",INDEX('Input Contact Information'!$R$2:$R$200,P45))))</f>
        <v/>
      </c>
      <c r="P45" s="1">
        <f>IF(C45="","",IFERROR(MATCH(C45&amp;"|"&amp;D45,'Input Contact Information'!$W$2:$W$200,0),""))</f>
        <v>44</v>
      </c>
      <c r="Q45" s="1" t="str">
        <f>IF($C45="","",IF((IF(P45="","",IF(INDEX('Input Contact Information'!$N$2:$N$200,P45)="","",INDEX('Input Contact Information'!$N$2:$N$200,P45))))&lt;&gt;"",IF(P45="","",IF(INDEX('Input Contact Information'!$N$2:$N$200,P45)="","",INDEX('Input Contact Information'!$N$2:$N$200,P45))),IF(P45="","",IF(INDEX('Input Contact Information'!$M$2:$M$200,P45)="","",INDEX('Input Contact Information'!$M$2:$M$200,P45)))))</f>
        <v>Tier 3</v>
      </c>
      <c r="R45" s="1">
        <f>IF(D45="","",IFERROR(MATCH(D45,'Accounts Overview'!$B$2:$B$100,0),""))</f>
        <v>15</v>
      </c>
    </row>
    <row r="46" spans="1:18" ht="15" customHeight="1" x14ac:dyDescent="0.35">
      <c r="A46" s="13" t="str">
        <f t="shared" si="7"/>
        <v>ENG0045</v>
      </c>
      <c r="B46" s="13" t="str">
        <f t="shared" si="8"/>
        <v>CON0045</v>
      </c>
      <c r="C46" s="1" t="str">
        <f>IFERROR(INDEX('Input Contact Information'!$C$2:$C$200,MATCH(ROW()-1,'Input Contact Information'!$V$2:$V$200,0)),"")</f>
        <v>Sheikh Ali Alwaleed Al-Thani</v>
      </c>
      <c r="D46" s="1" t="str">
        <f>IFERROR(INDEX('Input Contact Information'!$B$2:$B$200,MATCH(ROW()-1,'Input Contact Information'!$V$2:$V$200,0)),"")</f>
        <v>Invest Qatar</v>
      </c>
      <c r="E46" s="1" t="str">
        <f>IF($C46="","",IF(R46="","",IF(INDEX('Accounts Overview'!$A$2:$A$100,R46)="","",INDEX('Accounts Overview'!$A$2:$A$100,R46))))</f>
        <v>ACC0016</v>
      </c>
      <c r="F46" s="1" t="str">
        <f>IF($C46="","",IF(P46="","",IF(INDEX('Input Contact Information'!$D$2:$D$200,P46)="","",INDEX('Input Contact Information'!$D$2:$D$200,P46))))</f>
        <v>Chief Executive Officer</v>
      </c>
      <c r="G46" s="1" t="str">
        <f>IF($C46="","",IF(P46="","",IF(INDEX('Input Contact Information'!$A$2:$A$200,P46)="","",INDEX('Input Contact Information'!$A$2:$A$200,P46))))</f>
        <v>Eric Guraieb</v>
      </c>
      <c r="H46" s="1" t="str">
        <f>IF($C46="","",IF(R46="","",IF(INDEX('Accounts Overview'!$I$2:$I$100,R46)="","",INDEX('Accounts Overview'!$I$2:$I$100,R46))))</f>
        <v>Naveed Vakil</v>
      </c>
      <c r="I46" s="1" t="str">
        <f t="shared" ca="1" si="9"/>
        <v>No Task</v>
      </c>
      <c r="J46" s="12" t="str">
        <f>IF($C46="","",IF(P46="","",IF(INDEX('Input Contact Information'!$Q$2:$Q$200,P46)="","",INDEX('Input Contact Information'!$Q$2:$Q$200,P46))))</f>
        <v/>
      </c>
      <c r="K46" s="14" t="str">
        <f t="shared" ca="1" si="10"/>
        <v/>
      </c>
      <c r="L46" s="1">
        <f t="shared" si="11"/>
        <v>31</v>
      </c>
      <c r="M46" s="1">
        <f t="shared" si="12"/>
        <v>61</v>
      </c>
      <c r="N46" s="12">
        <f t="shared" ca="1" si="13"/>
        <v>46296</v>
      </c>
      <c r="O46" s="1" t="str">
        <f>IF($C46="","",IF(P46="","",IF(INDEX('Input Contact Information'!$R$2:$R$200,P46)="","",INDEX('Input Contact Information'!$R$2:$R$200,P46))))</f>
        <v/>
      </c>
      <c r="P46" s="1">
        <f>IF(C46="","",IFERROR(MATCH(C46&amp;"|"&amp;D46,'Input Contact Information'!$W$2:$W$200,0),""))</f>
        <v>45</v>
      </c>
      <c r="Q46" s="1" t="str">
        <f>IF($C46="","",IF((IF(P46="","",IF(INDEX('Input Contact Information'!$N$2:$N$200,P46)="","",INDEX('Input Contact Information'!$N$2:$N$200,P46))))&lt;&gt;"",IF(P46="","",IF(INDEX('Input Contact Information'!$N$2:$N$200,P46)="","",INDEX('Input Contact Information'!$N$2:$N$200,P46))),IF(P46="","",IF(INDEX('Input Contact Information'!$M$2:$M$200,P46)="","",INDEX('Input Contact Information'!$M$2:$M$200,P46)))))</f>
        <v>Tier 1</v>
      </c>
      <c r="R46" s="1">
        <f>IF(D46="","",IFERROR(MATCH(D46,'Accounts Overview'!$B$2:$B$100,0),""))</f>
        <v>16</v>
      </c>
    </row>
    <row r="47" spans="1:18" ht="15" customHeight="1" x14ac:dyDescent="0.35">
      <c r="A47" s="13" t="str">
        <f t="shared" si="7"/>
        <v/>
      </c>
      <c r="B47" s="13" t="str">
        <f t="shared" si="8"/>
        <v/>
      </c>
      <c r="C47" s="1" t="str">
        <f>IFERROR(INDEX('Input Contact Information'!$C$2:$C$200,MATCH(ROW()-1,'Input Contact Information'!$V$2:$V$200,0)),"")</f>
        <v/>
      </c>
      <c r="D47" s="1" t="str">
        <f>IFERROR(INDEX('Input Contact Information'!$B$2:$B$200,MATCH(ROW()-1,'Input Contact Information'!$V$2:$V$200,0)),"")</f>
        <v/>
      </c>
      <c r="E47" s="1" t="str">
        <f>IF($C47="","",IF(R47="","",IF(INDEX('Accounts Overview'!$A$2:$A$100,R47)="","",INDEX('Accounts Overview'!$A$2:$A$100,R47))))</f>
        <v/>
      </c>
      <c r="F47" s="1" t="str">
        <f>IF($C47="","",IF(P47="","",IF(INDEX('Input Contact Information'!$D$2:$D$200,P47)="","",INDEX('Input Contact Information'!$D$2:$D$200,P47))))</f>
        <v/>
      </c>
      <c r="G47" s="1" t="str">
        <f>IF($C47="","",IF(P47="","",IF(INDEX('Input Contact Information'!$A$2:$A$200,P47)="","",INDEX('Input Contact Information'!$A$2:$A$200,P47))))</f>
        <v/>
      </c>
      <c r="H47" s="1" t="str">
        <f>IF($C47="","",IF(R47="","",IF(INDEX('Accounts Overview'!$I$2:$I$100,R47)="","",INDEX('Accounts Overview'!$I$2:$I$100,R47))))</f>
        <v/>
      </c>
      <c r="I47" s="1" t="str">
        <f t="shared" ca="1" si="9"/>
        <v/>
      </c>
      <c r="J47" s="12" t="str">
        <f>IF($C47="","",IF(P47="","",IF(INDEX('Input Contact Information'!$Q$2:$Q$200,P47)="","",INDEX('Input Contact Information'!$Q$2:$Q$200,P47))))</f>
        <v/>
      </c>
      <c r="K47" s="14" t="str">
        <f t="shared" ca="1" si="10"/>
        <v/>
      </c>
      <c r="L47" s="1" t="str">
        <f t="shared" si="11"/>
        <v/>
      </c>
      <c r="M47" s="1" t="str">
        <f t="shared" si="12"/>
        <v/>
      </c>
      <c r="N47" s="15">
        <f t="shared" ca="1" si="13"/>
        <v>46296</v>
      </c>
      <c r="O47" s="1" t="str">
        <f>IF($C47="","",IF(P47="","",IF(INDEX('Input Contact Information'!$R$2:$R$200,P47)="","",INDEX('Input Contact Information'!$R$2:$R$200,P47))))</f>
        <v/>
      </c>
      <c r="P47" s="1" t="str">
        <f>IF(C47="","",IFERROR(MATCH(C47&amp;"|"&amp;D47,'Input Contact Information'!$W$2:$W$200,0),""))</f>
        <v/>
      </c>
      <c r="Q47" s="1" t="str">
        <f>IF($C47="","",IF((IF(P47="","",IF(INDEX('Input Contact Information'!$N$2:$N$200,P47)="","",INDEX('Input Contact Information'!$N$2:$N$200,P47))))&lt;&gt;"",IF(P47="","",IF(INDEX('Input Contact Information'!$N$2:$N$200,P47)="","",INDEX('Input Contact Information'!$N$2:$N$200,P47))),IF(P47="","",IF(INDEX('Input Contact Information'!$M$2:$M$200,P47)="","",INDEX('Input Contact Information'!$M$2:$M$200,P47)))))</f>
        <v/>
      </c>
      <c r="R47" s="1" t="str">
        <f>IF(D47="","",IFERROR(MATCH(D47,'Accounts Overview'!$B$2:$B$100,0),""))</f>
        <v/>
      </c>
    </row>
    <row r="48" spans="1:18" ht="15" customHeight="1" x14ac:dyDescent="0.35">
      <c r="A48" s="13" t="str">
        <f t="shared" si="7"/>
        <v/>
      </c>
      <c r="B48" s="13" t="str">
        <f t="shared" si="8"/>
        <v/>
      </c>
      <c r="C48" s="1" t="str">
        <f>IFERROR(INDEX('Input Contact Information'!$C$2:$C$200,MATCH(ROW()-1,'Input Contact Information'!$V$2:$V$200,0)),"")</f>
        <v/>
      </c>
      <c r="D48" s="1" t="str">
        <f>IFERROR(INDEX('Input Contact Information'!$B$2:$B$200,MATCH(ROW()-1,'Input Contact Information'!$V$2:$V$200,0)),"")</f>
        <v/>
      </c>
      <c r="E48" s="1" t="str">
        <f>IF($C48="","",IF(R48="","",IF(INDEX('Accounts Overview'!$A$2:$A$100,R48)="","",INDEX('Accounts Overview'!$A$2:$A$100,R48))))</f>
        <v/>
      </c>
      <c r="F48" s="1" t="str">
        <f>IF($C48="","",IF(P48="","",IF(INDEX('Input Contact Information'!$D$2:$D$200,P48)="","",INDEX('Input Contact Information'!$D$2:$D$200,P48))))</f>
        <v/>
      </c>
      <c r="G48" s="1" t="str">
        <f>IF($C48="","",IF(P48="","",IF(INDEX('Input Contact Information'!$A$2:$A$200,P48)="","",INDEX('Input Contact Information'!$A$2:$A$200,P48))))</f>
        <v/>
      </c>
      <c r="H48" s="1" t="str">
        <f>IF($C48="","",IF(R48="","",IF(INDEX('Accounts Overview'!$I$2:$I$100,R48)="","",INDEX('Accounts Overview'!$I$2:$I$100,R48))))</f>
        <v/>
      </c>
      <c r="I48" s="1" t="str">
        <f t="shared" ca="1" si="9"/>
        <v/>
      </c>
      <c r="J48" s="12" t="str">
        <f>IF($C48="","",IF(P48="","",IF(INDEX('Input Contact Information'!$Q$2:$Q$200,P48)="","",INDEX('Input Contact Information'!$Q$2:$Q$200,P48))))</f>
        <v/>
      </c>
      <c r="K48" s="14" t="str">
        <f t="shared" ca="1" si="10"/>
        <v/>
      </c>
      <c r="L48" s="1" t="str">
        <f t="shared" si="11"/>
        <v/>
      </c>
      <c r="M48" s="1" t="str">
        <f t="shared" si="12"/>
        <v/>
      </c>
      <c r="N48" s="15">
        <f t="shared" ca="1" si="13"/>
        <v>46296</v>
      </c>
      <c r="O48" s="1" t="str">
        <f>IF($C48="","",IF(P48="","",IF(INDEX('Input Contact Information'!$R$2:$R$200,P48)="","",INDEX('Input Contact Information'!$R$2:$R$200,P48))))</f>
        <v/>
      </c>
      <c r="P48" s="1" t="str">
        <f>IF(C48="","",IFERROR(MATCH(C48&amp;"|"&amp;D48,'Input Contact Information'!$W$2:$W$200,0),""))</f>
        <v/>
      </c>
      <c r="Q48" s="1" t="str">
        <f>IF($C48="","",IF((IF(P48="","",IF(INDEX('Input Contact Information'!$N$2:$N$200,P48)="","",INDEX('Input Contact Information'!$N$2:$N$200,P48))))&lt;&gt;"",IF(P48="","",IF(INDEX('Input Contact Information'!$N$2:$N$200,P48)="","",INDEX('Input Contact Information'!$N$2:$N$200,P48))),IF(P48="","",IF(INDEX('Input Contact Information'!$M$2:$M$200,P48)="","",INDEX('Input Contact Information'!$M$2:$M$200,P48)))))</f>
        <v/>
      </c>
      <c r="R48" s="1" t="str">
        <f>IF(D48="","",IFERROR(MATCH(D48,'Accounts Overview'!$B$2:$B$100,0),""))</f>
        <v/>
      </c>
    </row>
    <row r="49" spans="1:18" ht="15" customHeight="1" x14ac:dyDescent="0.35">
      <c r="A49" s="13" t="str">
        <f t="shared" si="7"/>
        <v/>
      </c>
      <c r="B49" s="13" t="str">
        <f t="shared" si="8"/>
        <v/>
      </c>
      <c r="C49" s="1" t="str">
        <f>IFERROR(INDEX('Input Contact Information'!$C$2:$C$200,MATCH(ROW()-1,'Input Contact Information'!$V$2:$V$200,0)),"")</f>
        <v/>
      </c>
      <c r="D49" s="1" t="str">
        <f>IFERROR(INDEX('Input Contact Information'!$B$2:$B$200,MATCH(ROW()-1,'Input Contact Information'!$V$2:$V$200,0)),"")</f>
        <v/>
      </c>
      <c r="E49" s="1" t="str">
        <f>IF($C49="","",IF(R49="","",IF(INDEX('Accounts Overview'!$A$2:$A$100,R49)="","",INDEX('Accounts Overview'!$A$2:$A$100,R49))))</f>
        <v/>
      </c>
      <c r="F49" s="1" t="str">
        <f>IF($C49="","",IF(P49="","",IF(INDEX('Input Contact Information'!$D$2:$D$200,P49)="","",INDEX('Input Contact Information'!$D$2:$D$200,P49))))</f>
        <v/>
      </c>
      <c r="G49" s="1" t="str">
        <f>IF($C49="","",IF(P49="","",IF(INDEX('Input Contact Information'!$A$2:$A$200,P49)="","",INDEX('Input Contact Information'!$A$2:$A$200,P49))))</f>
        <v/>
      </c>
      <c r="H49" s="1" t="str">
        <f>IF($C49="","",IF(R49="","",IF(INDEX('Accounts Overview'!$I$2:$I$100,R49)="","",INDEX('Accounts Overview'!$I$2:$I$100,R49))))</f>
        <v/>
      </c>
      <c r="I49" s="1" t="str">
        <f t="shared" ca="1" si="9"/>
        <v/>
      </c>
      <c r="J49" s="12" t="str">
        <f>IF($C49="","",IF(P49="","",IF(INDEX('Input Contact Information'!$Q$2:$Q$200,P49)="","",INDEX('Input Contact Information'!$Q$2:$Q$200,P49))))</f>
        <v/>
      </c>
      <c r="K49" s="14" t="str">
        <f t="shared" ca="1" si="10"/>
        <v/>
      </c>
      <c r="L49" s="1" t="str">
        <f t="shared" si="11"/>
        <v/>
      </c>
      <c r="M49" s="1" t="str">
        <f t="shared" si="12"/>
        <v/>
      </c>
      <c r="N49" s="15">
        <f t="shared" ca="1" si="13"/>
        <v>46296</v>
      </c>
      <c r="O49" s="1" t="str">
        <f>IF($C49="","",IF(P49="","",IF(INDEX('Input Contact Information'!$R$2:$R$200,P49)="","",INDEX('Input Contact Information'!$R$2:$R$200,P49))))</f>
        <v/>
      </c>
      <c r="P49" s="1" t="str">
        <f>IF(C49="","",IFERROR(MATCH(C49&amp;"|"&amp;D49,'Input Contact Information'!$W$2:$W$200,0),""))</f>
        <v/>
      </c>
      <c r="Q49" s="1" t="str">
        <f>IF($C49="","",IF((IF(P49="","",IF(INDEX('Input Contact Information'!$N$2:$N$200,P49)="","",INDEX('Input Contact Information'!$N$2:$N$200,P49))))&lt;&gt;"",IF(P49="","",IF(INDEX('Input Contact Information'!$N$2:$N$200,P49)="","",INDEX('Input Contact Information'!$N$2:$N$200,P49))),IF(P49="","",IF(INDEX('Input Contact Information'!$M$2:$M$200,P49)="","",INDEX('Input Contact Information'!$M$2:$M$200,P49)))))</f>
        <v/>
      </c>
      <c r="R49" s="1" t="str">
        <f>IF(D49="","",IFERROR(MATCH(D49,'Accounts Overview'!$B$2:$B$100,0),""))</f>
        <v/>
      </c>
    </row>
    <row r="50" spans="1:18" ht="15" customHeight="1" x14ac:dyDescent="0.35">
      <c r="A50" s="13" t="str">
        <f t="shared" si="7"/>
        <v/>
      </c>
      <c r="B50" s="13" t="str">
        <f t="shared" si="8"/>
        <v/>
      </c>
      <c r="C50" s="1" t="str">
        <f>IFERROR(INDEX('Input Contact Information'!$C$2:$C$200,MATCH(ROW()-1,'Input Contact Information'!$V$2:$V$200,0)),"")</f>
        <v/>
      </c>
      <c r="D50" s="1" t="str">
        <f>IFERROR(INDEX('Input Contact Information'!$B$2:$B$200,MATCH(ROW()-1,'Input Contact Information'!$V$2:$V$200,0)),"")</f>
        <v/>
      </c>
      <c r="E50" s="1" t="str">
        <f>IF($C50="","",IF(R50="","",IF(INDEX('Accounts Overview'!$A$2:$A$100,R50)="","",INDEX('Accounts Overview'!$A$2:$A$100,R50))))</f>
        <v/>
      </c>
      <c r="F50" s="1" t="str">
        <f>IF($C50="","",IF(P50="","",IF(INDEX('Input Contact Information'!$D$2:$D$200,P50)="","",INDEX('Input Contact Information'!$D$2:$D$200,P50))))</f>
        <v/>
      </c>
      <c r="G50" s="1" t="str">
        <f>IF($C50="","",IF(P50="","",IF(INDEX('Input Contact Information'!$A$2:$A$200,P50)="","",INDEX('Input Contact Information'!$A$2:$A$200,P50))))</f>
        <v/>
      </c>
      <c r="H50" s="1" t="str">
        <f>IF($C50="","",IF(R50="","",IF(INDEX('Accounts Overview'!$I$2:$I$100,R50)="","",INDEX('Accounts Overview'!$I$2:$I$100,R50))))</f>
        <v/>
      </c>
      <c r="I50" s="1" t="str">
        <f t="shared" ca="1" si="9"/>
        <v/>
      </c>
      <c r="J50" s="12" t="str">
        <f>IF($C50="","",IF(P50="","",IF(INDEX('Input Contact Information'!$Q$2:$Q$200,P50)="","",INDEX('Input Contact Information'!$Q$2:$Q$200,P50))))</f>
        <v/>
      </c>
      <c r="K50" s="14" t="str">
        <f t="shared" ca="1" si="10"/>
        <v/>
      </c>
      <c r="L50" s="1" t="str">
        <f t="shared" si="11"/>
        <v/>
      </c>
      <c r="M50" s="1" t="str">
        <f t="shared" si="12"/>
        <v/>
      </c>
      <c r="N50" s="15">
        <f t="shared" ca="1" si="13"/>
        <v>46296</v>
      </c>
      <c r="O50" s="1" t="str">
        <f>IF($C50="","",IF(P50="","",IF(INDEX('Input Contact Information'!$R$2:$R$200,P50)="","",INDEX('Input Contact Information'!$R$2:$R$200,P50))))</f>
        <v/>
      </c>
      <c r="P50" s="1" t="str">
        <f>IF(C50="","",IFERROR(MATCH(C50&amp;"|"&amp;D50,'Input Contact Information'!$W$2:$W$200,0),""))</f>
        <v/>
      </c>
      <c r="Q50" s="1" t="str">
        <f>IF($C50="","",IF((IF(P50="","",IF(INDEX('Input Contact Information'!$N$2:$N$200,P50)="","",INDEX('Input Contact Information'!$N$2:$N$200,P50))))&lt;&gt;"",IF(P50="","",IF(INDEX('Input Contact Information'!$N$2:$N$200,P50)="","",INDEX('Input Contact Information'!$N$2:$N$200,P50))),IF(P50="","",IF(INDEX('Input Contact Information'!$M$2:$M$200,P50)="","",INDEX('Input Contact Information'!$M$2:$M$200,P50)))))</f>
        <v/>
      </c>
      <c r="R50" s="1" t="str">
        <f>IF(D50="","",IFERROR(MATCH(D50,'Accounts Overview'!$B$2:$B$100,0),""))</f>
        <v/>
      </c>
    </row>
    <row r="51" spans="1:18" ht="15" customHeight="1" x14ac:dyDescent="0.35">
      <c r="A51" s="13" t="str">
        <f t="shared" si="7"/>
        <v/>
      </c>
      <c r="B51" s="13" t="str">
        <f t="shared" si="8"/>
        <v/>
      </c>
      <c r="C51" s="1" t="str">
        <f>IFERROR(INDEX('Input Contact Information'!$C$2:$C$200,MATCH(ROW()-1,'Input Contact Information'!$V$2:$V$200,0)),"")</f>
        <v/>
      </c>
      <c r="D51" s="1" t="str">
        <f>IFERROR(INDEX('Input Contact Information'!$B$2:$B$200,MATCH(ROW()-1,'Input Contact Information'!$V$2:$V$200,0)),"")</f>
        <v/>
      </c>
      <c r="E51" s="1" t="str">
        <f>IF($C51="","",IF(R51="","",IF(INDEX('Accounts Overview'!$A$2:$A$100,R51)="","",INDEX('Accounts Overview'!$A$2:$A$100,R51))))</f>
        <v/>
      </c>
      <c r="F51" s="1" t="str">
        <f>IF($C51="","",IF(P51="","",IF(INDEX('Input Contact Information'!$D$2:$D$200,P51)="","",INDEX('Input Contact Information'!$D$2:$D$200,P51))))</f>
        <v/>
      </c>
      <c r="G51" s="1" t="str">
        <f>IF($C51="","",IF(P51="","",IF(INDEX('Input Contact Information'!$A$2:$A$200,P51)="","",INDEX('Input Contact Information'!$A$2:$A$200,P51))))</f>
        <v/>
      </c>
      <c r="H51" s="1" t="str">
        <f>IF($C51="","",IF(R51="","",IF(INDEX('Accounts Overview'!$I$2:$I$100,R51)="","",INDEX('Accounts Overview'!$I$2:$I$100,R51))))</f>
        <v/>
      </c>
      <c r="I51" s="1" t="str">
        <f t="shared" ca="1" si="9"/>
        <v/>
      </c>
      <c r="J51" s="12" t="str">
        <f>IF($C51="","",IF(P51="","",IF(INDEX('Input Contact Information'!$Q$2:$Q$200,P51)="","",INDEX('Input Contact Information'!$Q$2:$Q$200,P51))))</f>
        <v/>
      </c>
      <c r="K51" s="14" t="str">
        <f t="shared" ca="1" si="10"/>
        <v/>
      </c>
      <c r="L51" s="1" t="str">
        <f t="shared" si="11"/>
        <v/>
      </c>
      <c r="M51" s="1" t="str">
        <f t="shared" si="12"/>
        <v/>
      </c>
      <c r="N51" s="15">
        <f t="shared" ca="1" si="13"/>
        <v>46296</v>
      </c>
      <c r="O51" s="1" t="str">
        <f>IF($C51="","",IF(P51="","",IF(INDEX('Input Contact Information'!$R$2:$R$200,P51)="","",INDEX('Input Contact Information'!$R$2:$R$200,P51))))</f>
        <v/>
      </c>
      <c r="P51" s="1" t="str">
        <f>IF(C51="","",IFERROR(MATCH(C51&amp;"|"&amp;D51,'Input Contact Information'!$W$2:$W$200,0),""))</f>
        <v/>
      </c>
      <c r="Q51" s="1" t="str">
        <f>IF($C51="","",IF((IF(P51="","",IF(INDEX('Input Contact Information'!$N$2:$N$200,P51)="","",INDEX('Input Contact Information'!$N$2:$N$200,P51))))&lt;&gt;"",IF(P51="","",IF(INDEX('Input Contact Information'!$N$2:$N$200,P51)="","",INDEX('Input Contact Information'!$N$2:$N$200,P51))),IF(P51="","",IF(INDEX('Input Contact Information'!$M$2:$M$200,P51)="","",INDEX('Input Contact Information'!$M$2:$M$200,P51)))))</f>
        <v/>
      </c>
      <c r="R51" s="1" t="str">
        <f>IF(D51="","",IFERROR(MATCH(D51,'Accounts Overview'!$B$2:$B$100,0),""))</f>
        <v/>
      </c>
    </row>
    <row r="52" spans="1:18" ht="15" customHeight="1" x14ac:dyDescent="0.35">
      <c r="A52" s="13" t="str">
        <f t="shared" si="7"/>
        <v/>
      </c>
      <c r="B52" s="13" t="str">
        <f t="shared" si="8"/>
        <v/>
      </c>
      <c r="C52" s="1" t="str">
        <f>IFERROR(INDEX('Input Contact Information'!$C$2:$C$200,MATCH(ROW()-1,'Input Contact Information'!$V$2:$V$200,0)),"")</f>
        <v/>
      </c>
      <c r="D52" s="1" t="str">
        <f>IFERROR(INDEX('Input Contact Information'!$B$2:$B$200,MATCH(ROW()-1,'Input Contact Information'!$V$2:$V$200,0)),"")</f>
        <v/>
      </c>
      <c r="E52" s="1" t="str">
        <f>IF($C52="","",IF(R52="","",IF(INDEX('Accounts Overview'!$A$2:$A$100,R52)="","",INDEX('Accounts Overview'!$A$2:$A$100,R52))))</f>
        <v/>
      </c>
      <c r="F52" s="1" t="str">
        <f>IF($C52="","",IF(P52="","",IF(INDEX('Input Contact Information'!$D$2:$D$200,P52)="","",INDEX('Input Contact Information'!$D$2:$D$200,P52))))</f>
        <v/>
      </c>
      <c r="G52" s="1" t="str">
        <f>IF($C52="","",IF(P52="","",IF(INDEX('Input Contact Information'!$A$2:$A$200,P52)="","",INDEX('Input Contact Information'!$A$2:$A$200,P52))))</f>
        <v/>
      </c>
      <c r="H52" s="1" t="str">
        <f>IF($C52="","",IF(R52="","",IF(INDEX('Accounts Overview'!$I$2:$I$100,R52)="","",INDEX('Accounts Overview'!$I$2:$I$100,R52))))</f>
        <v/>
      </c>
      <c r="I52" s="1" t="str">
        <f t="shared" ca="1" si="9"/>
        <v/>
      </c>
      <c r="J52" s="12" t="str">
        <f>IF($C52="","",IF(P52="","",IF(INDEX('Input Contact Information'!$Q$2:$Q$200,P52)="","",INDEX('Input Contact Information'!$Q$2:$Q$200,P52))))</f>
        <v/>
      </c>
      <c r="K52" s="14" t="str">
        <f t="shared" ca="1" si="10"/>
        <v/>
      </c>
      <c r="L52" s="1" t="str">
        <f t="shared" si="11"/>
        <v/>
      </c>
      <c r="M52" s="1" t="str">
        <f t="shared" si="12"/>
        <v/>
      </c>
      <c r="N52" s="15">
        <f t="shared" ca="1" si="13"/>
        <v>46296</v>
      </c>
      <c r="O52" s="1" t="str">
        <f>IF($C52="","",IF(P52="","",IF(INDEX('Input Contact Information'!$R$2:$R$200,P52)="","",INDEX('Input Contact Information'!$R$2:$R$200,P52))))</f>
        <v/>
      </c>
      <c r="P52" s="1" t="str">
        <f>IF(C52="","",IFERROR(MATCH(C52&amp;"|"&amp;D52,'Input Contact Information'!$W$2:$W$200,0),""))</f>
        <v/>
      </c>
      <c r="Q52" s="1" t="str">
        <f>IF($C52="","",IF((IF(P52="","",IF(INDEX('Input Contact Information'!$N$2:$N$200,P52)="","",INDEX('Input Contact Information'!$N$2:$N$200,P52))))&lt;&gt;"",IF(P52="","",IF(INDEX('Input Contact Information'!$N$2:$N$200,P52)="","",INDEX('Input Contact Information'!$N$2:$N$200,P52))),IF(P52="","",IF(INDEX('Input Contact Information'!$M$2:$M$200,P52)="","",INDEX('Input Contact Information'!$M$2:$M$200,P52)))))</f>
        <v/>
      </c>
      <c r="R52" s="1" t="str">
        <f>IF(D52="","",IFERROR(MATCH(D52,'Accounts Overview'!$B$2:$B$100,0),""))</f>
        <v/>
      </c>
    </row>
    <row r="53" spans="1:18" ht="15" customHeight="1" x14ac:dyDescent="0.35">
      <c r="A53" s="13" t="str">
        <f t="shared" si="7"/>
        <v/>
      </c>
      <c r="B53" s="13" t="str">
        <f t="shared" si="8"/>
        <v/>
      </c>
      <c r="C53" s="1" t="str">
        <f>IFERROR(INDEX('Input Contact Information'!$C$2:$C$200,MATCH(ROW()-1,'Input Contact Information'!$V$2:$V$200,0)),"")</f>
        <v/>
      </c>
      <c r="D53" s="1" t="str">
        <f>IFERROR(INDEX('Input Contact Information'!$B$2:$B$200,MATCH(ROW()-1,'Input Contact Information'!$V$2:$V$200,0)),"")</f>
        <v/>
      </c>
      <c r="E53" s="1" t="str">
        <f>IF($C53="","",IF(R53="","",IF(INDEX('Accounts Overview'!$A$2:$A$100,R53)="","",INDEX('Accounts Overview'!$A$2:$A$100,R53))))</f>
        <v/>
      </c>
      <c r="F53" s="1" t="str">
        <f>IF($C53="","",IF(P53="","",IF(INDEX('Input Contact Information'!$D$2:$D$200,P53)="","",INDEX('Input Contact Information'!$D$2:$D$200,P53))))</f>
        <v/>
      </c>
      <c r="G53" s="1" t="str">
        <f>IF($C53="","",IF(P53="","",IF(INDEX('Input Contact Information'!$A$2:$A$200,P53)="","",INDEX('Input Contact Information'!$A$2:$A$200,P53))))</f>
        <v/>
      </c>
      <c r="H53" s="1" t="str">
        <f>IF($C53="","",IF(R53="","",IF(INDEX('Accounts Overview'!$I$2:$I$100,R53)="","",INDEX('Accounts Overview'!$I$2:$I$100,R53))))</f>
        <v/>
      </c>
      <c r="I53" s="1" t="str">
        <f t="shared" ca="1" si="9"/>
        <v/>
      </c>
      <c r="J53" s="12" t="str">
        <f>IF($C53="","",IF(P53="","",IF(INDEX('Input Contact Information'!$Q$2:$Q$200,P53)="","",INDEX('Input Contact Information'!$Q$2:$Q$200,P53))))</f>
        <v/>
      </c>
      <c r="K53" s="14" t="str">
        <f t="shared" ca="1" si="10"/>
        <v/>
      </c>
      <c r="L53" s="1" t="str">
        <f t="shared" si="11"/>
        <v/>
      </c>
      <c r="M53" s="1" t="str">
        <f t="shared" si="12"/>
        <v/>
      </c>
      <c r="N53" s="15">
        <f t="shared" ca="1" si="13"/>
        <v>46296</v>
      </c>
      <c r="O53" s="1" t="str">
        <f>IF($C53="","",IF(P53="","",IF(INDEX('Input Contact Information'!$R$2:$R$200,P53)="","",INDEX('Input Contact Information'!$R$2:$R$200,P53))))</f>
        <v/>
      </c>
      <c r="P53" s="1" t="str">
        <f>IF(C53="","",IFERROR(MATCH(C53&amp;"|"&amp;D53,'Input Contact Information'!$W$2:$W$200,0),""))</f>
        <v/>
      </c>
      <c r="Q53" s="1" t="str">
        <f>IF($C53="","",IF((IF(P53="","",IF(INDEX('Input Contact Information'!$N$2:$N$200,P53)="","",INDEX('Input Contact Information'!$N$2:$N$200,P53))))&lt;&gt;"",IF(P53="","",IF(INDEX('Input Contact Information'!$N$2:$N$200,P53)="","",INDEX('Input Contact Information'!$N$2:$N$200,P53))),IF(P53="","",IF(INDEX('Input Contact Information'!$M$2:$M$200,P53)="","",INDEX('Input Contact Information'!$M$2:$M$200,P53)))))</f>
        <v/>
      </c>
      <c r="R53" s="1" t="str">
        <f>IF(D53="","",IFERROR(MATCH(D53,'Accounts Overview'!$B$2:$B$100,0),""))</f>
        <v/>
      </c>
    </row>
    <row r="54" spans="1:18" ht="15" customHeight="1" x14ac:dyDescent="0.35">
      <c r="A54" s="13" t="str">
        <f t="shared" si="7"/>
        <v/>
      </c>
      <c r="B54" s="13" t="str">
        <f t="shared" si="8"/>
        <v/>
      </c>
      <c r="C54" s="1" t="str">
        <f>IFERROR(INDEX('Input Contact Information'!$C$2:$C$200,MATCH(ROW()-1,'Input Contact Information'!$V$2:$V$200,0)),"")</f>
        <v/>
      </c>
      <c r="D54" s="1" t="str">
        <f>IFERROR(INDEX('Input Contact Information'!$B$2:$B$200,MATCH(ROW()-1,'Input Contact Information'!$V$2:$V$200,0)),"")</f>
        <v/>
      </c>
      <c r="E54" s="1" t="str">
        <f>IF($C54="","",IF(R54="","",IF(INDEX('Accounts Overview'!$A$2:$A$100,R54)="","",INDEX('Accounts Overview'!$A$2:$A$100,R54))))</f>
        <v/>
      </c>
      <c r="F54" s="1" t="str">
        <f>IF($C54="","",IF(P54="","",IF(INDEX('Input Contact Information'!$D$2:$D$200,P54)="","",INDEX('Input Contact Information'!$D$2:$D$200,P54))))</f>
        <v/>
      </c>
      <c r="G54" s="1" t="str">
        <f>IF($C54="","",IF(P54="","",IF(INDEX('Input Contact Information'!$A$2:$A$200,P54)="","",INDEX('Input Contact Information'!$A$2:$A$200,P54))))</f>
        <v/>
      </c>
      <c r="H54" s="1" t="str">
        <f>IF($C54="","",IF(R54="","",IF(INDEX('Accounts Overview'!$I$2:$I$100,R54)="","",INDEX('Accounts Overview'!$I$2:$I$100,R54))))</f>
        <v/>
      </c>
      <c r="I54" s="1" t="str">
        <f t="shared" ca="1" si="9"/>
        <v/>
      </c>
      <c r="J54" s="12" t="str">
        <f>IF($C54="","",IF(P54="","",IF(INDEX('Input Contact Information'!$Q$2:$Q$200,P54)="","",INDEX('Input Contact Information'!$Q$2:$Q$200,P54))))</f>
        <v/>
      </c>
      <c r="K54" s="14" t="str">
        <f t="shared" ca="1" si="10"/>
        <v/>
      </c>
      <c r="L54" s="1" t="str">
        <f t="shared" si="11"/>
        <v/>
      </c>
      <c r="M54" s="1" t="str">
        <f t="shared" si="12"/>
        <v/>
      </c>
      <c r="N54" s="15">
        <f t="shared" ca="1" si="13"/>
        <v>46296</v>
      </c>
      <c r="O54" s="1" t="str">
        <f>IF($C54="","",IF(P54="","",IF(INDEX('Input Contact Information'!$R$2:$R$200,P54)="","",INDEX('Input Contact Information'!$R$2:$R$200,P54))))</f>
        <v/>
      </c>
      <c r="P54" s="1" t="str">
        <f>IF(C54="","",IFERROR(MATCH(C54&amp;"|"&amp;D54,'Input Contact Information'!$W$2:$W$200,0),""))</f>
        <v/>
      </c>
      <c r="Q54" s="1" t="str">
        <f>IF($C54="","",IF((IF(P54="","",IF(INDEX('Input Contact Information'!$N$2:$N$200,P54)="","",INDEX('Input Contact Information'!$N$2:$N$200,P54))))&lt;&gt;"",IF(P54="","",IF(INDEX('Input Contact Information'!$N$2:$N$200,P54)="","",INDEX('Input Contact Information'!$N$2:$N$200,P54))),IF(P54="","",IF(INDEX('Input Contact Information'!$M$2:$M$200,P54)="","",INDEX('Input Contact Information'!$M$2:$M$200,P54)))))</f>
        <v/>
      </c>
      <c r="R54" s="1" t="str">
        <f>IF(D54="","",IFERROR(MATCH(D54,'Accounts Overview'!$B$2:$B$100,0),""))</f>
        <v/>
      </c>
    </row>
    <row r="55" spans="1:18" ht="15" customHeight="1" x14ac:dyDescent="0.35">
      <c r="A55" s="13" t="str">
        <f t="shared" si="7"/>
        <v/>
      </c>
      <c r="B55" s="13" t="str">
        <f t="shared" si="8"/>
        <v/>
      </c>
      <c r="C55" s="1" t="str">
        <f>IFERROR(INDEX('Input Contact Information'!$C$2:$C$200,MATCH(ROW()-1,'Input Contact Information'!$V$2:$V$200,0)),"")</f>
        <v/>
      </c>
      <c r="D55" s="1" t="str">
        <f>IFERROR(INDEX('Input Contact Information'!$B$2:$B$200,MATCH(ROW()-1,'Input Contact Information'!$V$2:$V$200,0)),"")</f>
        <v/>
      </c>
      <c r="E55" s="1" t="str">
        <f>IF($C55="","",IF(R55="","",IF(INDEX('Accounts Overview'!$A$2:$A$100,R55)="","",INDEX('Accounts Overview'!$A$2:$A$100,R55))))</f>
        <v/>
      </c>
      <c r="F55" s="1" t="str">
        <f>IF($C55="","",IF(P55="","",IF(INDEX('Input Contact Information'!$D$2:$D$200,P55)="","",INDEX('Input Contact Information'!$D$2:$D$200,P55))))</f>
        <v/>
      </c>
      <c r="G55" s="1" t="str">
        <f>IF($C55="","",IF(P55="","",IF(INDEX('Input Contact Information'!$A$2:$A$200,P55)="","",INDEX('Input Contact Information'!$A$2:$A$200,P55))))</f>
        <v/>
      </c>
      <c r="H55" s="1" t="str">
        <f>IF($C55="","",IF(R55="","",IF(INDEX('Accounts Overview'!$I$2:$I$100,R55)="","",INDEX('Accounts Overview'!$I$2:$I$100,R55))))</f>
        <v/>
      </c>
      <c r="I55" s="1" t="str">
        <f t="shared" ca="1" si="9"/>
        <v/>
      </c>
      <c r="J55" s="12" t="str">
        <f>IF($C55="","",IF(P55="","",IF(INDEX('Input Contact Information'!$Q$2:$Q$200,P55)="","",INDEX('Input Contact Information'!$Q$2:$Q$200,P55))))</f>
        <v/>
      </c>
      <c r="K55" s="14" t="str">
        <f t="shared" ca="1" si="10"/>
        <v/>
      </c>
      <c r="L55" s="1" t="str">
        <f t="shared" si="11"/>
        <v/>
      </c>
      <c r="M55" s="1" t="str">
        <f t="shared" si="12"/>
        <v/>
      </c>
      <c r="N55" s="15">
        <f t="shared" ca="1" si="13"/>
        <v>46296</v>
      </c>
      <c r="O55" s="1" t="str">
        <f>IF($C55="","",IF(P55="","",IF(INDEX('Input Contact Information'!$R$2:$R$200,P55)="","",INDEX('Input Contact Information'!$R$2:$R$200,P55))))</f>
        <v/>
      </c>
      <c r="P55" s="1" t="str">
        <f>IF(C55="","",IFERROR(MATCH(C55&amp;"|"&amp;D55,'Input Contact Information'!$W$2:$W$200,0),""))</f>
        <v/>
      </c>
      <c r="Q55" s="1" t="str">
        <f>IF($C55="","",IF((IF(P55="","",IF(INDEX('Input Contact Information'!$N$2:$N$200,P55)="","",INDEX('Input Contact Information'!$N$2:$N$200,P55))))&lt;&gt;"",IF(P55="","",IF(INDEX('Input Contact Information'!$N$2:$N$200,P55)="","",INDEX('Input Contact Information'!$N$2:$N$200,P55))),IF(P55="","",IF(INDEX('Input Contact Information'!$M$2:$M$200,P55)="","",INDEX('Input Contact Information'!$M$2:$M$200,P55)))))</f>
        <v/>
      </c>
      <c r="R55" s="1" t="str">
        <f>IF(D55="","",IFERROR(MATCH(D55,'Accounts Overview'!$B$2:$B$100,0),""))</f>
        <v/>
      </c>
    </row>
    <row r="56" spans="1:18" ht="15" customHeight="1" x14ac:dyDescent="0.35">
      <c r="A56" s="13" t="str">
        <f t="shared" si="7"/>
        <v/>
      </c>
      <c r="B56" s="13" t="str">
        <f t="shared" si="8"/>
        <v/>
      </c>
      <c r="C56" s="1" t="str">
        <f>IFERROR(INDEX('Input Contact Information'!$C$2:$C$200,MATCH(ROW()-1,'Input Contact Information'!$V$2:$V$200,0)),"")</f>
        <v/>
      </c>
      <c r="D56" s="1" t="str">
        <f>IFERROR(INDEX('Input Contact Information'!$B$2:$B$200,MATCH(ROW()-1,'Input Contact Information'!$V$2:$V$200,0)),"")</f>
        <v/>
      </c>
      <c r="E56" s="1" t="str">
        <f>IF($C56="","",IF(R56="","",IF(INDEX('Accounts Overview'!$A$2:$A$100,R56)="","",INDEX('Accounts Overview'!$A$2:$A$100,R56))))</f>
        <v/>
      </c>
      <c r="F56" s="1" t="str">
        <f>IF($C56="","",IF(P56="","",IF(INDEX('Input Contact Information'!$D$2:$D$200,P56)="","",INDEX('Input Contact Information'!$D$2:$D$200,P56))))</f>
        <v/>
      </c>
      <c r="G56" s="1" t="str">
        <f>IF($C56="","",IF(P56="","",IF(INDEX('Input Contact Information'!$A$2:$A$200,P56)="","",INDEX('Input Contact Information'!$A$2:$A$200,P56))))</f>
        <v/>
      </c>
      <c r="H56" s="1" t="str">
        <f>IF($C56="","",IF(R56="","",IF(INDEX('Accounts Overview'!$I$2:$I$100,R56)="","",INDEX('Accounts Overview'!$I$2:$I$100,R56))))</f>
        <v/>
      </c>
      <c r="I56" s="1" t="str">
        <f t="shared" ca="1" si="9"/>
        <v/>
      </c>
      <c r="J56" s="12" t="str">
        <f>IF($C56="","",IF(P56="","",IF(INDEX('Input Contact Information'!$Q$2:$Q$200,P56)="","",INDEX('Input Contact Information'!$Q$2:$Q$200,P56))))</f>
        <v/>
      </c>
      <c r="K56" s="14" t="str">
        <f t="shared" ca="1" si="10"/>
        <v/>
      </c>
      <c r="L56" s="1" t="str">
        <f t="shared" si="11"/>
        <v/>
      </c>
      <c r="M56" s="1" t="str">
        <f t="shared" si="12"/>
        <v/>
      </c>
      <c r="N56" s="15">
        <f t="shared" ca="1" si="13"/>
        <v>46296</v>
      </c>
      <c r="O56" s="1" t="str">
        <f>IF($C56="","",IF(P56="","",IF(INDEX('Input Contact Information'!$R$2:$R$200,P56)="","",INDEX('Input Contact Information'!$R$2:$R$200,P56))))</f>
        <v/>
      </c>
      <c r="P56" s="1" t="str">
        <f>IF(C56="","",IFERROR(MATCH(C56&amp;"|"&amp;D56,'Input Contact Information'!$W$2:$W$200,0),""))</f>
        <v/>
      </c>
      <c r="Q56" s="1" t="str">
        <f>IF($C56="","",IF((IF(P56="","",IF(INDEX('Input Contact Information'!$N$2:$N$200,P56)="","",INDEX('Input Contact Information'!$N$2:$N$200,P56))))&lt;&gt;"",IF(P56="","",IF(INDEX('Input Contact Information'!$N$2:$N$200,P56)="","",INDEX('Input Contact Information'!$N$2:$N$200,P56))),IF(P56="","",IF(INDEX('Input Contact Information'!$M$2:$M$200,P56)="","",INDEX('Input Contact Information'!$M$2:$M$200,P56)))))</f>
        <v/>
      </c>
      <c r="R56" s="1" t="str">
        <f>IF(D56="","",IFERROR(MATCH(D56,'Accounts Overview'!$B$2:$B$100,0),""))</f>
        <v/>
      </c>
    </row>
    <row r="57" spans="1:18" ht="15" customHeight="1" x14ac:dyDescent="0.35">
      <c r="A57" s="13" t="str">
        <f t="shared" si="7"/>
        <v/>
      </c>
      <c r="B57" s="13" t="str">
        <f t="shared" si="8"/>
        <v/>
      </c>
      <c r="C57" s="1" t="str">
        <f>IFERROR(INDEX('Input Contact Information'!$C$2:$C$200,MATCH(ROW()-1,'Input Contact Information'!$V$2:$V$200,0)),"")</f>
        <v/>
      </c>
      <c r="D57" s="1" t="str">
        <f>IFERROR(INDEX('Input Contact Information'!$B$2:$B$200,MATCH(ROW()-1,'Input Contact Information'!$V$2:$V$200,0)),"")</f>
        <v/>
      </c>
      <c r="E57" s="1" t="str">
        <f>IF($C57="","",IF(R57="","",IF(INDEX('Accounts Overview'!$A$2:$A$100,R57)="","",INDEX('Accounts Overview'!$A$2:$A$100,R57))))</f>
        <v/>
      </c>
      <c r="F57" s="1" t="str">
        <f>IF($C57="","",IF(P57="","",IF(INDEX('Input Contact Information'!$D$2:$D$200,P57)="","",INDEX('Input Contact Information'!$D$2:$D$200,P57))))</f>
        <v/>
      </c>
      <c r="G57" s="1" t="str">
        <f>IF($C57="","",IF(P57="","",IF(INDEX('Input Contact Information'!$A$2:$A$200,P57)="","",INDEX('Input Contact Information'!$A$2:$A$200,P57))))</f>
        <v/>
      </c>
      <c r="H57" s="1" t="str">
        <f>IF($C57="","",IF(R57="","",IF(INDEX('Accounts Overview'!$I$2:$I$100,R57)="","",INDEX('Accounts Overview'!$I$2:$I$100,R57))))</f>
        <v/>
      </c>
      <c r="I57" s="1" t="str">
        <f t="shared" ca="1" si="9"/>
        <v/>
      </c>
      <c r="J57" s="12" t="str">
        <f>IF($C57="","",IF(P57="","",IF(INDEX('Input Contact Information'!$Q$2:$Q$200,P57)="","",INDEX('Input Contact Information'!$Q$2:$Q$200,P57))))</f>
        <v/>
      </c>
      <c r="K57" s="14" t="str">
        <f t="shared" ca="1" si="10"/>
        <v/>
      </c>
      <c r="L57" s="1" t="str">
        <f t="shared" si="11"/>
        <v/>
      </c>
      <c r="M57" s="1" t="str">
        <f t="shared" si="12"/>
        <v/>
      </c>
      <c r="N57" s="15">
        <f t="shared" ca="1" si="13"/>
        <v>46296</v>
      </c>
      <c r="O57" s="1" t="str">
        <f>IF($C57="","",IF(P57="","",IF(INDEX('Input Contact Information'!$R$2:$R$200,P57)="","",INDEX('Input Contact Information'!$R$2:$R$200,P57))))</f>
        <v/>
      </c>
      <c r="P57" s="1" t="str">
        <f>IF(C57="","",IFERROR(MATCH(C57&amp;"|"&amp;D57,'Input Contact Information'!$W$2:$W$200,0),""))</f>
        <v/>
      </c>
      <c r="Q57" s="1" t="str">
        <f>IF($C57="","",IF((IF(P57="","",IF(INDEX('Input Contact Information'!$N$2:$N$200,P57)="","",INDEX('Input Contact Information'!$N$2:$N$200,P57))))&lt;&gt;"",IF(P57="","",IF(INDEX('Input Contact Information'!$N$2:$N$200,P57)="","",INDEX('Input Contact Information'!$N$2:$N$200,P57))),IF(P57="","",IF(INDEX('Input Contact Information'!$M$2:$M$200,P57)="","",INDEX('Input Contact Information'!$M$2:$M$200,P57)))))</f>
        <v/>
      </c>
      <c r="R57" s="1" t="str">
        <f>IF(D57="","",IFERROR(MATCH(D57,'Accounts Overview'!$B$2:$B$100,0),""))</f>
        <v/>
      </c>
    </row>
    <row r="58" spans="1:18" ht="15" customHeight="1" x14ac:dyDescent="0.35">
      <c r="A58" s="13" t="str">
        <f t="shared" si="7"/>
        <v/>
      </c>
      <c r="B58" s="13" t="str">
        <f t="shared" si="8"/>
        <v/>
      </c>
      <c r="C58" s="1" t="str">
        <f>IFERROR(INDEX('Input Contact Information'!$C$2:$C$200,MATCH(ROW()-1,'Input Contact Information'!$V$2:$V$200,0)),"")</f>
        <v/>
      </c>
      <c r="D58" s="1" t="str">
        <f>IFERROR(INDEX('Input Contact Information'!$B$2:$B$200,MATCH(ROW()-1,'Input Contact Information'!$V$2:$V$200,0)),"")</f>
        <v/>
      </c>
      <c r="E58" s="1" t="str">
        <f>IF($C58="","",IF(R58="","",IF(INDEX('Accounts Overview'!$A$2:$A$100,R58)="","",INDEX('Accounts Overview'!$A$2:$A$100,R58))))</f>
        <v/>
      </c>
      <c r="F58" s="1" t="str">
        <f>IF($C58="","",IF(P58="","",IF(INDEX('Input Contact Information'!$D$2:$D$200,P58)="","",INDEX('Input Contact Information'!$D$2:$D$200,P58))))</f>
        <v/>
      </c>
      <c r="G58" s="1" t="str">
        <f>IF($C58="","",IF(P58="","",IF(INDEX('Input Contact Information'!$A$2:$A$200,P58)="","",INDEX('Input Contact Information'!$A$2:$A$200,P58))))</f>
        <v/>
      </c>
      <c r="H58" s="1" t="str">
        <f>IF($C58="","",IF(R58="","",IF(INDEX('Accounts Overview'!$I$2:$I$100,R58)="","",INDEX('Accounts Overview'!$I$2:$I$100,R58))))</f>
        <v/>
      </c>
      <c r="I58" s="1" t="str">
        <f t="shared" ca="1" si="9"/>
        <v/>
      </c>
      <c r="J58" s="12" t="str">
        <f>IF($C58="","",IF(P58="","",IF(INDEX('Input Contact Information'!$Q$2:$Q$200,P58)="","",INDEX('Input Contact Information'!$Q$2:$Q$200,P58))))</f>
        <v/>
      </c>
      <c r="K58" s="14" t="str">
        <f t="shared" ca="1" si="10"/>
        <v/>
      </c>
      <c r="L58" s="1" t="str">
        <f t="shared" si="11"/>
        <v/>
      </c>
      <c r="M58" s="1" t="str">
        <f t="shared" si="12"/>
        <v/>
      </c>
      <c r="N58" s="15">
        <f t="shared" ca="1" si="13"/>
        <v>46296</v>
      </c>
      <c r="O58" s="1" t="str">
        <f>IF($C58="","",IF(P58="","",IF(INDEX('Input Contact Information'!$R$2:$R$200,P58)="","",INDEX('Input Contact Information'!$R$2:$R$200,P58))))</f>
        <v/>
      </c>
      <c r="P58" s="1" t="str">
        <f>IF(C58="","",IFERROR(MATCH(C58&amp;"|"&amp;D58,'Input Contact Information'!$W$2:$W$200,0),""))</f>
        <v/>
      </c>
      <c r="Q58" s="1" t="str">
        <f>IF($C58="","",IF((IF(P58="","",IF(INDEX('Input Contact Information'!$N$2:$N$200,P58)="","",INDEX('Input Contact Information'!$N$2:$N$200,P58))))&lt;&gt;"",IF(P58="","",IF(INDEX('Input Contact Information'!$N$2:$N$200,P58)="","",INDEX('Input Contact Information'!$N$2:$N$200,P58))),IF(P58="","",IF(INDEX('Input Contact Information'!$M$2:$M$200,P58)="","",INDEX('Input Contact Information'!$M$2:$M$200,P58)))))</f>
        <v/>
      </c>
      <c r="R58" s="1" t="str">
        <f>IF(D58="","",IFERROR(MATCH(D58,'Accounts Overview'!$B$2:$B$100,0),""))</f>
        <v/>
      </c>
    </row>
    <row r="59" spans="1:18" ht="15" customHeight="1" x14ac:dyDescent="0.35">
      <c r="A59" s="13" t="str">
        <f t="shared" si="7"/>
        <v/>
      </c>
      <c r="B59" s="13" t="str">
        <f t="shared" si="8"/>
        <v/>
      </c>
      <c r="C59" s="1" t="str">
        <f>IFERROR(INDEX('Input Contact Information'!$C$2:$C$200,MATCH(ROW()-1,'Input Contact Information'!$V$2:$V$200,0)),"")</f>
        <v/>
      </c>
      <c r="D59" s="1" t="str">
        <f>IFERROR(INDEX('Input Contact Information'!$B$2:$B$200,MATCH(ROW()-1,'Input Contact Information'!$V$2:$V$200,0)),"")</f>
        <v/>
      </c>
      <c r="E59" s="1" t="str">
        <f>IF($C59="","",IF(R59="","",IF(INDEX('Accounts Overview'!$A$2:$A$100,R59)="","",INDEX('Accounts Overview'!$A$2:$A$100,R59))))</f>
        <v/>
      </c>
      <c r="F59" s="1" t="str">
        <f>IF($C59="","",IF(P59="","",IF(INDEX('Input Contact Information'!$D$2:$D$200,P59)="","",INDEX('Input Contact Information'!$D$2:$D$200,P59))))</f>
        <v/>
      </c>
      <c r="G59" s="1" t="str">
        <f>IF($C59="","",IF(P59="","",IF(INDEX('Input Contact Information'!$A$2:$A$200,P59)="","",INDEX('Input Contact Information'!$A$2:$A$200,P59))))</f>
        <v/>
      </c>
      <c r="H59" s="1" t="str">
        <f>IF($C59="","",IF(R59="","",IF(INDEX('Accounts Overview'!$I$2:$I$100,R59)="","",INDEX('Accounts Overview'!$I$2:$I$100,R59))))</f>
        <v/>
      </c>
      <c r="I59" s="1" t="str">
        <f t="shared" ca="1" si="9"/>
        <v/>
      </c>
      <c r="J59" s="12" t="str">
        <f>IF($C59="","",IF(P59="","",IF(INDEX('Input Contact Information'!$Q$2:$Q$200,P59)="","",INDEX('Input Contact Information'!$Q$2:$Q$200,P59))))</f>
        <v/>
      </c>
      <c r="K59" s="14" t="str">
        <f t="shared" ca="1" si="10"/>
        <v/>
      </c>
      <c r="L59" s="1" t="str">
        <f t="shared" si="11"/>
        <v/>
      </c>
      <c r="M59" s="1" t="str">
        <f t="shared" si="12"/>
        <v/>
      </c>
      <c r="N59" s="15">
        <f t="shared" ca="1" si="13"/>
        <v>46296</v>
      </c>
      <c r="O59" s="1" t="str">
        <f>IF($C59="","",IF(P59="","",IF(INDEX('Input Contact Information'!$R$2:$R$200,P59)="","",INDEX('Input Contact Information'!$R$2:$R$200,P59))))</f>
        <v/>
      </c>
      <c r="P59" s="1" t="str">
        <f>IF(C59="","",IFERROR(MATCH(C59&amp;"|"&amp;D59,'Input Contact Information'!$W$2:$W$200,0),""))</f>
        <v/>
      </c>
      <c r="Q59" s="1" t="str">
        <f>IF($C59="","",IF((IF(P59="","",IF(INDEX('Input Contact Information'!$N$2:$N$200,P59)="","",INDEX('Input Contact Information'!$N$2:$N$200,P59))))&lt;&gt;"",IF(P59="","",IF(INDEX('Input Contact Information'!$N$2:$N$200,P59)="","",INDEX('Input Contact Information'!$N$2:$N$200,P59))),IF(P59="","",IF(INDEX('Input Contact Information'!$M$2:$M$200,P59)="","",INDEX('Input Contact Information'!$M$2:$M$200,P59)))))</f>
        <v/>
      </c>
      <c r="R59" s="1" t="str">
        <f>IF(D59="","",IFERROR(MATCH(D59,'Accounts Overview'!$B$2:$B$100,0),""))</f>
        <v/>
      </c>
    </row>
    <row r="60" spans="1:18" ht="15" customHeight="1" x14ac:dyDescent="0.35">
      <c r="A60" s="13" t="str">
        <f t="shared" si="7"/>
        <v/>
      </c>
      <c r="B60" s="13" t="str">
        <f t="shared" si="8"/>
        <v/>
      </c>
      <c r="C60" s="1" t="str">
        <f>IFERROR(INDEX('Input Contact Information'!$C$2:$C$200,MATCH(ROW()-1,'Input Contact Information'!$V$2:$V$200,0)),"")</f>
        <v/>
      </c>
      <c r="D60" s="1" t="str">
        <f>IFERROR(INDEX('Input Contact Information'!$B$2:$B$200,MATCH(ROW()-1,'Input Contact Information'!$V$2:$V$200,0)),"")</f>
        <v/>
      </c>
      <c r="E60" s="1" t="str">
        <f>IF($C60="","",IF(R60="","",IF(INDEX('Accounts Overview'!$A$2:$A$100,R60)="","",INDEX('Accounts Overview'!$A$2:$A$100,R60))))</f>
        <v/>
      </c>
      <c r="F60" s="1" t="str">
        <f>IF($C60="","",IF(P60="","",IF(INDEX('Input Contact Information'!$D$2:$D$200,P60)="","",INDEX('Input Contact Information'!$D$2:$D$200,P60))))</f>
        <v/>
      </c>
      <c r="G60" s="1" t="str">
        <f>IF($C60="","",IF(P60="","",IF(INDEX('Input Contact Information'!$A$2:$A$200,P60)="","",INDEX('Input Contact Information'!$A$2:$A$200,P60))))</f>
        <v/>
      </c>
      <c r="H60" s="1" t="str">
        <f>IF($C60="","",IF(R60="","",IF(INDEX('Accounts Overview'!$I$2:$I$100,R60)="","",INDEX('Accounts Overview'!$I$2:$I$100,R60))))</f>
        <v/>
      </c>
      <c r="I60" s="1" t="str">
        <f t="shared" ca="1" si="9"/>
        <v/>
      </c>
      <c r="J60" s="12" t="str">
        <f>IF($C60="","",IF(P60="","",IF(INDEX('Input Contact Information'!$Q$2:$Q$200,P60)="","",INDEX('Input Contact Information'!$Q$2:$Q$200,P60))))</f>
        <v/>
      </c>
      <c r="K60" s="14" t="str">
        <f t="shared" ca="1" si="10"/>
        <v/>
      </c>
      <c r="L60" s="1" t="str">
        <f t="shared" si="11"/>
        <v/>
      </c>
      <c r="M60" s="1" t="str">
        <f t="shared" si="12"/>
        <v/>
      </c>
      <c r="N60" s="15">
        <f t="shared" ca="1" si="13"/>
        <v>46296</v>
      </c>
      <c r="O60" s="1" t="str">
        <f>IF($C60="","",IF(P60="","",IF(INDEX('Input Contact Information'!$R$2:$R$200,P60)="","",INDEX('Input Contact Information'!$R$2:$R$200,P60))))</f>
        <v/>
      </c>
      <c r="P60" s="1" t="str">
        <f>IF(C60="","",IFERROR(MATCH(C60&amp;"|"&amp;D60,'Input Contact Information'!$W$2:$W$200,0),""))</f>
        <v/>
      </c>
      <c r="Q60" s="1" t="str">
        <f>IF($C60="","",IF((IF(P60="","",IF(INDEX('Input Contact Information'!$N$2:$N$200,P60)="","",INDEX('Input Contact Information'!$N$2:$N$200,P60))))&lt;&gt;"",IF(P60="","",IF(INDEX('Input Contact Information'!$N$2:$N$200,P60)="","",INDEX('Input Contact Information'!$N$2:$N$200,P60))),IF(P60="","",IF(INDEX('Input Contact Information'!$M$2:$M$200,P60)="","",INDEX('Input Contact Information'!$M$2:$M$200,P60)))))</f>
        <v/>
      </c>
      <c r="R60" s="1" t="str">
        <f>IF(D60="","",IFERROR(MATCH(D60,'Accounts Overview'!$B$2:$B$100,0),""))</f>
        <v/>
      </c>
    </row>
    <row r="61" spans="1:18" ht="15" customHeight="1" x14ac:dyDescent="0.35">
      <c r="A61" s="13" t="str">
        <f t="shared" si="7"/>
        <v/>
      </c>
      <c r="B61" s="13" t="str">
        <f t="shared" si="8"/>
        <v/>
      </c>
      <c r="C61" s="1" t="str">
        <f>IFERROR(INDEX('Input Contact Information'!$C$2:$C$200,MATCH(ROW()-1,'Input Contact Information'!$V$2:$V$200,0)),"")</f>
        <v/>
      </c>
      <c r="D61" s="1" t="str">
        <f>IFERROR(INDEX('Input Contact Information'!$B$2:$B$200,MATCH(ROW()-1,'Input Contact Information'!$V$2:$V$200,0)),"")</f>
        <v/>
      </c>
      <c r="E61" s="1" t="str">
        <f>IF($C61="","",IF(R61="","",IF(INDEX('Accounts Overview'!$A$2:$A$100,R61)="","",INDEX('Accounts Overview'!$A$2:$A$100,R61))))</f>
        <v/>
      </c>
      <c r="F61" s="1" t="str">
        <f>IF($C61="","",IF(P61="","",IF(INDEX('Input Contact Information'!$D$2:$D$200,P61)="","",INDEX('Input Contact Information'!$D$2:$D$200,P61))))</f>
        <v/>
      </c>
      <c r="G61" s="1" t="str">
        <f>IF($C61="","",IF(P61="","",IF(INDEX('Input Contact Information'!$A$2:$A$200,P61)="","",INDEX('Input Contact Information'!$A$2:$A$200,P61))))</f>
        <v/>
      </c>
      <c r="H61" s="1" t="str">
        <f>IF($C61="","",IF(R61="","",IF(INDEX('Accounts Overview'!$I$2:$I$100,R61)="","",INDEX('Accounts Overview'!$I$2:$I$100,R61))))</f>
        <v/>
      </c>
      <c r="I61" s="1" t="str">
        <f t="shared" ca="1" si="9"/>
        <v/>
      </c>
      <c r="J61" s="12" t="str">
        <f>IF($C61="","",IF(P61="","",IF(INDEX('Input Contact Information'!$Q$2:$Q$200,P61)="","",INDEX('Input Contact Information'!$Q$2:$Q$200,P61))))</f>
        <v/>
      </c>
      <c r="K61" s="14" t="str">
        <f t="shared" ca="1" si="10"/>
        <v/>
      </c>
      <c r="L61" s="1" t="str">
        <f t="shared" si="11"/>
        <v/>
      </c>
      <c r="M61" s="1" t="str">
        <f t="shared" si="12"/>
        <v/>
      </c>
      <c r="N61" s="15">
        <f t="shared" ca="1" si="13"/>
        <v>46296</v>
      </c>
      <c r="O61" s="1" t="str">
        <f>IF($C61="","",IF(P61="","",IF(INDEX('Input Contact Information'!$R$2:$R$200,P61)="","",INDEX('Input Contact Information'!$R$2:$R$200,P61))))</f>
        <v/>
      </c>
      <c r="P61" s="1" t="str">
        <f>IF(C61="","",IFERROR(MATCH(C61&amp;"|"&amp;D61,'Input Contact Information'!$W$2:$W$200,0),""))</f>
        <v/>
      </c>
      <c r="Q61" s="1" t="str">
        <f>IF($C61="","",IF((IF(P61="","",IF(INDEX('Input Contact Information'!$N$2:$N$200,P61)="","",INDEX('Input Contact Information'!$N$2:$N$200,P61))))&lt;&gt;"",IF(P61="","",IF(INDEX('Input Contact Information'!$N$2:$N$200,P61)="","",INDEX('Input Contact Information'!$N$2:$N$200,P61))),IF(P61="","",IF(INDEX('Input Contact Information'!$M$2:$M$200,P61)="","",INDEX('Input Contact Information'!$M$2:$M$200,P61)))))</f>
        <v/>
      </c>
      <c r="R61" s="1" t="str">
        <f>IF(D61="","",IFERROR(MATCH(D61,'Accounts Overview'!$B$2:$B$100,0),""))</f>
        <v/>
      </c>
    </row>
    <row r="62" spans="1:18" ht="15" customHeight="1" x14ac:dyDescent="0.35">
      <c r="A62" s="13" t="str">
        <f t="shared" si="7"/>
        <v/>
      </c>
      <c r="B62" s="13" t="str">
        <f t="shared" si="8"/>
        <v/>
      </c>
      <c r="C62" s="1" t="str">
        <f>IFERROR(INDEX('Input Contact Information'!$C$2:$C$200,MATCH(ROW()-1,'Input Contact Information'!$V$2:$V$200,0)),"")</f>
        <v/>
      </c>
      <c r="D62" s="1" t="str">
        <f>IFERROR(INDEX('Input Contact Information'!$B$2:$B$200,MATCH(ROW()-1,'Input Contact Information'!$V$2:$V$200,0)),"")</f>
        <v/>
      </c>
      <c r="E62" s="1" t="str">
        <f>IF($C62="","",IF(R62="","",IF(INDEX('Accounts Overview'!$A$2:$A$100,R62)="","",INDEX('Accounts Overview'!$A$2:$A$100,R62))))</f>
        <v/>
      </c>
      <c r="F62" s="1" t="str">
        <f>IF($C62="","",IF(P62="","",IF(INDEX('Input Contact Information'!$D$2:$D$200,P62)="","",INDEX('Input Contact Information'!$D$2:$D$200,P62))))</f>
        <v/>
      </c>
      <c r="G62" s="1" t="str">
        <f>IF($C62="","",IF(P62="","",IF(INDEX('Input Contact Information'!$A$2:$A$200,P62)="","",INDEX('Input Contact Information'!$A$2:$A$200,P62))))</f>
        <v/>
      </c>
      <c r="H62" s="1" t="str">
        <f>IF($C62="","",IF(R62="","",IF(INDEX('Accounts Overview'!$I$2:$I$100,R62)="","",INDEX('Accounts Overview'!$I$2:$I$100,R62))))</f>
        <v/>
      </c>
      <c r="I62" s="1" t="str">
        <f t="shared" ca="1" si="9"/>
        <v/>
      </c>
      <c r="J62" s="12" t="str">
        <f>IF($C62="","",IF(P62="","",IF(INDEX('Input Contact Information'!$Q$2:$Q$200,P62)="","",INDEX('Input Contact Information'!$Q$2:$Q$200,P62))))</f>
        <v/>
      </c>
      <c r="K62" s="14" t="str">
        <f t="shared" ca="1" si="10"/>
        <v/>
      </c>
      <c r="L62" s="1" t="str">
        <f t="shared" si="11"/>
        <v/>
      </c>
      <c r="M62" s="1" t="str">
        <f t="shared" si="12"/>
        <v/>
      </c>
      <c r="N62" s="15">
        <f t="shared" ca="1" si="13"/>
        <v>46296</v>
      </c>
      <c r="O62" s="1" t="str">
        <f>IF($C62="","",IF(P62="","",IF(INDEX('Input Contact Information'!$R$2:$R$200,P62)="","",INDEX('Input Contact Information'!$R$2:$R$200,P62))))</f>
        <v/>
      </c>
      <c r="P62" s="1" t="str">
        <f>IF(C62="","",IFERROR(MATCH(C62&amp;"|"&amp;D62,'Input Contact Information'!$W$2:$W$200,0),""))</f>
        <v/>
      </c>
      <c r="Q62" s="1" t="str">
        <f>IF($C62="","",IF((IF(P62="","",IF(INDEX('Input Contact Information'!$N$2:$N$200,P62)="","",INDEX('Input Contact Information'!$N$2:$N$200,P62))))&lt;&gt;"",IF(P62="","",IF(INDEX('Input Contact Information'!$N$2:$N$200,P62)="","",INDEX('Input Contact Information'!$N$2:$N$200,P62))),IF(P62="","",IF(INDEX('Input Contact Information'!$M$2:$M$200,P62)="","",INDEX('Input Contact Information'!$M$2:$M$200,P62)))))</f>
        <v/>
      </c>
      <c r="R62" s="1" t="str">
        <f>IF(D62="","",IFERROR(MATCH(D62,'Accounts Overview'!$B$2:$B$100,0),""))</f>
        <v/>
      </c>
    </row>
    <row r="63" spans="1:18" ht="15" customHeight="1" x14ac:dyDescent="0.35">
      <c r="A63" s="13" t="str">
        <f t="shared" si="7"/>
        <v/>
      </c>
      <c r="B63" s="13" t="str">
        <f t="shared" si="8"/>
        <v/>
      </c>
      <c r="C63" s="1" t="str">
        <f>IFERROR(INDEX('Input Contact Information'!$C$2:$C$200,MATCH(ROW()-1,'Input Contact Information'!$V$2:$V$200,0)),"")</f>
        <v/>
      </c>
      <c r="D63" s="1" t="str">
        <f>IFERROR(INDEX('Input Contact Information'!$B$2:$B$200,MATCH(ROW()-1,'Input Contact Information'!$V$2:$V$200,0)),"")</f>
        <v/>
      </c>
      <c r="E63" s="1" t="str">
        <f>IF($C63="","",IF(R63="","",IF(INDEX('Accounts Overview'!$A$2:$A$100,R63)="","",INDEX('Accounts Overview'!$A$2:$A$100,R63))))</f>
        <v/>
      </c>
      <c r="F63" s="1" t="str">
        <f>IF($C63="","",IF(P63="","",IF(INDEX('Input Contact Information'!$D$2:$D$200,P63)="","",INDEX('Input Contact Information'!$D$2:$D$200,P63))))</f>
        <v/>
      </c>
      <c r="G63" s="1" t="str">
        <f>IF($C63="","",IF(P63="","",IF(INDEX('Input Contact Information'!$A$2:$A$200,P63)="","",INDEX('Input Contact Information'!$A$2:$A$200,P63))))</f>
        <v/>
      </c>
      <c r="H63" s="1" t="str">
        <f>IF($C63="","",IF(R63="","",IF(INDEX('Accounts Overview'!$I$2:$I$100,R63)="","",INDEX('Accounts Overview'!$I$2:$I$100,R63))))</f>
        <v/>
      </c>
      <c r="I63" s="1" t="str">
        <f t="shared" ca="1" si="9"/>
        <v/>
      </c>
      <c r="J63" s="12" t="str">
        <f>IF($C63="","",IF(P63="","",IF(INDEX('Input Contact Information'!$Q$2:$Q$200,P63)="","",INDEX('Input Contact Information'!$Q$2:$Q$200,P63))))</f>
        <v/>
      </c>
      <c r="K63" s="14" t="str">
        <f t="shared" ca="1" si="10"/>
        <v/>
      </c>
      <c r="L63" s="1" t="str">
        <f t="shared" si="11"/>
        <v/>
      </c>
      <c r="M63" s="1" t="str">
        <f t="shared" si="12"/>
        <v/>
      </c>
      <c r="N63" s="15">
        <f t="shared" ca="1" si="13"/>
        <v>46296</v>
      </c>
      <c r="O63" s="1" t="str">
        <f>IF($C63="","",IF(P63="","",IF(INDEX('Input Contact Information'!$R$2:$R$200,P63)="","",INDEX('Input Contact Information'!$R$2:$R$200,P63))))</f>
        <v/>
      </c>
      <c r="P63" s="1" t="str">
        <f>IF(C63="","",IFERROR(MATCH(C63&amp;"|"&amp;D63,'Input Contact Information'!$W$2:$W$200,0),""))</f>
        <v/>
      </c>
      <c r="Q63" s="1" t="str">
        <f>IF($C63="","",IF((IF(P63="","",IF(INDEX('Input Contact Information'!$N$2:$N$200,P63)="","",INDEX('Input Contact Information'!$N$2:$N$200,P63))))&lt;&gt;"",IF(P63="","",IF(INDEX('Input Contact Information'!$N$2:$N$200,P63)="","",INDEX('Input Contact Information'!$N$2:$N$200,P63))),IF(P63="","",IF(INDEX('Input Contact Information'!$M$2:$M$200,P63)="","",INDEX('Input Contact Information'!$M$2:$M$200,P63)))))</f>
        <v/>
      </c>
      <c r="R63" s="1" t="str">
        <f>IF(D63="","",IFERROR(MATCH(D63,'Accounts Overview'!$B$2:$B$100,0),""))</f>
        <v/>
      </c>
    </row>
    <row r="64" spans="1:18" ht="15" customHeight="1" x14ac:dyDescent="0.35">
      <c r="A64" s="13" t="str">
        <f t="shared" si="7"/>
        <v/>
      </c>
      <c r="B64" s="13" t="str">
        <f t="shared" si="8"/>
        <v/>
      </c>
      <c r="C64" s="1" t="str">
        <f>IFERROR(INDEX('Input Contact Information'!$C$2:$C$200,MATCH(ROW()-1,'Input Contact Information'!$V$2:$V$200,0)),"")</f>
        <v/>
      </c>
      <c r="D64" s="1" t="str">
        <f>IFERROR(INDEX('Input Contact Information'!$B$2:$B$200,MATCH(ROW()-1,'Input Contact Information'!$V$2:$V$200,0)),"")</f>
        <v/>
      </c>
      <c r="E64" s="1" t="str">
        <f>IF($C64="","",IF(R64="","",IF(INDEX('Accounts Overview'!$A$2:$A$100,R64)="","",INDEX('Accounts Overview'!$A$2:$A$100,R64))))</f>
        <v/>
      </c>
      <c r="F64" s="1" t="str">
        <f>IF($C64="","",IF(P64="","",IF(INDEX('Input Contact Information'!$D$2:$D$200,P64)="","",INDEX('Input Contact Information'!$D$2:$D$200,P64))))</f>
        <v/>
      </c>
      <c r="G64" s="1" t="str">
        <f>IF($C64="","",IF(P64="","",IF(INDEX('Input Contact Information'!$A$2:$A$200,P64)="","",INDEX('Input Contact Information'!$A$2:$A$200,P64))))</f>
        <v/>
      </c>
      <c r="H64" s="1" t="str">
        <f>IF($C64="","",IF(R64="","",IF(INDEX('Accounts Overview'!$I$2:$I$100,R64)="","",INDEX('Accounts Overview'!$I$2:$I$100,R64))))</f>
        <v/>
      </c>
      <c r="I64" s="1" t="str">
        <f t="shared" ca="1" si="9"/>
        <v/>
      </c>
      <c r="J64" s="12" t="str">
        <f>IF($C64="","",IF(P64="","",IF(INDEX('Input Contact Information'!$Q$2:$Q$200,P64)="","",INDEX('Input Contact Information'!$Q$2:$Q$200,P64))))</f>
        <v/>
      </c>
      <c r="K64" s="14" t="str">
        <f t="shared" ca="1" si="10"/>
        <v/>
      </c>
      <c r="L64" s="1" t="str">
        <f t="shared" si="11"/>
        <v/>
      </c>
      <c r="M64" s="1" t="str">
        <f t="shared" si="12"/>
        <v/>
      </c>
      <c r="N64" s="15">
        <f t="shared" ca="1" si="13"/>
        <v>46296</v>
      </c>
      <c r="O64" s="1" t="str">
        <f>IF($C64="","",IF(P64="","",IF(INDEX('Input Contact Information'!$R$2:$R$200,P64)="","",INDEX('Input Contact Information'!$R$2:$R$200,P64))))</f>
        <v/>
      </c>
      <c r="P64" s="1" t="str">
        <f>IF(C64="","",IFERROR(MATCH(C64&amp;"|"&amp;D64,'Input Contact Information'!$W$2:$W$200,0),""))</f>
        <v/>
      </c>
      <c r="Q64" s="1" t="str">
        <f>IF($C64="","",IF((IF(P64="","",IF(INDEX('Input Contact Information'!$N$2:$N$200,P64)="","",INDEX('Input Contact Information'!$N$2:$N$200,P64))))&lt;&gt;"",IF(P64="","",IF(INDEX('Input Contact Information'!$N$2:$N$200,P64)="","",INDEX('Input Contact Information'!$N$2:$N$200,P64))),IF(P64="","",IF(INDEX('Input Contact Information'!$M$2:$M$200,P64)="","",INDEX('Input Contact Information'!$M$2:$M$200,P64)))))</f>
        <v/>
      </c>
      <c r="R64" s="1" t="str">
        <f>IF(D64="","",IFERROR(MATCH(D64,'Accounts Overview'!$B$2:$B$100,0),""))</f>
        <v/>
      </c>
    </row>
    <row r="65" spans="1:18" ht="15" customHeight="1" x14ac:dyDescent="0.35">
      <c r="A65" s="13" t="str">
        <f t="shared" si="7"/>
        <v/>
      </c>
      <c r="B65" s="13" t="str">
        <f t="shared" si="8"/>
        <v/>
      </c>
      <c r="C65" s="1" t="str">
        <f>IFERROR(INDEX('Input Contact Information'!$C$2:$C$200,MATCH(ROW()-1,'Input Contact Information'!$V$2:$V$200,0)),"")</f>
        <v/>
      </c>
      <c r="D65" s="1" t="str">
        <f>IFERROR(INDEX('Input Contact Information'!$B$2:$B$200,MATCH(ROW()-1,'Input Contact Information'!$V$2:$V$200,0)),"")</f>
        <v/>
      </c>
      <c r="E65" s="1" t="str">
        <f>IF($C65="","",IF(R65="","",IF(INDEX('Accounts Overview'!$A$2:$A$100,R65)="","",INDEX('Accounts Overview'!$A$2:$A$100,R65))))</f>
        <v/>
      </c>
      <c r="F65" s="1" t="str">
        <f>IF($C65="","",IF(P65="","",IF(INDEX('Input Contact Information'!$D$2:$D$200,P65)="","",INDEX('Input Contact Information'!$D$2:$D$200,P65))))</f>
        <v/>
      </c>
      <c r="G65" s="1" t="str">
        <f>IF($C65="","",IF(P65="","",IF(INDEX('Input Contact Information'!$A$2:$A$200,P65)="","",INDEX('Input Contact Information'!$A$2:$A$200,P65))))</f>
        <v/>
      </c>
      <c r="H65" s="1" t="str">
        <f>IF($C65="","",IF(R65="","",IF(INDEX('Accounts Overview'!$I$2:$I$100,R65)="","",INDEX('Accounts Overview'!$I$2:$I$100,R65))))</f>
        <v/>
      </c>
      <c r="I65" s="1" t="str">
        <f t="shared" ca="1" si="9"/>
        <v/>
      </c>
      <c r="J65" s="12" t="str">
        <f>IF($C65="","",IF(P65="","",IF(INDEX('Input Contact Information'!$Q$2:$Q$200,P65)="","",INDEX('Input Contact Information'!$Q$2:$Q$200,P65))))</f>
        <v/>
      </c>
      <c r="K65" s="14" t="str">
        <f t="shared" ca="1" si="10"/>
        <v/>
      </c>
      <c r="L65" s="1" t="str">
        <f t="shared" si="11"/>
        <v/>
      </c>
      <c r="M65" s="1" t="str">
        <f t="shared" si="12"/>
        <v/>
      </c>
      <c r="N65" s="15">
        <f t="shared" ca="1" si="13"/>
        <v>46296</v>
      </c>
      <c r="O65" s="1" t="str">
        <f>IF($C65="","",IF(P65="","",IF(INDEX('Input Contact Information'!$R$2:$R$200,P65)="","",INDEX('Input Contact Information'!$R$2:$R$200,P65))))</f>
        <v/>
      </c>
      <c r="P65" s="1" t="str">
        <f>IF(C65="","",IFERROR(MATCH(C65&amp;"|"&amp;D65,'Input Contact Information'!$W$2:$W$200,0),""))</f>
        <v/>
      </c>
      <c r="Q65" s="1" t="str">
        <f>IF($C65="","",IF((IF(P65="","",IF(INDEX('Input Contact Information'!$N$2:$N$200,P65)="","",INDEX('Input Contact Information'!$N$2:$N$200,P65))))&lt;&gt;"",IF(P65="","",IF(INDEX('Input Contact Information'!$N$2:$N$200,P65)="","",INDEX('Input Contact Information'!$N$2:$N$200,P65))),IF(P65="","",IF(INDEX('Input Contact Information'!$M$2:$M$200,P65)="","",INDEX('Input Contact Information'!$M$2:$M$200,P65)))))</f>
        <v/>
      </c>
      <c r="R65" s="1" t="str">
        <f>IF(D65="","",IFERROR(MATCH(D65,'Accounts Overview'!$B$2:$B$100,0),""))</f>
        <v/>
      </c>
    </row>
    <row r="66" spans="1:18" ht="15" customHeight="1" x14ac:dyDescent="0.35">
      <c r="A66" s="13" t="str">
        <f t="shared" ref="A66:A97" si="14">IF(C66="","","ENG"&amp;TEXT(ROW()-1,"0000"))</f>
        <v/>
      </c>
      <c r="B66" s="13" t="str">
        <f t="shared" ref="B66:B97" si="15">IF(C66="","","CON"&amp;TEXT(ROW()-1,"0000"))</f>
        <v/>
      </c>
      <c r="C66" s="1" t="str">
        <f>IFERROR(INDEX('Input Contact Information'!$C$2:$C$200,MATCH(ROW()-1,'Input Contact Information'!$V$2:$V$200,0)),"")</f>
        <v/>
      </c>
      <c r="D66" s="1" t="str">
        <f>IFERROR(INDEX('Input Contact Information'!$B$2:$B$200,MATCH(ROW()-1,'Input Contact Information'!$V$2:$V$200,0)),"")</f>
        <v/>
      </c>
      <c r="E66" s="1" t="str">
        <f>IF($C66="","",IF(R66="","",IF(INDEX('Accounts Overview'!$A$2:$A$100,R66)="","",INDEX('Accounts Overview'!$A$2:$A$100,R66))))</f>
        <v/>
      </c>
      <c r="F66" s="1" t="str">
        <f>IF($C66="","",IF(P66="","",IF(INDEX('Input Contact Information'!$D$2:$D$200,P66)="","",INDEX('Input Contact Information'!$D$2:$D$200,P66))))</f>
        <v/>
      </c>
      <c r="G66" s="1" t="str">
        <f>IF($C66="","",IF(P66="","",IF(INDEX('Input Contact Information'!$A$2:$A$200,P66)="","",INDEX('Input Contact Information'!$A$2:$A$200,P66))))</f>
        <v/>
      </c>
      <c r="H66" s="1" t="str">
        <f>IF($C66="","",IF(R66="","",IF(INDEX('Accounts Overview'!$I$2:$I$100,R66)="","",INDEX('Accounts Overview'!$I$2:$I$100,R66))))</f>
        <v/>
      </c>
      <c r="I66" s="1" t="str">
        <f t="shared" ref="I66:I97" ca="1" si="16">IF($C66="","",IF(J66="","No Task",IF((TODAY()-J66)&gt;=M66,"Overdue",IF((TODAY()-J66)&gt;=L66,"For Review","On Track"))))</f>
        <v/>
      </c>
      <c r="J66" s="12" t="str">
        <f>IF($C66="","",IF(P66="","",IF(INDEX('Input Contact Information'!$Q$2:$Q$200,P66)="","",INDEX('Input Contact Information'!$Q$2:$Q$200,P66))))</f>
        <v/>
      </c>
      <c r="K66" s="14" t="str">
        <f t="shared" ref="K66:K97" ca="1" si="17">IF($C66="","",IF(J66="","",TODAY()-J66))</f>
        <v/>
      </c>
      <c r="L66" s="1" t="str">
        <f t="shared" ref="L66:L97" si="18">IF($C66="","",IF(Q66="","",IF(Q66="Tier 1",31,IF(Q66="Tier 2",91,181))))</f>
        <v/>
      </c>
      <c r="M66" s="1" t="str">
        <f t="shared" ref="M66:M97" si="19">IF($C66="","",IF(Q66="","",IF(Q66="Tier 1",61,IF(Q66="Tier 2",181,366))))</f>
        <v/>
      </c>
      <c r="N66" s="15">
        <f t="shared" ref="N66:N97" ca="1" si="20">TODAY()</f>
        <v>46296</v>
      </c>
      <c r="O66" s="1" t="str">
        <f>IF($C66="","",IF(P66="","",IF(INDEX('Input Contact Information'!$R$2:$R$200,P66)="","",INDEX('Input Contact Information'!$R$2:$R$200,P66))))</f>
        <v/>
      </c>
      <c r="P66" s="1" t="str">
        <f>IF(C66="","",IFERROR(MATCH(C66&amp;"|"&amp;D66,'Input Contact Information'!$W$2:$W$200,0),""))</f>
        <v/>
      </c>
      <c r="Q66" s="1" t="str">
        <f>IF($C66="","",IF((IF(P66="","",IF(INDEX('Input Contact Information'!$N$2:$N$200,P66)="","",INDEX('Input Contact Information'!$N$2:$N$200,P66))))&lt;&gt;"",IF(P66="","",IF(INDEX('Input Contact Information'!$N$2:$N$200,P66)="","",INDEX('Input Contact Information'!$N$2:$N$200,P66))),IF(P66="","",IF(INDEX('Input Contact Information'!$M$2:$M$200,P66)="","",INDEX('Input Contact Information'!$M$2:$M$200,P66)))))</f>
        <v/>
      </c>
      <c r="R66" s="1" t="str">
        <f>IF(D66="","",IFERROR(MATCH(D66,'Accounts Overview'!$B$2:$B$100,0),""))</f>
        <v/>
      </c>
    </row>
    <row r="67" spans="1:18" ht="15" customHeight="1" x14ac:dyDescent="0.35">
      <c r="A67" s="13" t="str">
        <f t="shared" si="14"/>
        <v/>
      </c>
      <c r="B67" s="13" t="str">
        <f t="shared" si="15"/>
        <v/>
      </c>
      <c r="C67" s="1" t="str">
        <f>IFERROR(INDEX('Input Contact Information'!$C$2:$C$200,MATCH(ROW()-1,'Input Contact Information'!$V$2:$V$200,0)),"")</f>
        <v/>
      </c>
      <c r="D67" s="1" t="str">
        <f>IFERROR(INDEX('Input Contact Information'!$B$2:$B$200,MATCH(ROW()-1,'Input Contact Information'!$V$2:$V$200,0)),"")</f>
        <v/>
      </c>
      <c r="E67" s="1" t="str">
        <f>IF($C67="","",IF(R67="","",IF(INDEX('Accounts Overview'!$A$2:$A$100,R67)="","",INDEX('Accounts Overview'!$A$2:$A$100,R67))))</f>
        <v/>
      </c>
      <c r="F67" s="1" t="str">
        <f>IF($C67="","",IF(P67="","",IF(INDEX('Input Contact Information'!$D$2:$D$200,P67)="","",INDEX('Input Contact Information'!$D$2:$D$200,P67))))</f>
        <v/>
      </c>
      <c r="G67" s="1" t="str">
        <f>IF($C67="","",IF(P67="","",IF(INDEX('Input Contact Information'!$A$2:$A$200,P67)="","",INDEX('Input Contact Information'!$A$2:$A$200,P67))))</f>
        <v/>
      </c>
      <c r="H67" s="1" t="str">
        <f>IF($C67="","",IF(R67="","",IF(INDEX('Accounts Overview'!$I$2:$I$100,R67)="","",INDEX('Accounts Overview'!$I$2:$I$100,R67))))</f>
        <v/>
      </c>
      <c r="I67" s="1" t="str">
        <f t="shared" ca="1" si="16"/>
        <v/>
      </c>
      <c r="J67" s="12" t="str">
        <f>IF($C67="","",IF(P67="","",IF(INDEX('Input Contact Information'!$Q$2:$Q$200,P67)="","",INDEX('Input Contact Information'!$Q$2:$Q$200,P67))))</f>
        <v/>
      </c>
      <c r="K67" s="14" t="str">
        <f t="shared" ca="1" si="17"/>
        <v/>
      </c>
      <c r="L67" s="1" t="str">
        <f t="shared" si="18"/>
        <v/>
      </c>
      <c r="M67" s="1" t="str">
        <f t="shared" si="19"/>
        <v/>
      </c>
      <c r="N67" s="15">
        <f t="shared" ca="1" si="20"/>
        <v>46296</v>
      </c>
      <c r="O67" s="1" t="str">
        <f>IF($C67="","",IF(P67="","",IF(INDEX('Input Contact Information'!$R$2:$R$200,P67)="","",INDEX('Input Contact Information'!$R$2:$R$200,P67))))</f>
        <v/>
      </c>
      <c r="P67" s="1" t="str">
        <f>IF(C67="","",IFERROR(MATCH(C67&amp;"|"&amp;D67,'Input Contact Information'!$W$2:$W$200,0),""))</f>
        <v/>
      </c>
      <c r="Q67" s="1" t="str">
        <f>IF($C67="","",IF((IF(P67="","",IF(INDEX('Input Contact Information'!$N$2:$N$200,P67)="","",INDEX('Input Contact Information'!$N$2:$N$200,P67))))&lt;&gt;"",IF(P67="","",IF(INDEX('Input Contact Information'!$N$2:$N$200,P67)="","",INDEX('Input Contact Information'!$N$2:$N$200,P67))),IF(P67="","",IF(INDEX('Input Contact Information'!$M$2:$M$200,P67)="","",INDEX('Input Contact Information'!$M$2:$M$200,P67)))))</f>
        <v/>
      </c>
      <c r="R67" s="1" t="str">
        <f>IF(D67="","",IFERROR(MATCH(D67,'Accounts Overview'!$B$2:$B$100,0),""))</f>
        <v/>
      </c>
    </row>
    <row r="68" spans="1:18" ht="15" customHeight="1" x14ac:dyDescent="0.35">
      <c r="A68" s="13" t="str">
        <f t="shared" si="14"/>
        <v/>
      </c>
      <c r="B68" s="13" t="str">
        <f t="shared" si="15"/>
        <v/>
      </c>
      <c r="C68" s="1" t="str">
        <f>IFERROR(INDEX('Input Contact Information'!$C$2:$C$200,MATCH(ROW()-1,'Input Contact Information'!$V$2:$V$200,0)),"")</f>
        <v/>
      </c>
      <c r="D68" s="1" t="str">
        <f>IFERROR(INDEX('Input Contact Information'!$B$2:$B$200,MATCH(ROW()-1,'Input Contact Information'!$V$2:$V$200,0)),"")</f>
        <v/>
      </c>
      <c r="E68" s="1" t="str">
        <f>IF($C68="","",IF(R68="","",IF(INDEX('Accounts Overview'!$A$2:$A$100,R68)="","",INDEX('Accounts Overview'!$A$2:$A$100,R68))))</f>
        <v/>
      </c>
      <c r="F68" s="1" t="str">
        <f>IF($C68="","",IF(P68="","",IF(INDEX('Input Contact Information'!$D$2:$D$200,P68)="","",INDEX('Input Contact Information'!$D$2:$D$200,P68))))</f>
        <v/>
      </c>
      <c r="G68" s="1" t="str">
        <f>IF($C68="","",IF(P68="","",IF(INDEX('Input Contact Information'!$A$2:$A$200,P68)="","",INDEX('Input Contact Information'!$A$2:$A$200,P68))))</f>
        <v/>
      </c>
      <c r="H68" s="1" t="str">
        <f>IF($C68="","",IF(R68="","",IF(INDEX('Accounts Overview'!$I$2:$I$100,R68)="","",INDEX('Accounts Overview'!$I$2:$I$100,R68))))</f>
        <v/>
      </c>
      <c r="I68" s="1" t="str">
        <f t="shared" ca="1" si="16"/>
        <v/>
      </c>
      <c r="J68" s="12" t="str">
        <f>IF($C68="","",IF(P68="","",IF(INDEX('Input Contact Information'!$Q$2:$Q$200,P68)="","",INDEX('Input Contact Information'!$Q$2:$Q$200,P68))))</f>
        <v/>
      </c>
      <c r="K68" s="14" t="str">
        <f t="shared" ca="1" si="17"/>
        <v/>
      </c>
      <c r="L68" s="1" t="str">
        <f t="shared" si="18"/>
        <v/>
      </c>
      <c r="M68" s="1" t="str">
        <f t="shared" si="19"/>
        <v/>
      </c>
      <c r="N68" s="15">
        <f t="shared" ca="1" si="20"/>
        <v>46296</v>
      </c>
      <c r="O68" s="1" t="str">
        <f>IF($C68="","",IF(P68="","",IF(INDEX('Input Contact Information'!$R$2:$R$200,P68)="","",INDEX('Input Contact Information'!$R$2:$R$200,P68))))</f>
        <v/>
      </c>
      <c r="P68" s="1" t="str">
        <f>IF(C68="","",IFERROR(MATCH(C68&amp;"|"&amp;D68,'Input Contact Information'!$W$2:$W$200,0),""))</f>
        <v/>
      </c>
      <c r="Q68" s="1" t="str">
        <f>IF($C68="","",IF((IF(P68="","",IF(INDEX('Input Contact Information'!$N$2:$N$200,P68)="","",INDEX('Input Contact Information'!$N$2:$N$200,P68))))&lt;&gt;"",IF(P68="","",IF(INDEX('Input Contact Information'!$N$2:$N$200,P68)="","",INDEX('Input Contact Information'!$N$2:$N$200,P68))),IF(P68="","",IF(INDEX('Input Contact Information'!$M$2:$M$200,P68)="","",INDEX('Input Contact Information'!$M$2:$M$200,P68)))))</f>
        <v/>
      </c>
      <c r="R68" s="1" t="str">
        <f>IF(D68="","",IFERROR(MATCH(D68,'Accounts Overview'!$B$2:$B$100,0),""))</f>
        <v/>
      </c>
    </row>
    <row r="69" spans="1:18" ht="15" customHeight="1" x14ac:dyDescent="0.35">
      <c r="A69" s="13" t="str">
        <f t="shared" si="14"/>
        <v/>
      </c>
      <c r="B69" s="13" t="str">
        <f t="shared" si="15"/>
        <v/>
      </c>
      <c r="C69" s="1" t="str">
        <f>IFERROR(INDEX('Input Contact Information'!$C$2:$C$200,MATCH(ROW()-1,'Input Contact Information'!$V$2:$V$200,0)),"")</f>
        <v/>
      </c>
      <c r="D69" s="1" t="str">
        <f>IFERROR(INDEX('Input Contact Information'!$B$2:$B$200,MATCH(ROW()-1,'Input Contact Information'!$V$2:$V$200,0)),"")</f>
        <v/>
      </c>
      <c r="E69" s="1" t="str">
        <f>IF($C69="","",IF(R69="","",IF(INDEX('Accounts Overview'!$A$2:$A$100,R69)="","",INDEX('Accounts Overview'!$A$2:$A$100,R69))))</f>
        <v/>
      </c>
      <c r="F69" s="1" t="str">
        <f>IF($C69="","",IF(P69="","",IF(INDEX('Input Contact Information'!$D$2:$D$200,P69)="","",INDEX('Input Contact Information'!$D$2:$D$200,P69))))</f>
        <v/>
      </c>
      <c r="G69" s="1" t="str">
        <f>IF($C69="","",IF(P69="","",IF(INDEX('Input Contact Information'!$A$2:$A$200,P69)="","",INDEX('Input Contact Information'!$A$2:$A$200,P69))))</f>
        <v/>
      </c>
      <c r="H69" s="1" t="str">
        <f>IF($C69="","",IF(R69="","",IF(INDEX('Accounts Overview'!$I$2:$I$100,R69)="","",INDEX('Accounts Overview'!$I$2:$I$100,R69))))</f>
        <v/>
      </c>
      <c r="I69" s="1" t="str">
        <f t="shared" ca="1" si="16"/>
        <v/>
      </c>
      <c r="J69" s="12" t="str">
        <f>IF($C69="","",IF(P69="","",IF(INDEX('Input Contact Information'!$Q$2:$Q$200,P69)="","",INDEX('Input Contact Information'!$Q$2:$Q$200,P69))))</f>
        <v/>
      </c>
      <c r="K69" s="14" t="str">
        <f t="shared" ca="1" si="17"/>
        <v/>
      </c>
      <c r="L69" s="1" t="str">
        <f t="shared" si="18"/>
        <v/>
      </c>
      <c r="M69" s="1" t="str">
        <f t="shared" si="19"/>
        <v/>
      </c>
      <c r="N69" s="15">
        <f t="shared" ca="1" si="20"/>
        <v>46296</v>
      </c>
      <c r="O69" s="1" t="str">
        <f>IF($C69="","",IF(P69="","",IF(INDEX('Input Contact Information'!$R$2:$R$200,P69)="","",INDEX('Input Contact Information'!$R$2:$R$200,P69))))</f>
        <v/>
      </c>
      <c r="P69" s="1" t="str">
        <f>IF(C69="","",IFERROR(MATCH(C69&amp;"|"&amp;D69,'Input Contact Information'!$W$2:$W$200,0),""))</f>
        <v/>
      </c>
      <c r="Q69" s="1" t="str">
        <f>IF($C69="","",IF((IF(P69="","",IF(INDEX('Input Contact Information'!$N$2:$N$200,P69)="","",INDEX('Input Contact Information'!$N$2:$N$200,P69))))&lt;&gt;"",IF(P69="","",IF(INDEX('Input Contact Information'!$N$2:$N$200,P69)="","",INDEX('Input Contact Information'!$N$2:$N$200,P69))),IF(P69="","",IF(INDEX('Input Contact Information'!$M$2:$M$200,P69)="","",INDEX('Input Contact Information'!$M$2:$M$200,P69)))))</f>
        <v/>
      </c>
      <c r="R69" s="1" t="str">
        <f>IF(D69="","",IFERROR(MATCH(D69,'Accounts Overview'!$B$2:$B$100,0),""))</f>
        <v/>
      </c>
    </row>
    <row r="70" spans="1:18" ht="15" customHeight="1" x14ac:dyDescent="0.35">
      <c r="A70" s="13" t="str">
        <f t="shared" si="14"/>
        <v/>
      </c>
      <c r="B70" s="13" t="str">
        <f t="shared" si="15"/>
        <v/>
      </c>
      <c r="C70" s="1" t="str">
        <f>IFERROR(INDEX('Input Contact Information'!$C$2:$C$200,MATCH(ROW()-1,'Input Contact Information'!$V$2:$V$200,0)),"")</f>
        <v/>
      </c>
      <c r="D70" s="1" t="str">
        <f>IFERROR(INDEX('Input Contact Information'!$B$2:$B$200,MATCH(ROW()-1,'Input Contact Information'!$V$2:$V$200,0)),"")</f>
        <v/>
      </c>
      <c r="E70" s="1" t="str">
        <f>IF($C70="","",IF(R70="","",IF(INDEX('Accounts Overview'!$A$2:$A$100,R70)="","",INDEX('Accounts Overview'!$A$2:$A$100,R70))))</f>
        <v/>
      </c>
      <c r="F70" s="1" t="str">
        <f>IF($C70="","",IF(P70="","",IF(INDEX('Input Contact Information'!$D$2:$D$200,P70)="","",INDEX('Input Contact Information'!$D$2:$D$200,P70))))</f>
        <v/>
      </c>
      <c r="G70" s="1" t="str">
        <f>IF($C70="","",IF(P70="","",IF(INDEX('Input Contact Information'!$A$2:$A$200,P70)="","",INDEX('Input Contact Information'!$A$2:$A$200,P70))))</f>
        <v/>
      </c>
      <c r="H70" s="1" t="str">
        <f>IF($C70="","",IF(R70="","",IF(INDEX('Accounts Overview'!$I$2:$I$100,R70)="","",INDEX('Accounts Overview'!$I$2:$I$100,R70))))</f>
        <v/>
      </c>
      <c r="I70" s="1" t="str">
        <f t="shared" ca="1" si="16"/>
        <v/>
      </c>
      <c r="J70" s="12" t="str">
        <f>IF($C70="","",IF(P70="","",IF(INDEX('Input Contact Information'!$Q$2:$Q$200,P70)="","",INDEX('Input Contact Information'!$Q$2:$Q$200,P70))))</f>
        <v/>
      </c>
      <c r="K70" s="14" t="str">
        <f t="shared" ca="1" si="17"/>
        <v/>
      </c>
      <c r="L70" s="1" t="str">
        <f t="shared" si="18"/>
        <v/>
      </c>
      <c r="M70" s="1" t="str">
        <f t="shared" si="19"/>
        <v/>
      </c>
      <c r="N70" s="15">
        <f t="shared" ca="1" si="20"/>
        <v>46296</v>
      </c>
      <c r="O70" s="1" t="str">
        <f>IF($C70="","",IF(P70="","",IF(INDEX('Input Contact Information'!$R$2:$R$200,P70)="","",INDEX('Input Contact Information'!$R$2:$R$200,P70))))</f>
        <v/>
      </c>
      <c r="P70" s="1" t="str">
        <f>IF(C70="","",IFERROR(MATCH(C70&amp;"|"&amp;D70,'Input Contact Information'!$W$2:$W$200,0),""))</f>
        <v/>
      </c>
      <c r="Q70" s="1" t="str">
        <f>IF($C70="","",IF((IF(P70="","",IF(INDEX('Input Contact Information'!$N$2:$N$200,P70)="","",INDEX('Input Contact Information'!$N$2:$N$200,P70))))&lt;&gt;"",IF(P70="","",IF(INDEX('Input Contact Information'!$N$2:$N$200,P70)="","",INDEX('Input Contact Information'!$N$2:$N$200,P70))),IF(P70="","",IF(INDEX('Input Contact Information'!$M$2:$M$200,P70)="","",INDEX('Input Contact Information'!$M$2:$M$200,P70)))))</f>
        <v/>
      </c>
      <c r="R70" s="1" t="str">
        <f>IF(D70="","",IFERROR(MATCH(D70,'Accounts Overview'!$B$2:$B$100,0),""))</f>
        <v/>
      </c>
    </row>
    <row r="71" spans="1:18" ht="15" customHeight="1" x14ac:dyDescent="0.35">
      <c r="A71" s="13" t="str">
        <f t="shared" si="14"/>
        <v/>
      </c>
      <c r="B71" s="13" t="str">
        <f t="shared" si="15"/>
        <v/>
      </c>
      <c r="C71" s="1" t="str">
        <f>IFERROR(INDEX('Input Contact Information'!$C$2:$C$200,MATCH(ROW()-1,'Input Contact Information'!$V$2:$V$200,0)),"")</f>
        <v/>
      </c>
      <c r="D71" s="1" t="str">
        <f>IFERROR(INDEX('Input Contact Information'!$B$2:$B$200,MATCH(ROW()-1,'Input Contact Information'!$V$2:$V$200,0)),"")</f>
        <v/>
      </c>
      <c r="E71" s="1" t="str">
        <f>IF($C71="","",IF(R71="","",IF(INDEX('Accounts Overview'!$A$2:$A$100,R71)="","",INDEX('Accounts Overview'!$A$2:$A$100,R71))))</f>
        <v/>
      </c>
      <c r="F71" s="1" t="str">
        <f>IF($C71="","",IF(P71="","",IF(INDEX('Input Contact Information'!$D$2:$D$200,P71)="","",INDEX('Input Contact Information'!$D$2:$D$200,P71))))</f>
        <v/>
      </c>
      <c r="G71" s="1" t="str">
        <f>IF($C71="","",IF(P71="","",IF(INDEX('Input Contact Information'!$A$2:$A$200,P71)="","",INDEX('Input Contact Information'!$A$2:$A$200,P71))))</f>
        <v/>
      </c>
      <c r="H71" s="1" t="str">
        <f>IF($C71="","",IF(R71="","",IF(INDEX('Accounts Overview'!$I$2:$I$100,R71)="","",INDEX('Accounts Overview'!$I$2:$I$100,R71))))</f>
        <v/>
      </c>
      <c r="I71" s="1" t="str">
        <f t="shared" ca="1" si="16"/>
        <v/>
      </c>
      <c r="J71" s="12" t="str">
        <f>IF($C71="","",IF(P71="","",IF(INDEX('Input Contact Information'!$Q$2:$Q$200,P71)="","",INDEX('Input Contact Information'!$Q$2:$Q$200,P71))))</f>
        <v/>
      </c>
      <c r="K71" s="14" t="str">
        <f t="shared" ca="1" si="17"/>
        <v/>
      </c>
      <c r="L71" s="1" t="str">
        <f t="shared" si="18"/>
        <v/>
      </c>
      <c r="M71" s="1" t="str">
        <f t="shared" si="19"/>
        <v/>
      </c>
      <c r="N71" s="15">
        <f t="shared" ca="1" si="20"/>
        <v>46296</v>
      </c>
      <c r="O71" s="1" t="str">
        <f>IF($C71="","",IF(P71="","",IF(INDEX('Input Contact Information'!$R$2:$R$200,P71)="","",INDEX('Input Contact Information'!$R$2:$R$200,P71))))</f>
        <v/>
      </c>
      <c r="P71" s="1" t="str">
        <f>IF(C71="","",IFERROR(MATCH(C71&amp;"|"&amp;D71,'Input Contact Information'!$W$2:$W$200,0),""))</f>
        <v/>
      </c>
      <c r="Q71" s="1" t="str">
        <f>IF($C71="","",IF((IF(P71="","",IF(INDEX('Input Contact Information'!$N$2:$N$200,P71)="","",INDEX('Input Contact Information'!$N$2:$N$200,P71))))&lt;&gt;"",IF(P71="","",IF(INDEX('Input Contact Information'!$N$2:$N$200,P71)="","",INDEX('Input Contact Information'!$N$2:$N$200,P71))),IF(P71="","",IF(INDEX('Input Contact Information'!$M$2:$M$200,P71)="","",INDEX('Input Contact Information'!$M$2:$M$200,P71)))))</f>
        <v/>
      </c>
      <c r="R71" s="1" t="str">
        <f>IF(D71="","",IFERROR(MATCH(D71,'Accounts Overview'!$B$2:$B$100,0),""))</f>
        <v/>
      </c>
    </row>
    <row r="72" spans="1:18" ht="15" customHeight="1" x14ac:dyDescent="0.35">
      <c r="A72" s="13" t="str">
        <f t="shared" si="14"/>
        <v/>
      </c>
      <c r="B72" s="13" t="str">
        <f t="shared" si="15"/>
        <v/>
      </c>
      <c r="C72" s="1" t="str">
        <f>IFERROR(INDEX('Input Contact Information'!$C$2:$C$200,MATCH(ROW()-1,'Input Contact Information'!$V$2:$V$200,0)),"")</f>
        <v/>
      </c>
      <c r="D72" s="1" t="str">
        <f>IFERROR(INDEX('Input Contact Information'!$B$2:$B$200,MATCH(ROW()-1,'Input Contact Information'!$V$2:$V$200,0)),"")</f>
        <v/>
      </c>
      <c r="E72" s="1" t="str">
        <f>IF($C72="","",IF(R72="","",IF(INDEX('Accounts Overview'!$A$2:$A$100,R72)="","",INDEX('Accounts Overview'!$A$2:$A$100,R72))))</f>
        <v/>
      </c>
      <c r="F72" s="1" t="str">
        <f>IF($C72="","",IF(P72="","",IF(INDEX('Input Contact Information'!$D$2:$D$200,P72)="","",INDEX('Input Contact Information'!$D$2:$D$200,P72))))</f>
        <v/>
      </c>
      <c r="G72" s="1" t="str">
        <f>IF($C72="","",IF(P72="","",IF(INDEX('Input Contact Information'!$A$2:$A$200,P72)="","",INDEX('Input Contact Information'!$A$2:$A$200,P72))))</f>
        <v/>
      </c>
      <c r="H72" s="1" t="str">
        <f>IF($C72="","",IF(R72="","",IF(INDEX('Accounts Overview'!$I$2:$I$100,R72)="","",INDEX('Accounts Overview'!$I$2:$I$100,R72))))</f>
        <v/>
      </c>
      <c r="I72" s="1" t="str">
        <f t="shared" ca="1" si="16"/>
        <v/>
      </c>
      <c r="J72" s="12" t="str">
        <f>IF($C72="","",IF(P72="","",IF(INDEX('Input Contact Information'!$Q$2:$Q$200,P72)="","",INDEX('Input Contact Information'!$Q$2:$Q$200,P72))))</f>
        <v/>
      </c>
      <c r="K72" s="14" t="str">
        <f t="shared" ca="1" si="17"/>
        <v/>
      </c>
      <c r="L72" s="1" t="str">
        <f t="shared" si="18"/>
        <v/>
      </c>
      <c r="M72" s="1" t="str">
        <f t="shared" si="19"/>
        <v/>
      </c>
      <c r="N72" s="15">
        <f t="shared" ca="1" si="20"/>
        <v>46296</v>
      </c>
      <c r="O72" s="1" t="str">
        <f>IF($C72="","",IF(P72="","",IF(INDEX('Input Contact Information'!$R$2:$R$200,P72)="","",INDEX('Input Contact Information'!$R$2:$R$200,P72))))</f>
        <v/>
      </c>
      <c r="P72" s="1" t="str">
        <f>IF(C72="","",IFERROR(MATCH(C72&amp;"|"&amp;D72,'Input Contact Information'!$W$2:$W$200,0),""))</f>
        <v/>
      </c>
      <c r="Q72" s="1" t="str">
        <f>IF($C72="","",IF((IF(P72="","",IF(INDEX('Input Contact Information'!$N$2:$N$200,P72)="","",INDEX('Input Contact Information'!$N$2:$N$200,P72))))&lt;&gt;"",IF(P72="","",IF(INDEX('Input Contact Information'!$N$2:$N$200,P72)="","",INDEX('Input Contact Information'!$N$2:$N$200,P72))),IF(P72="","",IF(INDEX('Input Contact Information'!$M$2:$M$200,P72)="","",INDEX('Input Contact Information'!$M$2:$M$200,P72)))))</f>
        <v/>
      </c>
      <c r="R72" s="1" t="str">
        <f>IF(D72="","",IFERROR(MATCH(D72,'Accounts Overview'!$B$2:$B$100,0),""))</f>
        <v/>
      </c>
    </row>
    <row r="73" spans="1:18" ht="15" customHeight="1" x14ac:dyDescent="0.35">
      <c r="A73" s="13" t="str">
        <f t="shared" si="14"/>
        <v/>
      </c>
      <c r="B73" s="13" t="str">
        <f t="shared" si="15"/>
        <v/>
      </c>
      <c r="C73" s="1" t="str">
        <f>IFERROR(INDEX('Input Contact Information'!$C$2:$C$200,MATCH(ROW()-1,'Input Contact Information'!$V$2:$V$200,0)),"")</f>
        <v/>
      </c>
      <c r="D73" s="1" t="str">
        <f>IFERROR(INDEX('Input Contact Information'!$B$2:$B$200,MATCH(ROW()-1,'Input Contact Information'!$V$2:$V$200,0)),"")</f>
        <v/>
      </c>
      <c r="E73" s="1" t="str">
        <f>IF($C73="","",IF(R73="","",IF(INDEX('Accounts Overview'!$A$2:$A$100,R73)="","",INDEX('Accounts Overview'!$A$2:$A$100,R73))))</f>
        <v/>
      </c>
      <c r="F73" s="1" t="str">
        <f>IF($C73="","",IF(P73="","",IF(INDEX('Input Contact Information'!$D$2:$D$200,P73)="","",INDEX('Input Contact Information'!$D$2:$D$200,P73))))</f>
        <v/>
      </c>
      <c r="G73" s="1" t="str">
        <f>IF($C73="","",IF(P73="","",IF(INDEX('Input Contact Information'!$A$2:$A$200,P73)="","",INDEX('Input Contact Information'!$A$2:$A$200,P73))))</f>
        <v/>
      </c>
      <c r="H73" s="1" t="str">
        <f>IF($C73="","",IF(R73="","",IF(INDEX('Accounts Overview'!$I$2:$I$100,R73)="","",INDEX('Accounts Overview'!$I$2:$I$100,R73))))</f>
        <v/>
      </c>
      <c r="I73" s="1" t="str">
        <f t="shared" ca="1" si="16"/>
        <v/>
      </c>
      <c r="J73" s="12" t="str">
        <f>IF($C73="","",IF(P73="","",IF(INDEX('Input Contact Information'!$Q$2:$Q$200,P73)="","",INDEX('Input Contact Information'!$Q$2:$Q$200,P73))))</f>
        <v/>
      </c>
      <c r="K73" s="14" t="str">
        <f t="shared" ca="1" si="17"/>
        <v/>
      </c>
      <c r="L73" s="1" t="str">
        <f t="shared" si="18"/>
        <v/>
      </c>
      <c r="M73" s="1" t="str">
        <f t="shared" si="19"/>
        <v/>
      </c>
      <c r="N73" s="15">
        <f t="shared" ca="1" si="20"/>
        <v>46296</v>
      </c>
      <c r="O73" s="1" t="str">
        <f>IF($C73="","",IF(P73="","",IF(INDEX('Input Contact Information'!$R$2:$R$200,P73)="","",INDEX('Input Contact Information'!$R$2:$R$200,P73))))</f>
        <v/>
      </c>
      <c r="P73" s="1" t="str">
        <f>IF(C73="","",IFERROR(MATCH(C73&amp;"|"&amp;D73,'Input Contact Information'!$W$2:$W$200,0),""))</f>
        <v/>
      </c>
      <c r="Q73" s="1" t="str">
        <f>IF($C73="","",IF((IF(P73="","",IF(INDEX('Input Contact Information'!$N$2:$N$200,P73)="","",INDEX('Input Contact Information'!$N$2:$N$200,P73))))&lt;&gt;"",IF(P73="","",IF(INDEX('Input Contact Information'!$N$2:$N$200,P73)="","",INDEX('Input Contact Information'!$N$2:$N$200,P73))),IF(P73="","",IF(INDEX('Input Contact Information'!$M$2:$M$200,P73)="","",INDEX('Input Contact Information'!$M$2:$M$200,P73)))))</f>
        <v/>
      </c>
      <c r="R73" s="1" t="str">
        <f>IF(D73="","",IFERROR(MATCH(D73,'Accounts Overview'!$B$2:$B$100,0),""))</f>
        <v/>
      </c>
    </row>
    <row r="74" spans="1:18" ht="15" customHeight="1" x14ac:dyDescent="0.35">
      <c r="A74" s="13" t="str">
        <f t="shared" si="14"/>
        <v/>
      </c>
      <c r="B74" s="13" t="str">
        <f t="shared" si="15"/>
        <v/>
      </c>
      <c r="C74" s="1" t="str">
        <f>IFERROR(INDEX('Input Contact Information'!$C$2:$C$200,MATCH(ROW()-1,'Input Contact Information'!$V$2:$V$200,0)),"")</f>
        <v/>
      </c>
      <c r="D74" s="1" t="str">
        <f>IFERROR(INDEX('Input Contact Information'!$B$2:$B$200,MATCH(ROW()-1,'Input Contact Information'!$V$2:$V$200,0)),"")</f>
        <v/>
      </c>
      <c r="E74" s="1" t="str">
        <f>IF($C74="","",IF(R74="","",IF(INDEX('Accounts Overview'!$A$2:$A$100,R74)="","",INDEX('Accounts Overview'!$A$2:$A$100,R74))))</f>
        <v/>
      </c>
      <c r="F74" s="1" t="str">
        <f>IF($C74="","",IF(P74="","",IF(INDEX('Input Contact Information'!$D$2:$D$200,P74)="","",INDEX('Input Contact Information'!$D$2:$D$200,P74))))</f>
        <v/>
      </c>
      <c r="G74" s="1" t="str">
        <f>IF($C74="","",IF(P74="","",IF(INDEX('Input Contact Information'!$A$2:$A$200,P74)="","",INDEX('Input Contact Information'!$A$2:$A$200,P74))))</f>
        <v/>
      </c>
      <c r="H74" s="1" t="str">
        <f>IF($C74="","",IF(R74="","",IF(INDEX('Accounts Overview'!$I$2:$I$100,R74)="","",INDEX('Accounts Overview'!$I$2:$I$100,R74))))</f>
        <v/>
      </c>
      <c r="I74" s="1" t="str">
        <f t="shared" ca="1" si="16"/>
        <v/>
      </c>
      <c r="J74" s="12" t="str">
        <f>IF($C74="","",IF(P74="","",IF(INDEX('Input Contact Information'!$Q$2:$Q$200,P74)="","",INDEX('Input Contact Information'!$Q$2:$Q$200,P74))))</f>
        <v/>
      </c>
      <c r="K74" s="14" t="str">
        <f t="shared" ca="1" si="17"/>
        <v/>
      </c>
      <c r="L74" s="1" t="str">
        <f t="shared" si="18"/>
        <v/>
      </c>
      <c r="M74" s="1" t="str">
        <f t="shared" si="19"/>
        <v/>
      </c>
      <c r="N74" s="15">
        <f t="shared" ca="1" si="20"/>
        <v>46296</v>
      </c>
      <c r="O74" s="1" t="str">
        <f>IF($C74="","",IF(P74="","",IF(INDEX('Input Contact Information'!$R$2:$R$200,P74)="","",INDEX('Input Contact Information'!$R$2:$R$200,P74))))</f>
        <v/>
      </c>
      <c r="P74" s="1" t="str">
        <f>IF(C74="","",IFERROR(MATCH(C74&amp;"|"&amp;D74,'Input Contact Information'!$W$2:$W$200,0),""))</f>
        <v/>
      </c>
      <c r="Q74" s="1" t="str">
        <f>IF($C74="","",IF((IF(P74="","",IF(INDEX('Input Contact Information'!$N$2:$N$200,P74)="","",INDEX('Input Contact Information'!$N$2:$N$200,P74))))&lt;&gt;"",IF(P74="","",IF(INDEX('Input Contact Information'!$N$2:$N$200,P74)="","",INDEX('Input Contact Information'!$N$2:$N$200,P74))),IF(P74="","",IF(INDEX('Input Contact Information'!$M$2:$M$200,P74)="","",INDEX('Input Contact Information'!$M$2:$M$200,P74)))))</f>
        <v/>
      </c>
      <c r="R74" s="1" t="str">
        <f>IF(D74="","",IFERROR(MATCH(D74,'Accounts Overview'!$B$2:$B$100,0),""))</f>
        <v/>
      </c>
    </row>
    <row r="75" spans="1:18" ht="15" customHeight="1" x14ac:dyDescent="0.35">
      <c r="A75" s="13" t="str">
        <f t="shared" si="14"/>
        <v/>
      </c>
      <c r="B75" s="13" t="str">
        <f t="shared" si="15"/>
        <v/>
      </c>
      <c r="C75" s="1" t="str">
        <f>IFERROR(INDEX('Input Contact Information'!$C$2:$C$200,MATCH(ROW()-1,'Input Contact Information'!$V$2:$V$200,0)),"")</f>
        <v/>
      </c>
      <c r="D75" s="1" t="str">
        <f>IFERROR(INDEX('Input Contact Information'!$B$2:$B$200,MATCH(ROW()-1,'Input Contact Information'!$V$2:$V$200,0)),"")</f>
        <v/>
      </c>
      <c r="E75" s="1" t="str">
        <f>IF($C75="","",IF(R75="","",IF(INDEX('Accounts Overview'!$A$2:$A$100,R75)="","",INDEX('Accounts Overview'!$A$2:$A$100,R75))))</f>
        <v/>
      </c>
      <c r="F75" s="1" t="str">
        <f>IF($C75="","",IF(P75="","",IF(INDEX('Input Contact Information'!$D$2:$D$200,P75)="","",INDEX('Input Contact Information'!$D$2:$D$200,P75))))</f>
        <v/>
      </c>
      <c r="G75" s="1" t="str">
        <f>IF($C75="","",IF(P75="","",IF(INDEX('Input Contact Information'!$A$2:$A$200,P75)="","",INDEX('Input Contact Information'!$A$2:$A$200,P75))))</f>
        <v/>
      </c>
      <c r="H75" s="1" t="str">
        <f>IF($C75="","",IF(R75="","",IF(INDEX('Accounts Overview'!$I$2:$I$100,R75)="","",INDEX('Accounts Overview'!$I$2:$I$100,R75))))</f>
        <v/>
      </c>
      <c r="I75" s="1" t="str">
        <f t="shared" ca="1" si="16"/>
        <v/>
      </c>
      <c r="J75" s="12" t="str">
        <f>IF($C75="","",IF(P75="","",IF(INDEX('Input Contact Information'!$Q$2:$Q$200,P75)="","",INDEX('Input Contact Information'!$Q$2:$Q$200,P75))))</f>
        <v/>
      </c>
      <c r="K75" s="14" t="str">
        <f t="shared" ca="1" si="17"/>
        <v/>
      </c>
      <c r="L75" s="1" t="str">
        <f t="shared" si="18"/>
        <v/>
      </c>
      <c r="M75" s="1" t="str">
        <f t="shared" si="19"/>
        <v/>
      </c>
      <c r="N75" s="15">
        <f t="shared" ca="1" si="20"/>
        <v>46296</v>
      </c>
      <c r="O75" s="1" t="str">
        <f>IF($C75="","",IF(P75="","",IF(INDEX('Input Contact Information'!$R$2:$R$200,P75)="","",INDEX('Input Contact Information'!$R$2:$R$200,P75))))</f>
        <v/>
      </c>
      <c r="P75" s="1" t="str">
        <f>IF(C75="","",IFERROR(MATCH(C75&amp;"|"&amp;D75,'Input Contact Information'!$W$2:$W$200,0),""))</f>
        <v/>
      </c>
      <c r="Q75" s="1" t="str">
        <f>IF($C75="","",IF((IF(P75="","",IF(INDEX('Input Contact Information'!$N$2:$N$200,P75)="","",INDEX('Input Contact Information'!$N$2:$N$200,P75))))&lt;&gt;"",IF(P75="","",IF(INDEX('Input Contact Information'!$N$2:$N$200,P75)="","",INDEX('Input Contact Information'!$N$2:$N$200,P75))),IF(P75="","",IF(INDEX('Input Contact Information'!$M$2:$M$200,P75)="","",INDEX('Input Contact Information'!$M$2:$M$200,P75)))))</f>
        <v/>
      </c>
      <c r="R75" s="1" t="str">
        <f>IF(D75="","",IFERROR(MATCH(D75,'Accounts Overview'!$B$2:$B$100,0),""))</f>
        <v/>
      </c>
    </row>
    <row r="76" spans="1:18" ht="15" customHeight="1" x14ac:dyDescent="0.35">
      <c r="A76" s="13" t="str">
        <f t="shared" si="14"/>
        <v/>
      </c>
      <c r="B76" s="13" t="str">
        <f t="shared" si="15"/>
        <v/>
      </c>
      <c r="C76" s="1" t="str">
        <f>IFERROR(INDEX('Input Contact Information'!$C$2:$C$200,MATCH(ROW()-1,'Input Contact Information'!$V$2:$V$200,0)),"")</f>
        <v/>
      </c>
      <c r="D76" s="1" t="str">
        <f>IFERROR(INDEX('Input Contact Information'!$B$2:$B$200,MATCH(ROW()-1,'Input Contact Information'!$V$2:$V$200,0)),"")</f>
        <v/>
      </c>
      <c r="E76" s="1" t="str">
        <f>IF($C76="","",IF(R76="","",IF(INDEX('Accounts Overview'!$A$2:$A$100,R76)="","",INDEX('Accounts Overview'!$A$2:$A$100,R76))))</f>
        <v/>
      </c>
      <c r="F76" s="1" t="str">
        <f>IF($C76="","",IF(P76="","",IF(INDEX('Input Contact Information'!$D$2:$D$200,P76)="","",INDEX('Input Contact Information'!$D$2:$D$200,P76))))</f>
        <v/>
      </c>
      <c r="G76" s="1" t="str">
        <f>IF($C76="","",IF(P76="","",IF(INDEX('Input Contact Information'!$A$2:$A$200,P76)="","",INDEX('Input Contact Information'!$A$2:$A$200,P76))))</f>
        <v/>
      </c>
      <c r="H76" s="1" t="str">
        <f>IF($C76="","",IF(R76="","",IF(INDEX('Accounts Overview'!$I$2:$I$100,R76)="","",INDEX('Accounts Overview'!$I$2:$I$100,R76))))</f>
        <v/>
      </c>
      <c r="I76" s="1" t="str">
        <f t="shared" ca="1" si="16"/>
        <v/>
      </c>
      <c r="J76" s="12" t="str">
        <f>IF($C76="","",IF(P76="","",IF(INDEX('Input Contact Information'!$Q$2:$Q$200,P76)="","",INDEX('Input Contact Information'!$Q$2:$Q$200,P76))))</f>
        <v/>
      </c>
      <c r="K76" s="14" t="str">
        <f t="shared" ca="1" si="17"/>
        <v/>
      </c>
      <c r="L76" s="1" t="str">
        <f t="shared" si="18"/>
        <v/>
      </c>
      <c r="M76" s="1" t="str">
        <f t="shared" si="19"/>
        <v/>
      </c>
      <c r="N76" s="15">
        <f t="shared" ca="1" si="20"/>
        <v>46296</v>
      </c>
      <c r="O76" s="1" t="str">
        <f>IF($C76="","",IF(P76="","",IF(INDEX('Input Contact Information'!$R$2:$R$200,P76)="","",INDEX('Input Contact Information'!$R$2:$R$200,P76))))</f>
        <v/>
      </c>
      <c r="P76" s="1" t="str">
        <f>IF(C76="","",IFERROR(MATCH(C76&amp;"|"&amp;D76,'Input Contact Information'!$W$2:$W$200,0),""))</f>
        <v/>
      </c>
      <c r="Q76" s="1" t="str">
        <f>IF($C76="","",IF((IF(P76="","",IF(INDEX('Input Contact Information'!$N$2:$N$200,P76)="","",INDEX('Input Contact Information'!$N$2:$N$200,P76))))&lt;&gt;"",IF(P76="","",IF(INDEX('Input Contact Information'!$N$2:$N$200,P76)="","",INDEX('Input Contact Information'!$N$2:$N$200,P76))),IF(P76="","",IF(INDEX('Input Contact Information'!$M$2:$M$200,P76)="","",INDEX('Input Contact Information'!$M$2:$M$200,P76)))))</f>
        <v/>
      </c>
      <c r="R76" s="1" t="str">
        <f>IF(D76="","",IFERROR(MATCH(D76,'Accounts Overview'!$B$2:$B$100,0),""))</f>
        <v/>
      </c>
    </row>
    <row r="77" spans="1:18" ht="15" customHeight="1" x14ac:dyDescent="0.35">
      <c r="A77" s="13" t="str">
        <f t="shared" si="14"/>
        <v/>
      </c>
      <c r="B77" s="13" t="str">
        <f t="shared" si="15"/>
        <v/>
      </c>
      <c r="C77" s="1" t="str">
        <f>IFERROR(INDEX('Input Contact Information'!$C$2:$C$200,MATCH(ROW()-1,'Input Contact Information'!$V$2:$V$200,0)),"")</f>
        <v/>
      </c>
      <c r="D77" s="1" t="str">
        <f>IFERROR(INDEX('Input Contact Information'!$B$2:$B$200,MATCH(ROW()-1,'Input Contact Information'!$V$2:$V$200,0)),"")</f>
        <v/>
      </c>
      <c r="E77" s="1" t="str">
        <f>IF($C77="","",IF(R77="","",IF(INDEX('Accounts Overview'!$A$2:$A$100,R77)="","",INDEX('Accounts Overview'!$A$2:$A$100,R77))))</f>
        <v/>
      </c>
      <c r="F77" s="1" t="str">
        <f>IF($C77="","",IF(P77="","",IF(INDEX('Input Contact Information'!$D$2:$D$200,P77)="","",INDEX('Input Contact Information'!$D$2:$D$200,P77))))</f>
        <v/>
      </c>
      <c r="G77" s="1" t="str">
        <f>IF($C77="","",IF(P77="","",IF(INDEX('Input Contact Information'!$A$2:$A$200,P77)="","",INDEX('Input Contact Information'!$A$2:$A$200,P77))))</f>
        <v/>
      </c>
      <c r="H77" s="1" t="str">
        <f>IF($C77="","",IF(R77="","",IF(INDEX('Accounts Overview'!$I$2:$I$100,R77)="","",INDEX('Accounts Overview'!$I$2:$I$100,R77))))</f>
        <v/>
      </c>
      <c r="I77" s="1" t="str">
        <f t="shared" ca="1" si="16"/>
        <v/>
      </c>
      <c r="J77" s="12" t="str">
        <f>IF($C77="","",IF(P77="","",IF(INDEX('Input Contact Information'!$Q$2:$Q$200,P77)="","",INDEX('Input Contact Information'!$Q$2:$Q$200,P77))))</f>
        <v/>
      </c>
      <c r="K77" s="14" t="str">
        <f t="shared" ca="1" si="17"/>
        <v/>
      </c>
      <c r="L77" s="1" t="str">
        <f t="shared" si="18"/>
        <v/>
      </c>
      <c r="M77" s="1" t="str">
        <f t="shared" si="19"/>
        <v/>
      </c>
      <c r="N77" s="15">
        <f t="shared" ca="1" si="20"/>
        <v>46296</v>
      </c>
      <c r="O77" s="1" t="str">
        <f>IF($C77="","",IF(P77="","",IF(INDEX('Input Contact Information'!$R$2:$R$200,P77)="","",INDEX('Input Contact Information'!$R$2:$R$200,P77))))</f>
        <v/>
      </c>
      <c r="P77" s="1" t="str">
        <f>IF(C77="","",IFERROR(MATCH(C77&amp;"|"&amp;D77,'Input Contact Information'!$W$2:$W$200,0),""))</f>
        <v/>
      </c>
      <c r="Q77" s="1" t="str">
        <f>IF($C77="","",IF((IF(P77="","",IF(INDEX('Input Contact Information'!$N$2:$N$200,P77)="","",INDEX('Input Contact Information'!$N$2:$N$200,P77))))&lt;&gt;"",IF(P77="","",IF(INDEX('Input Contact Information'!$N$2:$N$200,P77)="","",INDEX('Input Contact Information'!$N$2:$N$200,P77))),IF(P77="","",IF(INDEX('Input Contact Information'!$M$2:$M$200,P77)="","",INDEX('Input Contact Information'!$M$2:$M$200,P77)))))</f>
        <v/>
      </c>
      <c r="R77" s="1" t="str">
        <f>IF(D77="","",IFERROR(MATCH(D77,'Accounts Overview'!$B$2:$B$100,0),""))</f>
        <v/>
      </c>
    </row>
    <row r="78" spans="1:18" ht="15" customHeight="1" x14ac:dyDescent="0.35">
      <c r="A78" s="13" t="str">
        <f t="shared" si="14"/>
        <v/>
      </c>
      <c r="B78" s="13" t="str">
        <f t="shared" si="15"/>
        <v/>
      </c>
      <c r="C78" s="1" t="str">
        <f>IFERROR(INDEX('Input Contact Information'!$C$2:$C$200,MATCH(ROW()-1,'Input Contact Information'!$V$2:$V$200,0)),"")</f>
        <v/>
      </c>
      <c r="D78" s="1" t="str">
        <f>IFERROR(INDEX('Input Contact Information'!$B$2:$B$200,MATCH(ROW()-1,'Input Contact Information'!$V$2:$V$200,0)),"")</f>
        <v/>
      </c>
      <c r="E78" s="1" t="str">
        <f>IF($C78="","",IF(R78="","",IF(INDEX('Accounts Overview'!$A$2:$A$100,R78)="","",INDEX('Accounts Overview'!$A$2:$A$100,R78))))</f>
        <v/>
      </c>
      <c r="F78" s="1" t="str">
        <f>IF($C78="","",IF(P78="","",IF(INDEX('Input Contact Information'!$D$2:$D$200,P78)="","",INDEX('Input Contact Information'!$D$2:$D$200,P78))))</f>
        <v/>
      </c>
      <c r="G78" s="1" t="str">
        <f>IF($C78="","",IF(P78="","",IF(INDEX('Input Contact Information'!$A$2:$A$200,P78)="","",INDEX('Input Contact Information'!$A$2:$A$200,P78))))</f>
        <v/>
      </c>
      <c r="H78" s="1" t="str">
        <f>IF($C78="","",IF(R78="","",IF(INDEX('Accounts Overview'!$I$2:$I$100,R78)="","",INDEX('Accounts Overview'!$I$2:$I$100,R78))))</f>
        <v/>
      </c>
      <c r="I78" s="1" t="str">
        <f t="shared" ca="1" si="16"/>
        <v/>
      </c>
      <c r="J78" s="12" t="str">
        <f>IF($C78="","",IF(P78="","",IF(INDEX('Input Contact Information'!$Q$2:$Q$200,P78)="","",INDEX('Input Contact Information'!$Q$2:$Q$200,P78))))</f>
        <v/>
      </c>
      <c r="K78" s="14" t="str">
        <f t="shared" ca="1" si="17"/>
        <v/>
      </c>
      <c r="L78" s="1" t="str">
        <f t="shared" si="18"/>
        <v/>
      </c>
      <c r="M78" s="1" t="str">
        <f t="shared" si="19"/>
        <v/>
      </c>
      <c r="N78" s="15">
        <f t="shared" ca="1" si="20"/>
        <v>46296</v>
      </c>
      <c r="O78" s="1" t="str">
        <f>IF($C78="","",IF(P78="","",IF(INDEX('Input Contact Information'!$R$2:$R$200,P78)="","",INDEX('Input Contact Information'!$R$2:$R$200,P78))))</f>
        <v/>
      </c>
      <c r="P78" s="1" t="str">
        <f>IF(C78="","",IFERROR(MATCH(C78&amp;"|"&amp;D78,'Input Contact Information'!$W$2:$W$200,0),""))</f>
        <v/>
      </c>
      <c r="Q78" s="1" t="str">
        <f>IF($C78="","",IF((IF(P78="","",IF(INDEX('Input Contact Information'!$N$2:$N$200,P78)="","",INDEX('Input Contact Information'!$N$2:$N$200,P78))))&lt;&gt;"",IF(P78="","",IF(INDEX('Input Contact Information'!$N$2:$N$200,P78)="","",INDEX('Input Contact Information'!$N$2:$N$200,P78))),IF(P78="","",IF(INDEX('Input Contact Information'!$M$2:$M$200,P78)="","",INDEX('Input Contact Information'!$M$2:$M$200,P78)))))</f>
        <v/>
      </c>
      <c r="R78" s="1" t="str">
        <f>IF(D78="","",IFERROR(MATCH(D78,'Accounts Overview'!$B$2:$B$100,0),""))</f>
        <v/>
      </c>
    </row>
    <row r="79" spans="1:18" ht="15" customHeight="1" x14ac:dyDescent="0.35">
      <c r="A79" s="13" t="str">
        <f t="shared" si="14"/>
        <v/>
      </c>
      <c r="B79" s="13" t="str">
        <f t="shared" si="15"/>
        <v/>
      </c>
      <c r="C79" s="1" t="str">
        <f>IFERROR(INDEX('Input Contact Information'!$C$2:$C$200,MATCH(ROW()-1,'Input Contact Information'!$V$2:$V$200,0)),"")</f>
        <v/>
      </c>
      <c r="D79" s="1" t="str">
        <f>IFERROR(INDEX('Input Contact Information'!$B$2:$B$200,MATCH(ROW()-1,'Input Contact Information'!$V$2:$V$200,0)),"")</f>
        <v/>
      </c>
      <c r="E79" s="1" t="str">
        <f>IF($C79="","",IF(R79="","",IF(INDEX('Accounts Overview'!$A$2:$A$100,R79)="","",INDEX('Accounts Overview'!$A$2:$A$100,R79))))</f>
        <v/>
      </c>
      <c r="F79" s="1" t="str">
        <f>IF($C79="","",IF(P79="","",IF(INDEX('Input Contact Information'!$D$2:$D$200,P79)="","",INDEX('Input Contact Information'!$D$2:$D$200,P79))))</f>
        <v/>
      </c>
      <c r="G79" s="1" t="str">
        <f>IF($C79="","",IF(P79="","",IF(INDEX('Input Contact Information'!$A$2:$A$200,P79)="","",INDEX('Input Contact Information'!$A$2:$A$200,P79))))</f>
        <v/>
      </c>
      <c r="H79" s="1" t="str">
        <f>IF($C79="","",IF(R79="","",IF(INDEX('Accounts Overview'!$I$2:$I$100,R79)="","",INDEX('Accounts Overview'!$I$2:$I$100,R79))))</f>
        <v/>
      </c>
      <c r="I79" s="1" t="str">
        <f t="shared" ca="1" si="16"/>
        <v/>
      </c>
      <c r="J79" s="12" t="str">
        <f>IF($C79="","",IF(P79="","",IF(INDEX('Input Contact Information'!$Q$2:$Q$200,P79)="","",INDEX('Input Contact Information'!$Q$2:$Q$200,P79))))</f>
        <v/>
      </c>
      <c r="K79" s="14" t="str">
        <f t="shared" ca="1" si="17"/>
        <v/>
      </c>
      <c r="L79" s="1" t="str">
        <f t="shared" si="18"/>
        <v/>
      </c>
      <c r="M79" s="1" t="str">
        <f t="shared" si="19"/>
        <v/>
      </c>
      <c r="N79" s="15">
        <f t="shared" ca="1" si="20"/>
        <v>46296</v>
      </c>
      <c r="O79" s="1" t="str">
        <f>IF($C79="","",IF(P79="","",IF(INDEX('Input Contact Information'!$R$2:$R$200,P79)="","",INDEX('Input Contact Information'!$R$2:$R$200,P79))))</f>
        <v/>
      </c>
      <c r="P79" s="1" t="str">
        <f>IF(C79="","",IFERROR(MATCH(C79&amp;"|"&amp;D79,'Input Contact Information'!$W$2:$W$200,0),""))</f>
        <v/>
      </c>
      <c r="Q79" s="1" t="str">
        <f>IF($C79="","",IF((IF(P79="","",IF(INDEX('Input Contact Information'!$N$2:$N$200,P79)="","",INDEX('Input Contact Information'!$N$2:$N$200,P79))))&lt;&gt;"",IF(P79="","",IF(INDEX('Input Contact Information'!$N$2:$N$200,P79)="","",INDEX('Input Contact Information'!$N$2:$N$200,P79))),IF(P79="","",IF(INDEX('Input Contact Information'!$M$2:$M$200,P79)="","",INDEX('Input Contact Information'!$M$2:$M$200,P79)))))</f>
        <v/>
      </c>
      <c r="R79" s="1" t="str">
        <f>IF(D79="","",IFERROR(MATCH(D79,'Accounts Overview'!$B$2:$B$100,0),""))</f>
        <v/>
      </c>
    </row>
    <row r="80" spans="1:18" ht="15" customHeight="1" x14ac:dyDescent="0.35">
      <c r="A80" s="13" t="str">
        <f t="shared" si="14"/>
        <v/>
      </c>
      <c r="B80" s="13" t="str">
        <f t="shared" si="15"/>
        <v/>
      </c>
      <c r="C80" s="1" t="str">
        <f>IFERROR(INDEX('Input Contact Information'!$C$2:$C$200,MATCH(ROW()-1,'Input Contact Information'!$V$2:$V$200,0)),"")</f>
        <v/>
      </c>
      <c r="D80" s="1" t="str">
        <f>IFERROR(INDEX('Input Contact Information'!$B$2:$B$200,MATCH(ROW()-1,'Input Contact Information'!$V$2:$V$200,0)),"")</f>
        <v/>
      </c>
      <c r="E80" s="1" t="str">
        <f>IF($C80="","",IF(R80="","",IF(INDEX('Accounts Overview'!$A$2:$A$100,R80)="","",INDEX('Accounts Overview'!$A$2:$A$100,R80))))</f>
        <v/>
      </c>
      <c r="F80" s="1" t="str">
        <f>IF($C80="","",IF(P80="","",IF(INDEX('Input Contact Information'!$D$2:$D$200,P80)="","",INDEX('Input Contact Information'!$D$2:$D$200,P80))))</f>
        <v/>
      </c>
      <c r="G80" s="1" t="str">
        <f>IF($C80="","",IF(P80="","",IF(INDEX('Input Contact Information'!$A$2:$A$200,P80)="","",INDEX('Input Contact Information'!$A$2:$A$200,P80))))</f>
        <v/>
      </c>
      <c r="H80" s="1" t="str">
        <f>IF($C80="","",IF(R80="","",IF(INDEX('Accounts Overview'!$I$2:$I$100,R80)="","",INDEX('Accounts Overview'!$I$2:$I$100,R80))))</f>
        <v/>
      </c>
      <c r="I80" s="1" t="str">
        <f t="shared" ca="1" si="16"/>
        <v/>
      </c>
      <c r="J80" s="12" t="str">
        <f>IF($C80="","",IF(P80="","",IF(INDEX('Input Contact Information'!$Q$2:$Q$200,P80)="","",INDEX('Input Contact Information'!$Q$2:$Q$200,P80))))</f>
        <v/>
      </c>
      <c r="K80" s="14" t="str">
        <f t="shared" ca="1" si="17"/>
        <v/>
      </c>
      <c r="L80" s="1" t="str">
        <f t="shared" si="18"/>
        <v/>
      </c>
      <c r="M80" s="1" t="str">
        <f t="shared" si="19"/>
        <v/>
      </c>
      <c r="N80" s="15">
        <f t="shared" ca="1" si="20"/>
        <v>46296</v>
      </c>
      <c r="O80" s="1" t="str">
        <f>IF($C80="","",IF(P80="","",IF(INDEX('Input Contact Information'!$R$2:$R$200,P80)="","",INDEX('Input Contact Information'!$R$2:$R$200,P80))))</f>
        <v/>
      </c>
      <c r="P80" s="1" t="str">
        <f>IF(C80="","",IFERROR(MATCH(C80&amp;"|"&amp;D80,'Input Contact Information'!$W$2:$W$200,0),""))</f>
        <v/>
      </c>
      <c r="Q80" s="1" t="str">
        <f>IF($C80="","",IF((IF(P80="","",IF(INDEX('Input Contact Information'!$N$2:$N$200,P80)="","",INDEX('Input Contact Information'!$N$2:$N$200,P80))))&lt;&gt;"",IF(P80="","",IF(INDEX('Input Contact Information'!$N$2:$N$200,P80)="","",INDEX('Input Contact Information'!$N$2:$N$200,P80))),IF(P80="","",IF(INDEX('Input Contact Information'!$M$2:$M$200,P80)="","",INDEX('Input Contact Information'!$M$2:$M$200,P80)))))</f>
        <v/>
      </c>
      <c r="R80" s="1" t="str">
        <f>IF(D80="","",IFERROR(MATCH(D80,'Accounts Overview'!$B$2:$B$100,0),""))</f>
        <v/>
      </c>
    </row>
    <row r="81" spans="1:18" ht="15" customHeight="1" x14ac:dyDescent="0.35">
      <c r="A81" s="13" t="str">
        <f t="shared" si="14"/>
        <v/>
      </c>
      <c r="B81" s="13" t="str">
        <f t="shared" si="15"/>
        <v/>
      </c>
      <c r="C81" s="1" t="str">
        <f>IFERROR(INDEX('Input Contact Information'!$C$2:$C$200,MATCH(ROW()-1,'Input Contact Information'!$V$2:$V$200,0)),"")</f>
        <v/>
      </c>
      <c r="D81" s="1" t="str">
        <f>IFERROR(INDEX('Input Contact Information'!$B$2:$B$200,MATCH(ROW()-1,'Input Contact Information'!$V$2:$V$200,0)),"")</f>
        <v/>
      </c>
      <c r="E81" s="1" t="str">
        <f>IF($C81="","",IF(R81="","",IF(INDEX('Accounts Overview'!$A$2:$A$100,R81)="","",INDEX('Accounts Overview'!$A$2:$A$100,R81))))</f>
        <v/>
      </c>
      <c r="F81" s="1" t="str">
        <f>IF($C81="","",IF(P81="","",IF(INDEX('Input Contact Information'!$D$2:$D$200,P81)="","",INDEX('Input Contact Information'!$D$2:$D$200,P81))))</f>
        <v/>
      </c>
      <c r="G81" s="1" t="str">
        <f>IF($C81="","",IF(P81="","",IF(INDEX('Input Contact Information'!$A$2:$A$200,P81)="","",INDEX('Input Contact Information'!$A$2:$A$200,P81))))</f>
        <v/>
      </c>
      <c r="H81" s="1" t="str">
        <f>IF($C81="","",IF(R81="","",IF(INDEX('Accounts Overview'!$I$2:$I$100,R81)="","",INDEX('Accounts Overview'!$I$2:$I$100,R81))))</f>
        <v/>
      </c>
      <c r="I81" s="1" t="str">
        <f t="shared" ca="1" si="16"/>
        <v/>
      </c>
      <c r="J81" s="12" t="str">
        <f>IF($C81="","",IF(P81="","",IF(INDEX('Input Contact Information'!$Q$2:$Q$200,P81)="","",INDEX('Input Contact Information'!$Q$2:$Q$200,P81))))</f>
        <v/>
      </c>
      <c r="K81" s="14" t="str">
        <f t="shared" ca="1" si="17"/>
        <v/>
      </c>
      <c r="L81" s="1" t="str">
        <f t="shared" si="18"/>
        <v/>
      </c>
      <c r="M81" s="1" t="str">
        <f t="shared" si="19"/>
        <v/>
      </c>
      <c r="N81" s="15">
        <f t="shared" ca="1" si="20"/>
        <v>46296</v>
      </c>
      <c r="O81" s="1" t="str">
        <f>IF($C81="","",IF(P81="","",IF(INDEX('Input Contact Information'!$R$2:$R$200,P81)="","",INDEX('Input Contact Information'!$R$2:$R$200,P81))))</f>
        <v/>
      </c>
      <c r="P81" s="1" t="str">
        <f>IF(C81="","",IFERROR(MATCH(C81&amp;"|"&amp;D81,'Input Contact Information'!$W$2:$W$200,0),""))</f>
        <v/>
      </c>
      <c r="Q81" s="1" t="str">
        <f>IF($C81="","",IF((IF(P81="","",IF(INDEX('Input Contact Information'!$N$2:$N$200,P81)="","",INDEX('Input Contact Information'!$N$2:$N$200,P81))))&lt;&gt;"",IF(P81="","",IF(INDEX('Input Contact Information'!$N$2:$N$200,P81)="","",INDEX('Input Contact Information'!$N$2:$N$200,P81))),IF(P81="","",IF(INDEX('Input Contact Information'!$M$2:$M$200,P81)="","",INDEX('Input Contact Information'!$M$2:$M$200,P81)))))</f>
        <v/>
      </c>
      <c r="R81" s="1" t="str">
        <f>IF(D81="","",IFERROR(MATCH(D81,'Accounts Overview'!$B$2:$B$100,0),""))</f>
        <v/>
      </c>
    </row>
    <row r="82" spans="1:18" ht="15" customHeight="1" x14ac:dyDescent="0.35">
      <c r="A82" s="13" t="str">
        <f t="shared" si="14"/>
        <v/>
      </c>
      <c r="B82" s="13" t="str">
        <f t="shared" si="15"/>
        <v/>
      </c>
      <c r="C82" s="1" t="str">
        <f>IFERROR(INDEX('Input Contact Information'!$C$2:$C$200,MATCH(ROW()-1,'Input Contact Information'!$V$2:$V$200,0)),"")</f>
        <v/>
      </c>
      <c r="D82" s="1" t="str">
        <f>IFERROR(INDEX('Input Contact Information'!$B$2:$B$200,MATCH(ROW()-1,'Input Contact Information'!$V$2:$V$200,0)),"")</f>
        <v/>
      </c>
      <c r="E82" s="1" t="str">
        <f>IF($C82="","",IF(R82="","",IF(INDEX('Accounts Overview'!$A$2:$A$100,R82)="","",INDEX('Accounts Overview'!$A$2:$A$100,R82))))</f>
        <v/>
      </c>
      <c r="F82" s="1" t="str">
        <f>IF($C82="","",IF(P82="","",IF(INDEX('Input Contact Information'!$D$2:$D$200,P82)="","",INDEX('Input Contact Information'!$D$2:$D$200,P82))))</f>
        <v/>
      </c>
      <c r="G82" s="1" t="str">
        <f>IF($C82="","",IF(P82="","",IF(INDEX('Input Contact Information'!$A$2:$A$200,P82)="","",INDEX('Input Contact Information'!$A$2:$A$200,P82))))</f>
        <v/>
      </c>
      <c r="H82" s="1" t="str">
        <f>IF($C82="","",IF(R82="","",IF(INDEX('Accounts Overview'!$I$2:$I$100,R82)="","",INDEX('Accounts Overview'!$I$2:$I$100,R82))))</f>
        <v/>
      </c>
      <c r="I82" s="1" t="str">
        <f t="shared" ca="1" si="16"/>
        <v/>
      </c>
      <c r="J82" s="12" t="str">
        <f>IF($C82="","",IF(P82="","",IF(INDEX('Input Contact Information'!$Q$2:$Q$200,P82)="","",INDEX('Input Contact Information'!$Q$2:$Q$200,P82))))</f>
        <v/>
      </c>
      <c r="K82" s="14" t="str">
        <f t="shared" ca="1" si="17"/>
        <v/>
      </c>
      <c r="L82" s="1" t="str">
        <f t="shared" si="18"/>
        <v/>
      </c>
      <c r="M82" s="1" t="str">
        <f t="shared" si="19"/>
        <v/>
      </c>
      <c r="N82" s="15">
        <f t="shared" ca="1" si="20"/>
        <v>46296</v>
      </c>
      <c r="O82" s="1" t="str">
        <f>IF($C82="","",IF(P82="","",IF(INDEX('Input Contact Information'!$R$2:$R$200,P82)="","",INDEX('Input Contact Information'!$R$2:$R$200,P82))))</f>
        <v/>
      </c>
      <c r="P82" s="1" t="str">
        <f>IF(C82="","",IFERROR(MATCH(C82&amp;"|"&amp;D82,'Input Contact Information'!$W$2:$W$200,0),""))</f>
        <v/>
      </c>
      <c r="Q82" s="1" t="str">
        <f>IF($C82="","",IF((IF(P82="","",IF(INDEX('Input Contact Information'!$N$2:$N$200,P82)="","",INDEX('Input Contact Information'!$N$2:$N$200,P82))))&lt;&gt;"",IF(P82="","",IF(INDEX('Input Contact Information'!$N$2:$N$200,P82)="","",INDEX('Input Contact Information'!$N$2:$N$200,P82))),IF(P82="","",IF(INDEX('Input Contact Information'!$M$2:$M$200,P82)="","",INDEX('Input Contact Information'!$M$2:$M$200,P82)))))</f>
        <v/>
      </c>
      <c r="R82" s="1" t="str">
        <f>IF(D82="","",IFERROR(MATCH(D82,'Accounts Overview'!$B$2:$B$100,0),""))</f>
        <v/>
      </c>
    </row>
    <row r="83" spans="1:18" ht="15" customHeight="1" x14ac:dyDescent="0.35">
      <c r="A83" s="13" t="str">
        <f t="shared" si="14"/>
        <v/>
      </c>
      <c r="B83" s="13" t="str">
        <f t="shared" si="15"/>
        <v/>
      </c>
      <c r="C83" s="1" t="str">
        <f>IFERROR(INDEX('Input Contact Information'!$C$2:$C$200,MATCH(ROW()-1,'Input Contact Information'!$V$2:$V$200,0)),"")</f>
        <v/>
      </c>
      <c r="D83" s="1" t="str">
        <f>IFERROR(INDEX('Input Contact Information'!$B$2:$B$200,MATCH(ROW()-1,'Input Contact Information'!$V$2:$V$200,0)),"")</f>
        <v/>
      </c>
      <c r="E83" s="1" t="str">
        <f>IF($C83="","",IF(R83="","",IF(INDEX('Accounts Overview'!$A$2:$A$100,R83)="","",INDEX('Accounts Overview'!$A$2:$A$100,R83))))</f>
        <v/>
      </c>
      <c r="F83" s="1" t="str">
        <f>IF($C83="","",IF(P83="","",IF(INDEX('Input Contact Information'!$D$2:$D$200,P83)="","",INDEX('Input Contact Information'!$D$2:$D$200,P83))))</f>
        <v/>
      </c>
      <c r="G83" s="1" t="str">
        <f>IF($C83="","",IF(P83="","",IF(INDEX('Input Contact Information'!$A$2:$A$200,P83)="","",INDEX('Input Contact Information'!$A$2:$A$200,P83))))</f>
        <v/>
      </c>
      <c r="H83" s="1" t="str">
        <f>IF($C83="","",IF(R83="","",IF(INDEX('Accounts Overview'!$I$2:$I$100,R83)="","",INDEX('Accounts Overview'!$I$2:$I$100,R83))))</f>
        <v/>
      </c>
      <c r="I83" s="1" t="str">
        <f t="shared" ca="1" si="16"/>
        <v/>
      </c>
      <c r="J83" s="12" t="str">
        <f>IF($C83="","",IF(P83="","",IF(INDEX('Input Contact Information'!$Q$2:$Q$200,P83)="","",INDEX('Input Contact Information'!$Q$2:$Q$200,P83))))</f>
        <v/>
      </c>
      <c r="K83" s="14" t="str">
        <f t="shared" ca="1" si="17"/>
        <v/>
      </c>
      <c r="L83" s="1" t="str">
        <f t="shared" si="18"/>
        <v/>
      </c>
      <c r="M83" s="1" t="str">
        <f t="shared" si="19"/>
        <v/>
      </c>
      <c r="N83" s="15">
        <f t="shared" ca="1" si="20"/>
        <v>46296</v>
      </c>
      <c r="O83" s="1" t="str">
        <f>IF($C83="","",IF(P83="","",IF(INDEX('Input Contact Information'!$R$2:$R$200,P83)="","",INDEX('Input Contact Information'!$R$2:$R$200,P83))))</f>
        <v/>
      </c>
      <c r="P83" s="1" t="str">
        <f>IF(C83="","",IFERROR(MATCH(C83&amp;"|"&amp;D83,'Input Contact Information'!$W$2:$W$200,0),""))</f>
        <v/>
      </c>
      <c r="Q83" s="1" t="str">
        <f>IF($C83="","",IF((IF(P83="","",IF(INDEX('Input Contact Information'!$N$2:$N$200,P83)="","",INDEX('Input Contact Information'!$N$2:$N$200,P83))))&lt;&gt;"",IF(P83="","",IF(INDEX('Input Contact Information'!$N$2:$N$200,P83)="","",INDEX('Input Contact Information'!$N$2:$N$200,P83))),IF(P83="","",IF(INDEX('Input Contact Information'!$M$2:$M$200,P83)="","",INDEX('Input Contact Information'!$M$2:$M$200,P83)))))</f>
        <v/>
      </c>
      <c r="R83" s="1" t="str">
        <f>IF(D83="","",IFERROR(MATCH(D83,'Accounts Overview'!$B$2:$B$100,0),""))</f>
        <v/>
      </c>
    </row>
    <row r="84" spans="1:18" ht="15" customHeight="1" x14ac:dyDescent="0.35">
      <c r="A84" s="13" t="str">
        <f t="shared" si="14"/>
        <v/>
      </c>
      <c r="B84" s="13" t="str">
        <f t="shared" si="15"/>
        <v/>
      </c>
      <c r="C84" s="1" t="str">
        <f>IFERROR(INDEX('Input Contact Information'!$C$2:$C$200,MATCH(ROW()-1,'Input Contact Information'!$V$2:$V$200,0)),"")</f>
        <v/>
      </c>
      <c r="D84" s="1" t="str">
        <f>IFERROR(INDEX('Input Contact Information'!$B$2:$B$200,MATCH(ROW()-1,'Input Contact Information'!$V$2:$V$200,0)),"")</f>
        <v/>
      </c>
      <c r="E84" s="1" t="str">
        <f>IF($C84="","",IF(R84="","",IF(INDEX('Accounts Overview'!$A$2:$A$100,R84)="","",INDEX('Accounts Overview'!$A$2:$A$100,R84))))</f>
        <v/>
      </c>
      <c r="F84" s="1" t="str">
        <f>IF($C84="","",IF(P84="","",IF(INDEX('Input Contact Information'!$D$2:$D$200,P84)="","",INDEX('Input Contact Information'!$D$2:$D$200,P84))))</f>
        <v/>
      </c>
      <c r="G84" s="1" t="str">
        <f>IF($C84="","",IF(P84="","",IF(INDEX('Input Contact Information'!$A$2:$A$200,P84)="","",INDEX('Input Contact Information'!$A$2:$A$200,P84))))</f>
        <v/>
      </c>
      <c r="H84" s="1" t="str">
        <f>IF($C84="","",IF(R84="","",IF(INDEX('Accounts Overview'!$I$2:$I$100,R84)="","",INDEX('Accounts Overview'!$I$2:$I$100,R84))))</f>
        <v/>
      </c>
      <c r="I84" s="1" t="str">
        <f t="shared" ca="1" si="16"/>
        <v/>
      </c>
      <c r="J84" s="12" t="str">
        <f>IF($C84="","",IF(P84="","",IF(INDEX('Input Contact Information'!$Q$2:$Q$200,P84)="","",INDEX('Input Contact Information'!$Q$2:$Q$200,P84))))</f>
        <v/>
      </c>
      <c r="K84" s="14" t="str">
        <f t="shared" ca="1" si="17"/>
        <v/>
      </c>
      <c r="L84" s="1" t="str">
        <f t="shared" si="18"/>
        <v/>
      </c>
      <c r="M84" s="1" t="str">
        <f t="shared" si="19"/>
        <v/>
      </c>
      <c r="N84" s="15">
        <f t="shared" ca="1" si="20"/>
        <v>46296</v>
      </c>
      <c r="O84" s="1" t="str">
        <f>IF($C84="","",IF(P84="","",IF(INDEX('Input Contact Information'!$R$2:$R$200,P84)="","",INDEX('Input Contact Information'!$R$2:$R$200,P84))))</f>
        <v/>
      </c>
      <c r="P84" s="1" t="str">
        <f>IF(C84="","",IFERROR(MATCH(C84&amp;"|"&amp;D84,'Input Contact Information'!$W$2:$W$200,0),""))</f>
        <v/>
      </c>
      <c r="Q84" s="1" t="str">
        <f>IF($C84="","",IF((IF(P84="","",IF(INDEX('Input Contact Information'!$N$2:$N$200,P84)="","",INDEX('Input Contact Information'!$N$2:$N$200,P84))))&lt;&gt;"",IF(P84="","",IF(INDEX('Input Contact Information'!$N$2:$N$200,P84)="","",INDEX('Input Contact Information'!$N$2:$N$200,P84))),IF(P84="","",IF(INDEX('Input Contact Information'!$M$2:$M$200,P84)="","",INDEX('Input Contact Information'!$M$2:$M$200,P84)))))</f>
        <v/>
      </c>
      <c r="R84" s="1" t="str">
        <f>IF(D84="","",IFERROR(MATCH(D84,'Accounts Overview'!$B$2:$B$100,0),""))</f>
        <v/>
      </c>
    </row>
    <row r="85" spans="1:18" ht="15" customHeight="1" x14ac:dyDescent="0.35">
      <c r="A85" s="13" t="str">
        <f t="shared" si="14"/>
        <v/>
      </c>
      <c r="B85" s="13" t="str">
        <f t="shared" si="15"/>
        <v/>
      </c>
      <c r="C85" s="1" t="str">
        <f>IFERROR(INDEX('Input Contact Information'!$C$2:$C$200,MATCH(ROW()-1,'Input Contact Information'!$V$2:$V$200,0)),"")</f>
        <v/>
      </c>
      <c r="D85" s="1" t="str">
        <f>IFERROR(INDEX('Input Contact Information'!$B$2:$B$200,MATCH(ROW()-1,'Input Contact Information'!$V$2:$V$200,0)),"")</f>
        <v/>
      </c>
      <c r="E85" s="1" t="str">
        <f>IF($C85="","",IF(R85="","",IF(INDEX('Accounts Overview'!$A$2:$A$100,R85)="","",INDEX('Accounts Overview'!$A$2:$A$100,R85))))</f>
        <v/>
      </c>
      <c r="F85" s="1" t="str">
        <f>IF($C85="","",IF(P85="","",IF(INDEX('Input Contact Information'!$D$2:$D$200,P85)="","",INDEX('Input Contact Information'!$D$2:$D$200,P85))))</f>
        <v/>
      </c>
      <c r="G85" s="1" t="str">
        <f>IF($C85="","",IF(P85="","",IF(INDEX('Input Contact Information'!$A$2:$A$200,P85)="","",INDEX('Input Contact Information'!$A$2:$A$200,P85))))</f>
        <v/>
      </c>
      <c r="H85" s="1" t="str">
        <f>IF($C85="","",IF(R85="","",IF(INDEX('Accounts Overview'!$I$2:$I$100,R85)="","",INDEX('Accounts Overview'!$I$2:$I$100,R85))))</f>
        <v/>
      </c>
      <c r="I85" s="1" t="str">
        <f t="shared" ca="1" si="16"/>
        <v/>
      </c>
      <c r="J85" s="12" t="str">
        <f>IF($C85="","",IF(P85="","",IF(INDEX('Input Contact Information'!$Q$2:$Q$200,P85)="","",INDEX('Input Contact Information'!$Q$2:$Q$200,P85))))</f>
        <v/>
      </c>
      <c r="K85" s="14" t="str">
        <f t="shared" ca="1" si="17"/>
        <v/>
      </c>
      <c r="L85" s="1" t="str">
        <f t="shared" si="18"/>
        <v/>
      </c>
      <c r="M85" s="1" t="str">
        <f t="shared" si="19"/>
        <v/>
      </c>
      <c r="N85" s="15">
        <f t="shared" ca="1" si="20"/>
        <v>46296</v>
      </c>
      <c r="O85" s="1" t="str">
        <f>IF($C85="","",IF(P85="","",IF(INDEX('Input Contact Information'!$R$2:$R$200,P85)="","",INDEX('Input Contact Information'!$R$2:$R$200,P85))))</f>
        <v/>
      </c>
      <c r="P85" s="1" t="str">
        <f>IF(C85="","",IFERROR(MATCH(C85&amp;"|"&amp;D85,'Input Contact Information'!$W$2:$W$200,0),""))</f>
        <v/>
      </c>
      <c r="Q85" s="1" t="str">
        <f>IF($C85="","",IF((IF(P85="","",IF(INDEX('Input Contact Information'!$N$2:$N$200,P85)="","",INDEX('Input Contact Information'!$N$2:$N$200,P85))))&lt;&gt;"",IF(P85="","",IF(INDEX('Input Contact Information'!$N$2:$N$200,P85)="","",INDEX('Input Contact Information'!$N$2:$N$200,P85))),IF(P85="","",IF(INDEX('Input Contact Information'!$M$2:$M$200,P85)="","",INDEX('Input Contact Information'!$M$2:$M$200,P85)))))</f>
        <v/>
      </c>
      <c r="R85" s="1" t="str">
        <f>IF(D85="","",IFERROR(MATCH(D85,'Accounts Overview'!$B$2:$B$100,0),""))</f>
        <v/>
      </c>
    </row>
    <row r="86" spans="1:18" ht="15" customHeight="1" x14ac:dyDescent="0.35">
      <c r="A86" s="13" t="str">
        <f t="shared" si="14"/>
        <v/>
      </c>
      <c r="B86" s="13" t="str">
        <f t="shared" si="15"/>
        <v/>
      </c>
      <c r="C86" s="1" t="str">
        <f>IFERROR(INDEX('Input Contact Information'!$C$2:$C$200,MATCH(ROW()-1,'Input Contact Information'!$V$2:$V$200,0)),"")</f>
        <v/>
      </c>
      <c r="D86" s="1" t="str">
        <f>IFERROR(INDEX('Input Contact Information'!$B$2:$B$200,MATCH(ROW()-1,'Input Contact Information'!$V$2:$V$200,0)),"")</f>
        <v/>
      </c>
      <c r="E86" s="1" t="str">
        <f>IF($C86="","",IF(R86="","",IF(INDEX('Accounts Overview'!$A$2:$A$100,R86)="","",INDEX('Accounts Overview'!$A$2:$A$100,R86))))</f>
        <v/>
      </c>
      <c r="F86" s="1" t="str">
        <f>IF($C86="","",IF(P86="","",IF(INDEX('Input Contact Information'!$D$2:$D$200,P86)="","",INDEX('Input Contact Information'!$D$2:$D$200,P86))))</f>
        <v/>
      </c>
      <c r="G86" s="1" t="str">
        <f>IF($C86="","",IF(P86="","",IF(INDEX('Input Contact Information'!$A$2:$A$200,P86)="","",INDEX('Input Contact Information'!$A$2:$A$200,P86))))</f>
        <v/>
      </c>
      <c r="H86" s="1" t="str">
        <f>IF($C86="","",IF(R86="","",IF(INDEX('Accounts Overview'!$I$2:$I$100,R86)="","",INDEX('Accounts Overview'!$I$2:$I$100,R86))))</f>
        <v/>
      </c>
      <c r="I86" s="1" t="str">
        <f t="shared" ca="1" si="16"/>
        <v/>
      </c>
      <c r="J86" s="12" t="str">
        <f>IF($C86="","",IF(P86="","",IF(INDEX('Input Contact Information'!$Q$2:$Q$200,P86)="","",INDEX('Input Contact Information'!$Q$2:$Q$200,P86))))</f>
        <v/>
      </c>
      <c r="K86" s="14" t="str">
        <f t="shared" ca="1" si="17"/>
        <v/>
      </c>
      <c r="L86" s="1" t="str">
        <f t="shared" si="18"/>
        <v/>
      </c>
      <c r="M86" s="1" t="str">
        <f t="shared" si="19"/>
        <v/>
      </c>
      <c r="N86" s="15">
        <f t="shared" ca="1" si="20"/>
        <v>46296</v>
      </c>
      <c r="O86" s="1" t="str">
        <f>IF($C86="","",IF(P86="","",IF(INDEX('Input Contact Information'!$R$2:$R$200,P86)="","",INDEX('Input Contact Information'!$R$2:$R$200,P86))))</f>
        <v/>
      </c>
      <c r="P86" s="1" t="str">
        <f>IF(C86="","",IFERROR(MATCH(C86&amp;"|"&amp;D86,'Input Contact Information'!$W$2:$W$200,0),""))</f>
        <v/>
      </c>
      <c r="Q86" s="1" t="str">
        <f>IF($C86="","",IF((IF(P86="","",IF(INDEX('Input Contact Information'!$N$2:$N$200,P86)="","",INDEX('Input Contact Information'!$N$2:$N$200,P86))))&lt;&gt;"",IF(P86="","",IF(INDEX('Input Contact Information'!$N$2:$N$200,P86)="","",INDEX('Input Contact Information'!$N$2:$N$200,P86))),IF(P86="","",IF(INDEX('Input Contact Information'!$M$2:$M$200,P86)="","",INDEX('Input Contact Information'!$M$2:$M$200,P86)))))</f>
        <v/>
      </c>
      <c r="R86" s="1" t="str">
        <f>IF(D86="","",IFERROR(MATCH(D86,'Accounts Overview'!$B$2:$B$100,0),""))</f>
        <v/>
      </c>
    </row>
    <row r="87" spans="1:18" ht="15" customHeight="1" x14ac:dyDescent="0.35">
      <c r="A87" s="13" t="str">
        <f t="shared" si="14"/>
        <v/>
      </c>
      <c r="B87" s="13" t="str">
        <f t="shared" si="15"/>
        <v/>
      </c>
      <c r="C87" s="1" t="str">
        <f>IFERROR(INDEX('Input Contact Information'!$C$2:$C$200,MATCH(ROW()-1,'Input Contact Information'!$V$2:$V$200,0)),"")</f>
        <v/>
      </c>
      <c r="D87" s="1" t="str">
        <f>IFERROR(INDEX('Input Contact Information'!$B$2:$B$200,MATCH(ROW()-1,'Input Contact Information'!$V$2:$V$200,0)),"")</f>
        <v/>
      </c>
      <c r="E87" s="1" t="str">
        <f>IF($C87="","",IF(R87="","",IF(INDEX('Accounts Overview'!$A$2:$A$100,R87)="","",INDEX('Accounts Overview'!$A$2:$A$100,R87))))</f>
        <v/>
      </c>
      <c r="F87" s="1" t="str">
        <f>IF($C87="","",IF(P87="","",IF(INDEX('Input Contact Information'!$D$2:$D$200,P87)="","",INDEX('Input Contact Information'!$D$2:$D$200,P87))))</f>
        <v/>
      </c>
      <c r="G87" s="1" t="str">
        <f>IF($C87="","",IF(P87="","",IF(INDEX('Input Contact Information'!$A$2:$A$200,P87)="","",INDEX('Input Contact Information'!$A$2:$A$200,P87))))</f>
        <v/>
      </c>
      <c r="H87" s="1" t="str">
        <f>IF($C87="","",IF(R87="","",IF(INDEX('Accounts Overview'!$I$2:$I$100,R87)="","",INDEX('Accounts Overview'!$I$2:$I$100,R87))))</f>
        <v/>
      </c>
      <c r="I87" s="1" t="str">
        <f t="shared" ca="1" si="16"/>
        <v/>
      </c>
      <c r="J87" s="12" t="str">
        <f>IF($C87="","",IF(P87="","",IF(INDEX('Input Contact Information'!$Q$2:$Q$200,P87)="","",INDEX('Input Contact Information'!$Q$2:$Q$200,P87))))</f>
        <v/>
      </c>
      <c r="K87" s="14" t="str">
        <f t="shared" ca="1" si="17"/>
        <v/>
      </c>
      <c r="L87" s="1" t="str">
        <f t="shared" si="18"/>
        <v/>
      </c>
      <c r="M87" s="1" t="str">
        <f t="shared" si="19"/>
        <v/>
      </c>
      <c r="N87" s="15">
        <f t="shared" ca="1" si="20"/>
        <v>46296</v>
      </c>
      <c r="O87" s="1" t="str">
        <f>IF($C87="","",IF(P87="","",IF(INDEX('Input Contact Information'!$R$2:$R$200,P87)="","",INDEX('Input Contact Information'!$R$2:$R$200,P87))))</f>
        <v/>
      </c>
      <c r="P87" s="1" t="str">
        <f>IF(C87="","",IFERROR(MATCH(C87&amp;"|"&amp;D87,'Input Contact Information'!$W$2:$W$200,0),""))</f>
        <v/>
      </c>
      <c r="Q87" s="1" t="str">
        <f>IF($C87="","",IF((IF(P87="","",IF(INDEX('Input Contact Information'!$N$2:$N$200,P87)="","",INDEX('Input Contact Information'!$N$2:$N$200,P87))))&lt;&gt;"",IF(P87="","",IF(INDEX('Input Contact Information'!$N$2:$N$200,P87)="","",INDEX('Input Contact Information'!$N$2:$N$200,P87))),IF(P87="","",IF(INDEX('Input Contact Information'!$M$2:$M$200,P87)="","",INDEX('Input Contact Information'!$M$2:$M$200,P87)))))</f>
        <v/>
      </c>
      <c r="R87" s="1" t="str">
        <f>IF(D87="","",IFERROR(MATCH(D87,'Accounts Overview'!$B$2:$B$100,0),""))</f>
        <v/>
      </c>
    </row>
    <row r="88" spans="1:18" ht="15" customHeight="1" x14ac:dyDescent="0.35">
      <c r="A88" s="13" t="str">
        <f t="shared" si="14"/>
        <v/>
      </c>
      <c r="B88" s="13" t="str">
        <f t="shared" si="15"/>
        <v/>
      </c>
      <c r="C88" s="1" t="str">
        <f>IFERROR(INDEX('Input Contact Information'!$C$2:$C$200,MATCH(ROW()-1,'Input Contact Information'!$V$2:$V$200,0)),"")</f>
        <v/>
      </c>
      <c r="D88" s="1" t="str">
        <f>IFERROR(INDEX('Input Contact Information'!$B$2:$B$200,MATCH(ROW()-1,'Input Contact Information'!$V$2:$V$200,0)),"")</f>
        <v/>
      </c>
      <c r="E88" s="1" t="str">
        <f>IF($C88="","",IF(R88="","",IF(INDEX('Accounts Overview'!$A$2:$A$100,R88)="","",INDEX('Accounts Overview'!$A$2:$A$100,R88))))</f>
        <v/>
      </c>
      <c r="F88" s="1" t="str">
        <f>IF($C88="","",IF(P88="","",IF(INDEX('Input Contact Information'!$D$2:$D$200,P88)="","",INDEX('Input Contact Information'!$D$2:$D$200,P88))))</f>
        <v/>
      </c>
      <c r="G88" s="1" t="str">
        <f>IF($C88="","",IF(P88="","",IF(INDEX('Input Contact Information'!$A$2:$A$200,P88)="","",INDEX('Input Contact Information'!$A$2:$A$200,P88))))</f>
        <v/>
      </c>
      <c r="H88" s="1" t="str">
        <f>IF($C88="","",IF(R88="","",IF(INDEX('Accounts Overview'!$I$2:$I$100,R88)="","",INDEX('Accounts Overview'!$I$2:$I$100,R88))))</f>
        <v/>
      </c>
      <c r="I88" s="1" t="str">
        <f t="shared" ca="1" si="16"/>
        <v/>
      </c>
      <c r="J88" s="12" t="str">
        <f>IF($C88="","",IF(P88="","",IF(INDEX('Input Contact Information'!$Q$2:$Q$200,P88)="","",INDEX('Input Contact Information'!$Q$2:$Q$200,P88))))</f>
        <v/>
      </c>
      <c r="K88" s="14" t="str">
        <f t="shared" ca="1" si="17"/>
        <v/>
      </c>
      <c r="L88" s="1" t="str">
        <f t="shared" si="18"/>
        <v/>
      </c>
      <c r="M88" s="1" t="str">
        <f t="shared" si="19"/>
        <v/>
      </c>
      <c r="N88" s="15">
        <f t="shared" ca="1" si="20"/>
        <v>46296</v>
      </c>
      <c r="O88" s="1" t="str">
        <f>IF($C88="","",IF(P88="","",IF(INDEX('Input Contact Information'!$R$2:$R$200,P88)="","",INDEX('Input Contact Information'!$R$2:$R$200,P88))))</f>
        <v/>
      </c>
      <c r="P88" s="1" t="str">
        <f>IF(C88="","",IFERROR(MATCH(C88&amp;"|"&amp;D88,'Input Contact Information'!$W$2:$W$200,0),""))</f>
        <v/>
      </c>
      <c r="Q88" s="1" t="str">
        <f>IF($C88="","",IF((IF(P88="","",IF(INDEX('Input Contact Information'!$N$2:$N$200,P88)="","",INDEX('Input Contact Information'!$N$2:$N$200,P88))))&lt;&gt;"",IF(P88="","",IF(INDEX('Input Contact Information'!$N$2:$N$200,P88)="","",INDEX('Input Contact Information'!$N$2:$N$200,P88))),IF(P88="","",IF(INDEX('Input Contact Information'!$M$2:$M$200,P88)="","",INDEX('Input Contact Information'!$M$2:$M$200,P88)))))</f>
        <v/>
      </c>
      <c r="R88" s="1" t="str">
        <f>IF(D88="","",IFERROR(MATCH(D88,'Accounts Overview'!$B$2:$B$100,0),""))</f>
        <v/>
      </c>
    </row>
    <row r="89" spans="1:18" ht="15" customHeight="1" x14ac:dyDescent="0.35">
      <c r="A89" s="13" t="str">
        <f t="shared" si="14"/>
        <v/>
      </c>
      <c r="B89" s="13" t="str">
        <f t="shared" si="15"/>
        <v/>
      </c>
      <c r="C89" s="1" t="str">
        <f>IFERROR(INDEX('Input Contact Information'!$C$2:$C$200,MATCH(ROW()-1,'Input Contact Information'!$V$2:$V$200,0)),"")</f>
        <v/>
      </c>
      <c r="D89" s="1" t="str">
        <f>IFERROR(INDEX('Input Contact Information'!$B$2:$B$200,MATCH(ROW()-1,'Input Contact Information'!$V$2:$V$200,0)),"")</f>
        <v/>
      </c>
      <c r="E89" s="1" t="str">
        <f>IF($C89="","",IF(R89="","",IF(INDEX('Accounts Overview'!$A$2:$A$100,R89)="","",INDEX('Accounts Overview'!$A$2:$A$100,R89))))</f>
        <v/>
      </c>
      <c r="F89" s="1" t="str">
        <f>IF($C89="","",IF(P89="","",IF(INDEX('Input Contact Information'!$D$2:$D$200,P89)="","",INDEX('Input Contact Information'!$D$2:$D$200,P89))))</f>
        <v/>
      </c>
      <c r="G89" s="1" t="str">
        <f>IF($C89="","",IF(P89="","",IF(INDEX('Input Contact Information'!$A$2:$A$200,P89)="","",INDEX('Input Contact Information'!$A$2:$A$200,P89))))</f>
        <v/>
      </c>
      <c r="H89" s="1" t="str">
        <f>IF($C89="","",IF(R89="","",IF(INDEX('Accounts Overview'!$I$2:$I$100,R89)="","",INDEX('Accounts Overview'!$I$2:$I$100,R89))))</f>
        <v/>
      </c>
      <c r="I89" s="1" t="str">
        <f t="shared" ca="1" si="16"/>
        <v/>
      </c>
      <c r="J89" s="12" t="str">
        <f>IF($C89="","",IF(P89="","",IF(INDEX('Input Contact Information'!$Q$2:$Q$200,P89)="","",INDEX('Input Contact Information'!$Q$2:$Q$200,P89))))</f>
        <v/>
      </c>
      <c r="K89" s="14" t="str">
        <f t="shared" ca="1" si="17"/>
        <v/>
      </c>
      <c r="L89" s="1" t="str">
        <f t="shared" si="18"/>
        <v/>
      </c>
      <c r="M89" s="1" t="str">
        <f t="shared" si="19"/>
        <v/>
      </c>
      <c r="N89" s="15">
        <f t="shared" ca="1" si="20"/>
        <v>46296</v>
      </c>
      <c r="O89" s="1" t="str">
        <f>IF($C89="","",IF(P89="","",IF(INDEX('Input Contact Information'!$R$2:$R$200,P89)="","",INDEX('Input Contact Information'!$R$2:$R$200,P89))))</f>
        <v/>
      </c>
      <c r="P89" s="1" t="str">
        <f>IF(C89="","",IFERROR(MATCH(C89&amp;"|"&amp;D89,'Input Contact Information'!$W$2:$W$200,0),""))</f>
        <v/>
      </c>
      <c r="Q89" s="1" t="str">
        <f>IF($C89="","",IF((IF(P89="","",IF(INDEX('Input Contact Information'!$N$2:$N$200,P89)="","",INDEX('Input Contact Information'!$N$2:$N$200,P89))))&lt;&gt;"",IF(P89="","",IF(INDEX('Input Contact Information'!$N$2:$N$200,P89)="","",INDEX('Input Contact Information'!$N$2:$N$200,P89))),IF(P89="","",IF(INDEX('Input Contact Information'!$M$2:$M$200,P89)="","",INDEX('Input Contact Information'!$M$2:$M$200,P89)))))</f>
        <v/>
      </c>
      <c r="R89" s="1" t="str">
        <f>IF(D89="","",IFERROR(MATCH(D89,'Accounts Overview'!$B$2:$B$100,0),""))</f>
        <v/>
      </c>
    </row>
    <row r="90" spans="1:18" ht="15" customHeight="1" x14ac:dyDescent="0.35">
      <c r="A90" s="13" t="str">
        <f t="shared" si="14"/>
        <v/>
      </c>
      <c r="B90" s="13" t="str">
        <f t="shared" si="15"/>
        <v/>
      </c>
      <c r="C90" s="1" t="str">
        <f>IFERROR(INDEX('Input Contact Information'!$C$2:$C$200,MATCH(ROW()-1,'Input Contact Information'!$V$2:$V$200,0)),"")</f>
        <v/>
      </c>
      <c r="D90" s="1" t="str">
        <f>IFERROR(INDEX('Input Contact Information'!$B$2:$B$200,MATCH(ROW()-1,'Input Contact Information'!$V$2:$V$200,0)),"")</f>
        <v/>
      </c>
      <c r="E90" s="1" t="str">
        <f>IF($C90="","",IF(R90="","",IF(INDEX('Accounts Overview'!$A$2:$A$100,R90)="","",INDEX('Accounts Overview'!$A$2:$A$100,R90))))</f>
        <v/>
      </c>
      <c r="F90" s="1" t="str">
        <f>IF($C90="","",IF(P90="","",IF(INDEX('Input Contact Information'!$D$2:$D$200,P90)="","",INDEX('Input Contact Information'!$D$2:$D$200,P90))))</f>
        <v/>
      </c>
      <c r="G90" s="1" t="str">
        <f>IF($C90="","",IF(P90="","",IF(INDEX('Input Contact Information'!$A$2:$A$200,P90)="","",INDEX('Input Contact Information'!$A$2:$A$200,P90))))</f>
        <v/>
      </c>
      <c r="H90" s="1" t="str">
        <f>IF($C90="","",IF(R90="","",IF(INDEX('Accounts Overview'!$I$2:$I$100,R90)="","",INDEX('Accounts Overview'!$I$2:$I$100,R90))))</f>
        <v/>
      </c>
      <c r="I90" s="1" t="str">
        <f t="shared" ca="1" si="16"/>
        <v/>
      </c>
      <c r="J90" s="12" t="str">
        <f>IF($C90="","",IF(P90="","",IF(INDEX('Input Contact Information'!$Q$2:$Q$200,P90)="","",INDEX('Input Contact Information'!$Q$2:$Q$200,P90))))</f>
        <v/>
      </c>
      <c r="K90" s="14" t="str">
        <f t="shared" ca="1" si="17"/>
        <v/>
      </c>
      <c r="L90" s="1" t="str">
        <f t="shared" si="18"/>
        <v/>
      </c>
      <c r="M90" s="1" t="str">
        <f t="shared" si="19"/>
        <v/>
      </c>
      <c r="N90" s="15">
        <f t="shared" ca="1" si="20"/>
        <v>46296</v>
      </c>
      <c r="O90" s="1" t="str">
        <f>IF($C90="","",IF(P90="","",IF(INDEX('Input Contact Information'!$R$2:$R$200,P90)="","",INDEX('Input Contact Information'!$R$2:$R$200,P90))))</f>
        <v/>
      </c>
      <c r="P90" s="1" t="str">
        <f>IF(C90="","",IFERROR(MATCH(C90&amp;"|"&amp;D90,'Input Contact Information'!$W$2:$W$200,0),""))</f>
        <v/>
      </c>
      <c r="Q90" s="1" t="str">
        <f>IF($C90="","",IF((IF(P90="","",IF(INDEX('Input Contact Information'!$N$2:$N$200,P90)="","",INDEX('Input Contact Information'!$N$2:$N$200,P90))))&lt;&gt;"",IF(P90="","",IF(INDEX('Input Contact Information'!$N$2:$N$200,P90)="","",INDEX('Input Contact Information'!$N$2:$N$200,P90))),IF(P90="","",IF(INDEX('Input Contact Information'!$M$2:$M$200,P90)="","",INDEX('Input Contact Information'!$M$2:$M$200,P90)))))</f>
        <v/>
      </c>
      <c r="R90" s="1" t="str">
        <f>IF(D90="","",IFERROR(MATCH(D90,'Accounts Overview'!$B$2:$B$100,0),""))</f>
        <v/>
      </c>
    </row>
    <row r="91" spans="1:18" ht="15" customHeight="1" x14ac:dyDescent="0.35">
      <c r="A91" s="13" t="str">
        <f t="shared" si="14"/>
        <v/>
      </c>
      <c r="B91" s="13" t="str">
        <f t="shared" si="15"/>
        <v/>
      </c>
      <c r="C91" s="1" t="str">
        <f>IFERROR(INDEX('Input Contact Information'!$C$2:$C$200,MATCH(ROW()-1,'Input Contact Information'!$V$2:$V$200,0)),"")</f>
        <v/>
      </c>
      <c r="D91" s="1" t="str">
        <f>IFERROR(INDEX('Input Contact Information'!$B$2:$B$200,MATCH(ROW()-1,'Input Contact Information'!$V$2:$V$200,0)),"")</f>
        <v/>
      </c>
      <c r="E91" s="1" t="str">
        <f>IF($C91="","",IF(R91="","",IF(INDEX('Accounts Overview'!$A$2:$A$100,R91)="","",INDEX('Accounts Overview'!$A$2:$A$100,R91))))</f>
        <v/>
      </c>
      <c r="F91" s="1" t="str">
        <f>IF($C91="","",IF(P91="","",IF(INDEX('Input Contact Information'!$D$2:$D$200,P91)="","",INDEX('Input Contact Information'!$D$2:$D$200,P91))))</f>
        <v/>
      </c>
      <c r="G91" s="1" t="str">
        <f>IF($C91="","",IF(P91="","",IF(INDEX('Input Contact Information'!$A$2:$A$200,P91)="","",INDEX('Input Contact Information'!$A$2:$A$200,P91))))</f>
        <v/>
      </c>
      <c r="H91" s="1" t="str">
        <f>IF($C91="","",IF(R91="","",IF(INDEX('Accounts Overview'!$I$2:$I$100,R91)="","",INDEX('Accounts Overview'!$I$2:$I$100,R91))))</f>
        <v/>
      </c>
      <c r="I91" s="1" t="str">
        <f t="shared" ca="1" si="16"/>
        <v/>
      </c>
      <c r="J91" s="12" t="str">
        <f>IF($C91="","",IF(P91="","",IF(INDEX('Input Contact Information'!$Q$2:$Q$200,P91)="","",INDEX('Input Contact Information'!$Q$2:$Q$200,P91))))</f>
        <v/>
      </c>
      <c r="K91" s="14" t="str">
        <f t="shared" ca="1" si="17"/>
        <v/>
      </c>
      <c r="L91" s="1" t="str">
        <f t="shared" si="18"/>
        <v/>
      </c>
      <c r="M91" s="1" t="str">
        <f t="shared" si="19"/>
        <v/>
      </c>
      <c r="N91" s="15">
        <f t="shared" ca="1" si="20"/>
        <v>46296</v>
      </c>
      <c r="O91" s="1" t="str">
        <f>IF($C91="","",IF(P91="","",IF(INDEX('Input Contact Information'!$R$2:$R$200,P91)="","",INDEX('Input Contact Information'!$R$2:$R$200,P91))))</f>
        <v/>
      </c>
      <c r="P91" s="1" t="str">
        <f>IF(C91="","",IFERROR(MATCH(C91&amp;"|"&amp;D91,'Input Contact Information'!$W$2:$W$200,0),""))</f>
        <v/>
      </c>
      <c r="Q91" s="1" t="str">
        <f>IF($C91="","",IF((IF(P91="","",IF(INDEX('Input Contact Information'!$N$2:$N$200,P91)="","",INDEX('Input Contact Information'!$N$2:$N$200,P91))))&lt;&gt;"",IF(P91="","",IF(INDEX('Input Contact Information'!$N$2:$N$200,P91)="","",INDEX('Input Contact Information'!$N$2:$N$200,P91))),IF(P91="","",IF(INDEX('Input Contact Information'!$M$2:$M$200,P91)="","",INDEX('Input Contact Information'!$M$2:$M$200,P91)))))</f>
        <v/>
      </c>
      <c r="R91" s="1" t="str">
        <f>IF(D91="","",IFERROR(MATCH(D91,'Accounts Overview'!$B$2:$B$100,0),""))</f>
        <v/>
      </c>
    </row>
    <row r="92" spans="1:18" ht="15" customHeight="1" x14ac:dyDescent="0.35">
      <c r="A92" s="13" t="str">
        <f t="shared" si="14"/>
        <v/>
      </c>
      <c r="B92" s="13" t="str">
        <f t="shared" si="15"/>
        <v/>
      </c>
      <c r="C92" s="1" t="str">
        <f>IFERROR(INDEX('Input Contact Information'!$C$2:$C$200,MATCH(ROW()-1,'Input Contact Information'!$V$2:$V$200,0)),"")</f>
        <v/>
      </c>
      <c r="D92" s="1" t="str">
        <f>IFERROR(INDEX('Input Contact Information'!$B$2:$B$200,MATCH(ROW()-1,'Input Contact Information'!$V$2:$V$200,0)),"")</f>
        <v/>
      </c>
      <c r="E92" s="1" t="str">
        <f>IF($C92="","",IF(R92="","",IF(INDEX('Accounts Overview'!$A$2:$A$100,R92)="","",INDEX('Accounts Overview'!$A$2:$A$100,R92))))</f>
        <v/>
      </c>
      <c r="F92" s="1" t="str">
        <f>IF($C92="","",IF(P92="","",IF(INDEX('Input Contact Information'!$D$2:$D$200,P92)="","",INDEX('Input Contact Information'!$D$2:$D$200,P92))))</f>
        <v/>
      </c>
      <c r="G92" s="1" t="str">
        <f>IF($C92="","",IF(P92="","",IF(INDEX('Input Contact Information'!$A$2:$A$200,P92)="","",INDEX('Input Contact Information'!$A$2:$A$200,P92))))</f>
        <v/>
      </c>
      <c r="H92" s="1" t="str">
        <f>IF($C92="","",IF(R92="","",IF(INDEX('Accounts Overview'!$I$2:$I$100,R92)="","",INDEX('Accounts Overview'!$I$2:$I$100,R92))))</f>
        <v/>
      </c>
      <c r="I92" s="1" t="str">
        <f t="shared" ca="1" si="16"/>
        <v/>
      </c>
      <c r="J92" s="12" t="str">
        <f>IF($C92="","",IF(P92="","",IF(INDEX('Input Contact Information'!$Q$2:$Q$200,P92)="","",INDEX('Input Contact Information'!$Q$2:$Q$200,P92))))</f>
        <v/>
      </c>
      <c r="K92" s="14" t="str">
        <f t="shared" ca="1" si="17"/>
        <v/>
      </c>
      <c r="L92" s="1" t="str">
        <f t="shared" si="18"/>
        <v/>
      </c>
      <c r="M92" s="1" t="str">
        <f t="shared" si="19"/>
        <v/>
      </c>
      <c r="N92" s="15">
        <f t="shared" ca="1" si="20"/>
        <v>46296</v>
      </c>
      <c r="O92" s="1" t="str">
        <f>IF($C92="","",IF(P92="","",IF(INDEX('Input Contact Information'!$R$2:$R$200,P92)="","",INDEX('Input Contact Information'!$R$2:$R$200,P92))))</f>
        <v/>
      </c>
      <c r="P92" s="1" t="str">
        <f>IF(C92="","",IFERROR(MATCH(C92&amp;"|"&amp;D92,'Input Contact Information'!$W$2:$W$200,0),""))</f>
        <v/>
      </c>
      <c r="Q92" s="1" t="str">
        <f>IF($C92="","",IF((IF(P92="","",IF(INDEX('Input Contact Information'!$N$2:$N$200,P92)="","",INDEX('Input Contact Information'!$N$2:$N$200,P92))))&lt;&gt;"",IF(P92="","",IF(INDEX('Input Contact Information'!$N$2:$N$200,P92)="","",INDEX('Input Contact Information'!$N$2:$N$200,P92))),IF(P92="","",IF(INDEX('Input Contact Information'!$M$2:$M$200,P92)="","",INDEX('Input Contact Information'!$M$2:$M$200,P92)))))</f>
        <v/>
      </c>
      <c r="R92" s="1" t="str">
        <f>IF(D92="","",IFERROR(MATCH(D92,'Accounts Overview'!$B$2:$B$100,0),""))</f>
        <v/>
      </c>
    </row>
    <row r="93" spans="1:18" ht="15" customHeight="1" x14ac:dyDescent="0.35">
      <c r="A93" s="13" t="str">
        <f t="shared" si="14"/>
        <v/>
      </c>
      <c r="B93" s="13" t="str">
        <f t="shared" si="15"/>
        <v/>
      </c>
      <c r="C93" s="1" t="str">
        <f>IFERROR(INDEX('Input Contact Information'!$C$2:$C$200,MATCH(ROW()-1,'Input Contact Information'!$V$2:$V$200,0)),"")</f>
        <v/>
      </c>
      <c r="D93" s="1" t="str">
        <f>IFERROR(INDEX('Input Contact Information'!$B$2:$B$200,MATCH(ROW()-1,'Input Contact Information'!$V$2:$V$200,0)),"")</f>
        <v/>
      </c>
      <c r="E93" s="1" t="str">
        <f>IF($C93="","",IF(R93="","",IF(INDEX('Accounts Overview'!$A$2:$A$100,R93)="","",INDEX('Accounts Overview'!$A$2:$A$100,R93))))</f>
        <v/>
      </c>
      <c r="F93" s="1" t="str">
        <f>IF($C93="","",IF(P93="","",IF(INDEX('Input Contact Information'!$D$2:$D$200,P93)="","",INDEX('Input Contact Information'!$D$2:$D$200,P93))))</f>
        <v/>
      </c>
      <c r="G93" s="1" t="str">
        <f>IF($C93="","",IF(P93="","",IF(INDEX('Input Contact Information'!$A$2:$A$200,P93)="","",INDEX('Input Contact Information'!$A$2:$A$200,P93))))</f>
        <v/>
      </c>
      <c r="H93" s="1" t="str">
        <f>IF($C93="","",IF(R93="","",IF(INDEX('Accounts Overview'!$I$2:$I$100,R93)="","",INDEX('Accounts Overview'!$I$2:$I$100,R93))))</f>
        <v/>
      </c>
      <c r="I93" s="1" t="str">
        <f t="shared" ca="1" si="16"/>
        <v/>
      </c>
      <c r="J93" s="12" t="str">
        <f>IF($C93="","",IF(P93="","",IF(INDEX('Input Contact Information'!$Q$2:$Q$200,P93)="","",INDEX('Input Contact Information'!$Q$2:$Q$200,P93))))</f>
        <v/>
      </c>
      <c r="K93" s="14" t="str">
        <f t="shared" ca="1" si="17"/>
        <v/>
      </c>
      <c r="L93" s="1" t="str">
        <f t="shared" si="18"/>
        <v/>
      </c>
      <c r="M93" s="1" t="str">
        <f t="shared" si="19"/>
        <v/>
      </c>
      <c r="N93" s="15">
        <f t="shared" ca="1" si="20"/>
        <v>46296</v>
      </c>
      <c r="O93" s="1" t="str">
        <f>IF($C93="","",IF(P93="","",IF(INDEX('Input Contact Information'!$R$2:$R$200,P93)="","",INDEX('Input Contact Information'!$R$2:$R$200,P93))))</f>
        <v/>
      </c>
      <c r="P93" s="1" t="str">
        <f>IF(C93="","",IFERROR(MATCH(C93&amp;"|"&amp;D93,'Input Contact Information'!$W$2:$W$200,0),""))</f>
        <v/>
      </c>
      <c r="Q93" s="1" t="str">
        <f>IF($C93="","",IF((IF(P93="","",IF(INDEX('Input Contact Information'!$N$2:$N$200,P93)="","",INDEX('Input Contact Information'!$N$2:$N$200,P93))))&lt;&gt;"",IF(P93="","",IF(INDEX('Input Contact Information'!$N$2:$N$200,P93)="","",INDEX('Input Contact Information'!$N$2:$N$200,P93))),IF(P93="","",IF(INDEX('Input Contact Information'!$M$2:$M$200,P93)="","",INDEX('Input Contact Information'!$M$2:$M$200,P93)))))</f>
        <v/>
      </c>
      <c r="R93" s="1" t="str">
        <f>IF(D93="","",IFERROR(MATCH(D93,'Accounts Overview'!$B$2:$B$100,0),""))</f>
        <v/>
      </c>
    </row>
    <row r="94" spans="1:18" ht="15" customHeight="1" x14ac:dyDescent="0.35">
      <c r="A94" s="13" t="str">
        <f t="shared" si="14"/>
        <v/>
      </c>
      <c r="B94" s="13" t="str">
        <f t="shared" si="15"/>
        <v/>
      </c>
      <c r="C94" s="1" t="str">
        <f>IFERROR(INDEX('Input Contact Information'!$C$2:$C$200,MATCH(ROW()-1,'Input Contact Information'!$V$2:$V$200,0)),"")</f>
        <v/>
      </c>
      <c r="D94" s="1" t="str">
        <f>IFERROR(INDEX('Input Contact Information'!$B$2:$B$200,MATCH(ROW()-1,'Input Contact Information'!$V$2:$V$200,0)),"")</f>
        <v/>
      </c>
      <c r="E94" s="1" t="str">
        <f>IF($C94="","",IF(R94="","",IF(INDEX('Accounts Overview'!$A$2:$A$100,R94)="","",INDEX('Accounts Overview'!$A$2:$A$100,R94))))</f>
        <v/>
      </c>
      <c r="F94" s="1" t="str">
        <f>IF($C94="","",IF(P94="","",IF(INDEX('Input Contact Information'!$D$2:$D$200,P94)="","",INDEX('Input Contact Information'!$D$2:$D$200,P94))))</f>
        <v/>
      </c>
      <c r="G94" s="1" t="str">
        <f>IF($C94="","",IF(P94="","",IF(INDEX('Input Contact Information'!$A$2:$A$200,P94)="","",INDEX('Input Contact Information'!$A$2:$A$200,P94))))</f>
        <v/>
      </c>
      <c r="H94" s="1" t="str">
        <f>IF($C94="","",IF(R94="","",IF(INDEX('Accounts Overview'!$I$2:$I$100,R94)="","",INDEX('Accounts Overview'!$I$2:$I$100,R94))))</f>
        <v/>
      </c>
      <c r="I94" s="1" t="str">
        <f t="shared" ca="1" si="16"/>
        <v/>
      </c>
      <c r="J94" s="12" t="str">
        <f>IF($C94="","",IF(P94="","",IF(INDEX('Input Contact Information'!$Q$2:$Q$200,P94)="","",INDEX('Input Contact Information'!$Q$2:$Q$200,P94))))</f>
        <v/>
      </c>
      <c r="K94" s="14" t="str">
        <f t="shared" ca="1" si="17"/>
        <v/>
      </c>
      <c r="L94" s="1" t="str">
        <f t="shared" si="18"/>
        <v/>
      </c>
      <c r="M94" s="1" t="str">
        <f t="shared" si="19"/>
        <v/>
      </c>
      <c r="N94" s="15">
        <f t="shared" ca="1" si="20"/>
        <v>46296</v>
      </c>
      <c r="O94" s="1" t="str">
        <f>IF($C94="","",IF(P94="","",IF(INDEX('Input Contact Information'!$R$2:$R$200,P94)="","",INDEX('Input Contact Information'!$R$2:$R$200,P94))))</f>
        <v/>
      </c>
      <c r="P94" s="1" t="str">
        <f>IF(C94="","",IFERROR(MATCH(C94&amp;"|"&amp;D94,'Input Contact Information'!$W$2:$W$200,0),""))</f>
        <v/>
      </c>
      <c r="Q94" s="1" t="str">
        <f>IF($C94="","",IF((IF(P94="","",IF(INDEX('Input Contact Information'!$N$2:$N$200,P94)="","",INDEX('Input Contact Information'!$N$2:$N$200,P94))))&lt;&gt;"",IF(P94="","",IF(INDEX('Input Contact Information'!$N$2:$N$200,P94)="","",INDEX('Input Contact Information'!$N$2:$N$200,P94))),IF(P94="","",IF(INDEX('Input Contact Information'!$M$2:$M$200,P94)="","",INDEX('Input Contact Information'!$M$2:$M$200,P94)))))</f>
        <v/>
      </c>
      <c r="R94" s="1" t="str">
        <f>IF(D94="","",IFERROR(MATCH(D94,'Accounts Overview'!$B$2:$B$100,0),""))</f>
        <v/>
      </c>
    </row>
    <row r="95" spans="1:18" ht="15" customHeight="1" x14ac:dyDescent="0.35">
      <c r="A95" s="13" t="str">
        <f t="shared" si="14"/>
        <v/>
      </c>
      <c r="B95" s="13" t="str">
        <f t="shared" si="15"/>
        <v/>
      </c>
      <c r="C95" s="1" t="str">
        <f>IFERROR(INDEX('Input Contact Information'!$C$2:$C$200,MATCH(ROW()-1,'Input Contact Information'!$V$2:$V$200,0)),"")</f>
        <v/>
      </c>
      <c r="D95" s="1" t="str">
        <f>IFERROR(INDEX('Input Contact Information'!$B$2:$B$200,MATCH(ROW()-1,'Input Contact Information'!$V$2:$V$200,0)),"")</f>
        <v/>
      </c>
      <c r="E95" s="1" t="str">
        <f>IF($C95="","",IF(R95="","",IF(INDEX('Accounts Overview'!$A$2:$A$100,R95)="","",INDEX('Accounts Overview'!$A$2:$A$100,R95))))</f>
        <v/>
      </c>
      <c r="F95" s="1" t="str">
        <f>IF($C95="","",IF(P95="","",IF(INDEX('Input Contact Information'!$D$2:$D$200,P95)="","",INDEX('Input Contact Information'!$D$2:$D$200,P95))))</f>
        <v/>
      </c>
      <c r="G95" s="1" t="str">
        <f>IF($C95="","",IF(P95="","",IF(INDEX('Input Contact Information'!$A$2:$A$200,P95)="","",INDEX('Input Contact Information'!$A$2:$A$200,P95))))</f>
        <v/>
      </c>
      <c r="H95" s="1" t="str">
        <f>IF($C95="","",IF(R95="","",IF(INDEX('Accounts Overview'!$I$2:$I$100,R95)="","",INDEX('Accounts Overview'!$I$2:$I$100,R95))))</f>
        <v/>
      </c>
      <c r="I95" s="1" t="str">
        <f t="shared" ca="1" si="16"/>
        <v/>
      </c>
      <c r="J95" s="12" t="str">
        <f>IF($C95="","",IF(P95="","",IF(INDEX('Input Contact Information'!$Q$2:$Q$200,P95)="","",INDEX('Input Contact Information'!$Q$2:$Q$200,P95))))</f>
        <v/>
      </c>
      <c r="K95" s="14" t="str">
        <f t="shared" ca="1" si="17"/>
        <v/>
      </c>
      <c r="L95" s="1" t="str">
        <f t="shared" si="18"/>
        <v/>
      </c>
      <c r="M95" s="1" t="str">
        <f t="shared" si="19"/>
        <v/>
      </c>
      <c r="N95" s="15">
        <f t="shared" ca="1" si="20"/>
        <v>46296</v>
      </c>
      <c r="O95" s="1" t="str">
        <f>IF($C95="","",IF(P95="","",IF(INDEX('Input Contact Information'!$R$2:$R$200,P95)="","",INDEX('Input Contact Information'!$R$2:$R$200,P95))))</f>
        <v/>
      </c>
      <c r="P95" s="1" t="str">
        <f>IF(C95="","",IFERROR(MATCH(C95&amp;"|"&amp;D95,'Input Contact Information'!$W$2:$W$200,0),""))</f>
        <v/>
      </c>
      <c r="Q95" s="1" t="str">
        <f>IF($C95="","",IF((IF(P95="","",IF(INDEX('Input Contact Information'!$N$2:$N$200,P95)="","",INDEX('Input Contact Information'!$N$2:$N$200,P95))))&lt;&gt;"",IF(P95="","",IF(INDEX('Input Contact Information'!$N$2:$N$200,P95)="","",INDEX('Input Contact Information'!$N$2:$N$200,P95))),IF(P95="","",IF(INDEX('Input Contact Information'!$M$2:$M$200,P95)="","",INDEX('Input Contact Information'!$M$2:$M$200,P95)))))</f>
        <v/>
      </c>
      <c r="R95" s="1" t="str">
        <f>IF(D95="","",IFERROR(MATCH(D95,'Accounts Overview'!$B$2:$B$100,0),""))</f>
        <v/>
      </c>
    </row>
    <row r="96" spans="1:18" ht="15" customHeight="1" x14ac:dyDescent="0.35">
      <c r="A96" s="13" t="str">
        <f t="shared" si="14"/>
        <v/>
      </c>
      <c r="B96" s="13" t="str">
        <f t="shared" si="15"/>
        <v/>
      </c>
      <c r="C96" s="1" t="str">
        <f>IFERROR(INDEX('Input Contact Information'!$C$2:$C$200,MATCH(ROW()-1,'Input Contact Information'!$V$2:$V$200,0)),"")</f>
        <v/>
      </c>
      <c r="D96" s="1" t="str">
        <f>IFERROR(INDEX('Input Contact Information'!$B$2:$B$200,MATCH(ROW()-1,'Input Contact Information'!$V$2:$V$200,0)),"")</f>
        <v/>
      </c>
      <c r="E96" s="1" t="str">
        <f>IF($C96="","",IF(R96="","",IF(INDEX('Accounts Overview'!$A$2:$A$100,R96)="","",INDEX('Accounts Overview'!$A$2:$A$100,R96))))</f>
        <v/>
      </c>
      <c r="F96" s="1" t="str">
        <f>IF($C96="","",IF(P96="","",IF(INDEX('Input Contact Information'!$D$2:$D$200,P96)="","",INDEX('Input Contact Information'!$D$2:$D$200,P96))))</f>
        <v/>
      </c>
      <c r="G96" s="1" t="str">
        <f>IF($C96="","",IF(P96="","",IF(INDEX('Input Contact Information'!$A$2:$A$200,P96)="","",INDEX('Input Contact Information'!$A$2:$A$200,P96))))</f>
        <v/>
      </c>
      <c r="H96" s="1" t="str">
        <f>IF($C96="","",IF(R96="","",IF(INDEX('Accounts Overview'!$I$2:$I$100,R96)="","",INDEX('Accounts Overview'!$I$2:$I$100,R96))))</f>
        <v/>
      </c>
      <c r="I96" s="1" t="str">
        <f t="shared" ca="1" si="16"/>
        <v/>
      </c>
      <c r="J96" s="12" t="str">
        <f>IF($C96="","",IF(P96="","",IF(INDEX('Input Contact Information'!$Q$2:$Q$200,P96)="","",INDEX('Input Contact Information'!$Q$2:$Q$200,P96))))</f>
        <v/>
      </c>
      <c r="K96" s="14" t="str">
        <f t="shared" ca="1" si="17"/>
        <v/>
      </c>
      <c r="L96" s="1" t="str">
        <f t="shared" si="18"/>
        <v/>
      </c>
      <c r="M96" s="1" t="str">
        <f t="shared" si="19"/>
        <v/>
      </c>
      <c r="N96" s="15">
        <f t="shared" ca="1" si="20"/>
        <v>46296</v>
      </c>
      <c r="O96" s="1" t="str">
        <f>IF($C96="","",IF(P96="","",IF(INDEX('Input Contact Information'!$R$2:$R$200,P96)="","",INDEX('Input Contact Information'!$R$2:$R$200,P96))))</f>
        <v/>
      </c>
      <c r="P96" s="1" t="str">
        <f>IF(C96="","",IFERROR(MATCH(C96&amp;"|"&amp;D96,'Input Contact Information'!$W$2:$W$200,0),""))</f>
        <v/>
      </c>
      <c r="Q96" s="1" t="str">
        <f>IF($C96="","",IF((IF(P96="","",IF(INDEX('Input Contact Information'!$N$2:$N$200,P96)="","",INDEX('Input Contact Information'!$N$2:$N$200,P96))))&lt;&gt;"",IF(P96="","",IF(INDEX('Input Contact Information'!$N$2:$N$200,P96)="","",INDEX('Input Contact Information'!$N$2:$N$200,P96))),IF(P96="","",IF(INDEX('Input Contact Information'!$M$2:$M$200,P96)="","",INDEX('Input Contact Information'!$M$2:$M$200,P96)))))</f>
        <v/>
      </c>
      <c r="R96" s="1" t="str">
        <f>IF(D96="","",IFERROR(MATCH(D96,'Accounts Overview'!$B$2:$B$100,0),""))</f>
        <v/>
      </c>
    </row>
    <row r="97" spans="1:18" ht="15" customHeight="1" x14ac:dyDescent="0.35">
      <c r="A97" s="13" t="str">
        <f t="shared" si="14"/>
        <v/>
      </c>
      <c r="B97" s="13" t="str">
        <f t="shared" si="15"/>
        <v/>
      </c>
      <c r="C97" s="1" t="str">
        <f>IFERROR(INDEX('Input Contact Information'!$C$2:$C$200,MATCH(ROW()-1,'Input Contact Information'!$V$2:$V$200,0)),"")</f>
        <v/>
      </c>
      <c r="D97" s="1" t="str">
        <f>IFERROR(INDEX('Input Contact Information'!$B$2:$B$200,MATCH(ROW()-1,'Input Contact Information'!$V$2:$V$200,0)),"")</f>
        <v/>
      </c>
      <c r="E97" s="1" t="str">
        <f>IF($C97="","",IF(R97="","",IF(INDEX('Accounts Overview'!$A$2:$A$100,R97)="","",INDEX('Accounts Overview'!$A$2:$A$100,R97))))</f>
        <v/>
      </c>
      <c r="F97" s="1" t="str">
        <f>IF($C97="","",IF(P97="","",IF(INDEX('Input Contact Information'!$D$2:$D$200,P97)="","",INDEX('Input Contact Information'!$D$2:$D$200,P97))))</f>
        <v/>
      </c>
      <c r="G97" s="1" t="str">
        <f>IF($C97="","",IF(P97="","",IF(INDEX('Input Contact Information'!$A$2:$A$200,P97)="","",INDEX('Input Contact Information'!$A$2:$A$200,P97))))</f>
        <v/>
      </c>
      <c r="H97" s="1" t="str">
        <f>IF($C97="","",IF(R97="","",IF(INDEX('Accounts Overview'!$I$2:$I$100,R97)="","",INDEX('Accounts Overview'!$I$2:$I$100,R97))))</f>
        <v/>
      </c>
      <c r="I97" s="1" t="str">
        <f t="shared" ca="1" si="16"/>
        <v/>
      </c>
      <c r="J97" s="12" t="str">
        <f>IF($C97="","",IF(P97="","",IF(INDEX('Input Contact Information'!$Q$2:$Q$200,P97)="","",INDEX('Input Contact Information'!$Q$2:$Q$200,P97))))</f>
        <v/>
      </c>
      <c r="K97" s="14" t="str">
        <f t="shared" ca="1" si="17"/>
        <v/>
      </c>
      <c r="L97" s="1" t="str">
        <f t="shared" si="18"/>
        <v/>
      </c>
      <c r="M97" s="1" t="str">
        <f t="shared" si="19"/>
        <v/>
      </c>
      <c r="N97" s="15">
        <f t="shared" ca="1" si="20"/>
        <v>46296</v>
      </c>
      <c r="O97" s="1" t="str">
        <f>IF($C97="","",IF(P97="","",IF(INDEX('Input Contact Information'!$R$2:$R$200,P97)="","",INDEX('Input Contact Information'!$R$2:$R$200,P97))))</f>
        <v/>
      </c>
      <c r="P97" s="1" t="str">
        <f>IF(C97="","",IFERROR(MATCH(C97&amp;"|"&amp;D97,'Input Contact Information'!$W$2:$W$200,0),""))</f>
        <v/>
      </c>
      <c r="Q97" s="1" t="str">
        <f>IF($C97="","",IF((IF(P97="","",IF(INDEX('Input Contact Information'!$N$2:$N$200,P97)="","",INDEX('Input Contact Information'!$N$2:$N$200,P97))))&lt;&gt;"",IF(P97="","",IF(INDEX('Input Contact Information'!$N$2:$N$200,P97)="","",INDEX('Input Contact Information'!$N$2:$N$200,P97))),IF(P97="","",IF(INDEX('Input Contact Information'!$M$2:$M$200,P97)="","",INDEX('Input Contact Information'!$M$2:$M$200,P97)))))</f>
        <v/>
      </c>
      <c r="R97" s="1" t="str">
        <f>IF(D97="","",IFERROR(MATCH(D97,'Accounts Overview'!$B$2:$B$100,0),""))</f>
        <v/>
      </c>
    </row>
    <row r="98" spans="1:18" ht="15" customHeight="1" x14ac:dyDescent="0.35">
      <c r="A98" s="13" t="str">
        <f t="shared" ref="A98:A129" si="21">IF(C98="","","ENG"&amp;TEXT(ROW()-1,"0000"))</f>
        <v/>
      </c>
      <c r="B98" s="13" t="str">
        <f t="shared" ref="B98:B129" si="22">IF(C98="","","CON"&amp;TEXT(ROW()-1,"0000"))</f>
        <v/>
      </c>
      <c r="C98" s="1" t="str">
        <f>IFERROR(INDEX('Input Contact Information'!$C$2:$C$200,MATCH(ROW()-1,'Input Contact Information'!$V$2:$V$200,0)),"")</f>
        <v/>
      </c>
      <c r="D98" s="1" t="str">
        <f>IFERROR(INDEX('Input Contact Information'!$B$2:$B$200,MATCH(ROW()-1,'Input Contact Information'!$V$2:$V$200,0)),"")</f>
        <v/>
      </c>
      <c r="E98" s="1" t="str">
        <f>IF($C98="","",IF(R98="","",IF(INDEX('Accounts Overview'!$A$2:$A$100,R98)="","",INDEX('Accounts Overview'!$A$2:$A$100,R98))))</f>
        <v/>
      </c>
      <c r="F98" s="1" t="str">
        <f>IF($C98="","",IF(P98="","",IF(INDEX('Input Contact Information'!$D$2:$D$200,P98)="","",INDEX('Input Contact Information'!$D$2:$D$200,P98))))</f>
        <v/>
      </c>
      <c r="G98" s="1" t="str">
        <f>IF($C98="","",IF(P98="","",IF(INDEX('Input Contact Information'!$A$2:$A$200,P98)="","",INDEX('Input Contact Information'!$A$2:$A$200,P98))))</f>
        <v/>
      </c>
      <c r="H98" s="1" t="str">
        <f>IF($C98="","",IF(R98="","",IF(INDEX('Accounts Overview'!$I$2:$I$100,R98)="","",INDEX('Accounts Overview'!$I$2:$I$100,R98))))</f>
        <v/>
      </c>
      <c r="I98" s="1" t="str">
        <f t="shared" ref="I98:I129" ca="1" si="23">IF($C98="","",IF(J98="","No Task",IF((TODAY()-J98)&gt;=M98,"Overdue",IF((TODAY()-J98)&gt;=L98,"For Review","On Track"))))</f>
        <v/>
      </c>
      <c r="J98" s="12" t="str">
        <f>IF($C98="","",IF(P98="","",IF(INDEX('Input Contact Information'!$Q$2:$Q$200,P98)="","",INDEX('Input Contact Information'!$Q$2:$Q$200,P98))))</f>
        <v/>
      </c>
      <c r="K98" s="14" t="str">
        <f t="shared" ref="K98:K129" ca="1" si="24">IF($C98="","",IF(J98="","",TODAY()-J98))</f>
        <v/>
      </c>
      <c r="L98" s="1" t="str">
        <f t="shared" ref="L98:L129" si="25">IF($C98="","",IF(Q98="","",IF(Q98="Tier 1",31,IF(Q98="Tier 2",91,181))))</f>
        <v/>
      </c>
      <c r="M98" s="1" t="str">
        <f t="shared" ref="M98:M129" si="26">IF($C98="","",IF(Q98="","",IF(Q98="Tier 1",61,IF(Q98="Tier 2",181,366))))</f>
        <v/>
      </c>
      <c r="N98" s="15">
        <f t="shared" ref="N98:N129" ca="1" si="27">TODAY()</f>
        <v>46296</v>
      </c>
      <c r="O98" s="1" t="str">
        <f>IF($C98="","",IF(P98="","",IF(INDEX('Input Contact Information'!$R$2:$R$200,P98)="","",INDEX('Input Contact Information'!$R$2:$R$200,P98))))</f>
        <v/>
      </c>
      <c r="P98" s="1" t="str">
        <f>IF(C98="","",IFERROR(MATCH(C98&amp;"|"&amp;D98,'Input Contact Information'!$W$2:$W$200,0),""))</f>
        <v/>
      </c>
      <c r="Q98" s="1" t="str">
        <f>IF($C98="","",IF((IF(P98="","",IF(INDEX('Input Contact Information'!$N$2:$N$200,P98)="","",INDEX('Input Contact Information'!$N$2:$N$200,P98))))&lt;&gt;"",IF(P98="","",IF(INDEX('Input Contact Information'!$N$2:$N$200,P98)="","",INDEX('Input Contact Information'!$N$2:$N$200,P98))),IF(P98="","",IF(INDEX('Input Contact Information'!$M$2:$M$200,P98)="","",INDEX('Input Contact Information'!$M$2:$M$200,P98)))))</f>
        <v/>
      </c>
      <c r="R98" s="1" t="str">
        <f>IF(D98="","",IFERROR(MATCH(D98,'Accounts Overview'!$B$2:$B$100,0),""))</f>
        <v/>
      </c>
    </row>
    <row r="99" spans="1:18" ht="15" customHeight="1" x14ac:dyDescent="0.35">
      <c r="A99" s="13" t="str">
        <f t="shared" si="21"/>
        <v/>
      </c>
      <c r="B99" s="13" t="str">
        <f t="shared" si="22"/>
        <v/>
      </c>
      <c r="C99" s="1" t="str">
        <f>IFERROR(INDEX('Input Contact Information'!$C$2:$C$200,MATCH(ROW()-1,'Input Contact Information'!$V$2:$V$200,0)),"")</f>
        <v/>
      </c>
      <c r="D99" s="1" t="str">
        <f>IFERROR(INDEX('Input Contact Information'!$B$2:$B$200,MATCH(ROW()-1,'Input Contact Information'!$V$2:$V$200,0)),"")</f>
        <v/>
      </c>
      <c r="E99" s="1" t="str">
        <f>IF($C99="","",IF(R99="","",IF(INDEX('Accounts Overview'!$A$2:$A$100,R99)="","",INDEX('Accounts Overview'!$A$2:$A$100,R99))))</f>
        <v/>
      </c>
      <c r="F99" s="1" t="str">
        <f>IF($C99="","",IF(P99="","",IF(INDEX('Input Contact Information'!$D$2:$D$200,P99)="","",INDEX('Input Contact Information'!$D$2:$D$200,P99))))</f>
        <v/>
      </c>
      <c r="G99" s="1" t="str">
        <f>IF($C99="","",IF(P99="","",IF(INDEX('Input Contact Information'!$A$2:$A$200,P99)="","",INDEX('Input Contact Information'!$A$2:$A$200,P99))))</f>
        <v/>
      </c>
      <c r="H99" s="1" t="str">
        <f>IF($C99="","",IF(R99="","",IF(INDEX('Accounts Overview'!$I$2:$I$100,R99)="","",INDEX('Accounts Overview'!$I$2:$I$100,R99))))</f>
        <v/>
      </c>
      <c r="I99" s="1" t="str">
        <f t="shared" ca="1" si="23"/>
        <v/>
      </c>
      <c r="J99" s="12" t="str">
        <f>IF($C99="","",IF(P99="","",IF(INDEX('Input Contact Information'!$Q$2:$Q$200,P99)="","",INDEX('Input Contact Information'!$Q$2:$Q$200,P99))))</f>
        <v/>
      </c>
      <c r="K99" s="14" t="str">
        <f t="shared" ca="1" si="24"/>
        <v/>
      </c>
      <c r="L99" s="1" t="str">
        <f t="shared" si="25"/>
        <v/>
      </c>
      <c r="M99" s="1" t="str">
        <f t="shared" si="26"/>
        <v/>
      </c>
      <c r="N99" s="15">
        <f t="shared" ca="1" si="27"/>
        <v>46296</v>
      </c>
      <c r="O99" s="1" t="str">
        <f>IF($C99="","",IF(P99="","",IF(INDEX('Input Contact Information'!$R$2:$R$200,P99)="","",INDEX('Input Contact Information'!$R$2:$R$200,P99))))</f>
        <v/>
      </c>
      <c r="P99" s="1" t="str">
        <f>IF(C99="","",IFERROR(MATCH(C99&amp;"|"&amp;D99,'Input Contact Information'!$W$2:$W$200,0),""))</f>
        <v/>
      </c>
      <c r="Q99" s="1" t="str">
        <f>IF($C99="","",IF((IF(P99="","",IF(INDEX('Input Contact Information'!$N$2:$N$200,P99)="","",INDEX('Input Contact Information'!$N$2:$N$200,P99))))&lt;&gt;"",IF(P99="","",IF(INDEX('Input Contact Information'!$N$2:$N$200,P99)="","",INDEX('Input Contact Information'!$N$2:$N$200,P99))),IF(P99="","",IF(INDEX('Input Contact Information'!$M$2:$M$200,P99)="","",INDEX('Input Contact Information'!$M$2:$M$200,P99)))))</f>
        <v/>
      </c>
      <c r="R99" s="1" t="str">
        <f>IF(D99="","",IFERROR(MATCH(D99,'Accounts Overview'!$B$2:$B$100,0),""))</f>
        <v/>
      </c>
    </row>
    <row r="100" spans="1:18" ht="15" customHeight="1" x14ac:dyDescent="0.35">
      <c r="A100" s="13" t="str">
        <f t="shared" si="21"/>
        <v/>
      </c>
      <c r="B100" s="13" t="str">
        <f t="shared" si="22"/>
        <v/>
      </c>
      <c r="C100" s="1" t="str">
        <f>IFERROR(INDEX('Input Contact Information'!$C$2:$C$200,MATCH(ROW()-1,'Input Contact Information'!$V$2:$V$200,0)),"")</f>
        <v/>
      </c>
      <c r="D100" s="1" t="str">
        <f>IFERROR(INDEX('Input Contact Information'!$B$2:$B$200,MATCH(ROW()-1,'Input Contact Information'!$V$2:$V$200,0)),"")</f>
        <v/>
      </c>
      <c r="E100" s="1" t="str">
        <f>IF($C100="","",IF(R100="","",IF(INDEX('Accounts Overview'!$A$2:$A$100,R100)="","",INDEX('Accounts Overview'!$A$2:$A$100,R100))))</f>
        <v/>
      </c>
      <c r="F100" s="1" t="str">
        <f>IF($C100="","",IF(P100="","",IF(INDEX('Input Contact Information'!$D$2:$D$200,P100)="","",INDEX('Input Contact Information'!$D$2:$D$200,P100))))</f>
        <v/>
      </c>
      <c r="G100" s="1" t="str">
        <f>IF($C100="","",IF(P100="","",IF(INDEX('Input Contact Information'!$A$2:$A$200,P100)="","",INDEX('Input Contact Information'!$A$2:$A$200,P100))))</f>
        <v/>
      </c>
      <c r="H100" s="1" t="str">
        <f>IF($C100="","",IF(R100="","",IF(INDEX('Accounts Overview'!$I$2:$I$100,R100)="","",INDEX('Accounts Overview'!$I$2:$I$100,R100))))</f>
        <v/>
      </c>
      <c r="I100" s="1" t="str">
        <f t="shared" ca="1" si="23"/>
        <v/>
      </c>
      <c r="J100" s="12" t="str">
        <f>IF($C100="","",IF(P100="","",IF(INDEX('Input Contact Information'!$Q$2:$Q$200,P100)="","",INDEX('Input Contact Information'!$Q$2:$Q$200,P100))))</f>
        <v/>
      </c>
      <c r="K100" s="14" t="str">
        <f t="shared" ca="1" si="24"/>
        <v/>
      </c>
      <c r="L100" s="1" t="str">
        <f t="shared" si="25"/>
        <v/>
      </c>
      <c r="M100" s="1" t="str">
        <f t="shared" si="26"/>
        <v/>
      </c>
      <c r="N100" s="15">
        <f t="shared" ca="1" si="27"/>
        <v>46296</v>
      </c>
      <c r="O100" s="1" t="str">
        <f>IF($C100="","",IF(P100="","",IF(INDEX('Input Contact Information'!$R$2:$R$200,P100)="","",INDEX('Input Contact Information'!$R$2:$R$200,P100))))</f>
        <v/>
      </c>
      <c r="P100" s="1" t="str">
        <f>IF(C100="","",IFERROR(MATCH(C100&amp;"|"&amp;D100,'Input Contact Information'!$W$2:$W$200,0),""))</f>
        <v/>
      </c>
      <c r="Q100" s="1" t="str">
        <f>IF($C100="","",IF((IF(P100="","",IF(INDEX('Input Contact Information'!$N$2:$N$200,P100)="","",INDEX('Input Contact Information'!$N$2:$N$200,P100))))&lt;&gt;"",IF(P100="","",IF(INDEX('Input Contact Information'!$N$2:$N$200,P100)="","",INDEX('Input Contact Information'!$N$2:$N$200,P100))),IF(P100="","",IF(INDEX('Input Contact Information'!$M$2:$M$200,P100)="","",INDEX('Input Contact Information'!$M$2:$M$200,P100)))))</f>
        <v/>
      </c>
      <c r="R100" s="1" t="str">
        <f>IF(D100="","",IFERROR(MATCH(D100,'Accounts Overview'!$B$2:$B$100,0),""))</f>
        <v/>
      </c>
    </row>
    <row r="101" spans="1:18" ht="15" customHeight="1" x14ac:dyDescent="0.35">
      <c r="A101" s="13" t="str">
        <f t="shared" si="21"/>
        <v/>
      </c>
      <c r="B101" s="13" t="str">
        <f t="shared" si="22"/>
        <v/>
      </c>
      <c r="C101" s="1" t="str">
        <f>IFERROR(INDEX('Input Contact Information'!$C$2:$C$200,MATCH(ROW()-1,'Input Contact Information'!$V$2:$V$200,0)),"")</f>
        <v/>
      </c>
      <c r="D101" s="1" t="str">
        <f>IFERROR(INDEX('Input Contact Information'!$B$2:$B$200,MATCH(ROW()-1,'Input Contact Information'!$V$2:$V$200,0)),"")</f>
        <v/>
      </c>
      <c r="E101" s="1" t="str">
        <f>IF($C101="","",IF(R101="","",IF(INDEX('Accounts Overview'!$A$2:$A$100,R101)="","",INDEX('Accounts Overview'!$A$2:$A$100,R101))))</f>
        <v/>
      </c>
      <c r="F101" s="1" t="str">
        <f>IF($C101="","",IF(P101="","",IF(INDEX('Input Contact Information'!$D$2:$D$200,P101)="","",INDEX('Input Contact Information'!$D$2:$D$200,P101))))</f>
        <v/>
      </c>
      <c r="G101" s="1" t="str">
        <f>IF($C101="","",IF(P101="","",IF(INDEX('Input Contact Information'!$A$2:$A$200,P101)="","",INDEX('Input Contact Information'!$A$2:$A$200,P101))))</f>
        <v/>
      </c>
      <c r="H101" s="1" t="str">
        <f>IF($C101="","",IF(R101="","",IF(INDEX('Accounts Overview'!$I$2:$I$100,R101)="","",INDEX('Accounts Overview'!$I$2:$I$100,R101))))</f>
        <v/>
      </c>
      <c r="I101" s="1" t="str">
        <f t="shared" ca="1" si="23"/>
        <v/>
      </c>
      <c r="J101" s="12" t="str">
        <f>IF($C101="","",IF(P101="","",IF(INDEX('Input Contact Information'!$Q$2:$Q$200,P101)="","",INDEX('Input Contact Information'!$Q$2:$Q$200,P101))))</f>
        <v/>
      </c>
      <c r="K101" s="14" t="str">
        <f t="shared" ca="1" si="24"/>
        <v/>
      </c>
      <c r="L101" s="1" t="str">
        <f t="shared" si="25"/>
        <v/>
      </c>
      <c r="M101" s="1" t="str">
        <f t="shared" si="26"/>
        <v/>
      </c>
      <c r="N101" s="15">
        <f t="shared" ca="1" si="27"/>
        <v>46296</v>
      </c>
      <c r="O101" s="1" t="str">
        <f>IF($C101="","",IF(P101="","",IF(INDEX('Input Contact Information'!$R$2:$R$200,P101)="","",INDEX('Input Contact Information'!$R$2:$R$200,P101))))</f>
        <v/>
      </c>
      <c r="P101" s="1" t="str">
        <f>IF(C101="","",IFERROR(MATCH(C101&amp;"|"&amp;D101,'Input Contact Information'!$W$2:$W$200,0),""))</f>
        <v/>
      </c>
      <c r="Q101" s="1" t="str">
        <f>IF($C101="","",IF((IF(P101="","",IF(INDEX('Input Contact Information'!$N$2:$N$200,P101)="","",INDEX('Input Contact Information'!$N$2:$N$200,P101))))&lt;&gt;"",IF(P101="","",IF(INDEX('Input Contact Information'!$N$2:$N$200,P101)="","",INDEX('Input Contact Information'!$N$2:$N$200,P101))),IF(P101="","",IF(INDEX('Input Contact Information'!$M$2:$M$200,P101)="","",INDEX('Input Contact Information'!$M$2:$M$200,P101)))))</f>
        <v/>
      </c>
      <c r="R101" s="1" t="str">
        <f>IF(D101="","",IFERROR(MATCH(D101,'Accounts Overview'!$B$2:$B$100,0),""))</f>
        <v/>
      </c>
    </row>
    <row r="102" spans="1:18" ht="15" customHeight="1" x14ac:dyDescent="0.35">
      <c r="A102" s="13" t="str">
        <f t="shared" si="21"/>
        <v/>
      </c>
      <c r="B102" s="13" t="str">
        <f t="shared" si="22"/>
        <v/>
      </c>
      <c r="C102" s="1" t="str">
        <f>IFERROR(INDEX('Input Contact Information'!$C$2:$C$200,MATCH(ROW()-1,'Input Contact Information'!$V$2:$V$200,0)),"")</f>
        <v/>
      </c>
      <c r="D102" s="1" t="str">
        <f>IFERROR(INDEX('Input Contact Information'!$B$2:$B$200,MATCH(ROW()-1,'Input Contact Information'!$V$2:$V$200,0)),"")</f>
        <v/>
      </c>
      <c r="E102" s="1" t="str">
        <f>IF($C102="","",IF(R102="","",IF(INDEX('Accounts Overview'!$A$2:$A$100,R102)="","",INDEX('Accounts Overview'!$A$2:$A$100,R102))))</f>
        <v/>
      </c>
      <c r="F102" s="1" t="str">
        <f>IF($C102="","",IF(P102="","",IF(INDEX('Input Contact Information'!$D$2:$D$200,P102)="","",INDEX('Input Contact Information'!$D$2:$D$200,P102))))</f>
        <v/>
      </c>
      <c r="G102" s="1" t="str">
        <f>IF($C102="","",IF(P102="","",IF(INDEX('Input Contact Information'!$A$2:$A$200,P102)="","",INDEX('Input Contact Information'!$A$2:$A$200,P102))))</f>
        <v/>
      </c>
      <c r="H102" s="1" t="str">
        <f>IF($C102="","",IF(R102="","",IF(INDEX('Accounts Overview'!$I$2:$I$100,R102)="","",INDEX('Accounts Overview'!$I$2:$I$100,R102))))</f>
        <v/>
      </c>
      <c r="I102" s="1" t="str">
        <f t="shared" ca="1" si="23"/>
        <v/>
      </c>
      <c r="J102" s="12" t="str">
        <f>IF($C102="","",IF(P102="","",IF(INDEX('Input Contact Information'!$Q$2:$Q$200,P102)="","",INDEX('Input Contact Information'!$Q$2:$Q$200,P102))))</f>
        <v/>
      </c>
      <c r="K102" s="14" t="str">
        <f t="shared" ca="1" si="24"/>
        <v/>
      </c>
      <c r="L102" s="1" t="str">
        <f t="shared" si="25"/>
        <v/>
      </c>
      <c r="M102" s="1" t="str">
        <f t="shared" si="26"/>
        <v/>
      </c>
      <c r="N102" s="15">
        <f t="shared" ca="1" si="27"/>
        <v>46296</v>
      </c>
      <c r="O102" s="1" t="str">
        <f>IF($C102="","",IF(P102="","",IF(INDEX('Input Contact Information'!$R$2:$R$200,P102)="","",INDEX('Input Contact Information'!$R$2:$R$200,P102))))</f>
        <v/>
      </c>
      <c r="P102" s="1" t="str">
        <f>IF(C102="","",IFERROR(MATCH(C102&amp;"|"&amp;D102,'Input Contact Information'!$W$2:$W$200,0),""))</f>
        <v/>
      </c>
      <c r="Q102" s="1" t="str">
        <f>IF($C102="","",IF((IF(P102="","",IF(INDEX('Input Contact Information'!$N$2:$N$200,P102)="","",INDEX('Input Contact Information'!$N$2:$N$200,P102))))&lt;&gt;"",IF(P102="","",IF(INDEX('Input Contact Information'!$N$2:$N$200,P102)="","",INDEX('Input Contact Information'!$N$2:$N$200,P102))),IF(P102="","",IF(INDEX('Input Contact Information'!$M$2:$M$200,P102)="","",INDEX('Input Contact Information'!$M$2:$M$200,P102)))))</f>
        <v/>
      </c>
      <c r="R102" s="1" t="str">
        <f>IF(D102="","",IFERROR(MATCH(D102,'Accounts Overview'!$B$2:$B$100,0),""))</f>
        <v/>
      </c>
    </row>
    <row r="103" spans="1:18" ht="15" customHeight="1" x14ac:dyDescent="0.35">
      <c r="A103" s="13" t="str">
        <f t="shared" si="21"/>
        <v/>
      </c>
      <c r="B103" s="13" t="str">
        <f t="shared" si="22"/>
        <v/>
      </c>
      <c r="C103" s="1" t="str">
        <f>IFERROR(INDEX('Input Contact Information'!$C$2:$C$200,MATCH(ROW()-1,'Input Contact Information'!$V$2:$V$200,0)),"")</f>
        <v/>
      </c>
      <c r="D103" s="1" t="str">
        <f>IFERROR(INDEX('Input Contact Information'!$B$2:$B$200,MATCH(ROW()-1,'Input Contact Information'!$V$2:$V$200,0)),"")</f>
        <v/>
      </c>
      <c r="E103" s="1" t="str">
        <f>IF($C103="","",IF(R103="","",IF(INDEX('Accounts Overview'!$A$2:$A$100,R103)="","",INDEX('Accounts Overview'!$A$2:$A$100,R103))))</f>
        <v/>
      </c>
      <c r="F103" s="1" t="str">
        <f>IF($C103="","",IF(P103="","",IF(INDEX('Input Contact Information'!$D$2:$D$200,P103)="","",INDEX('Input Contact Information'!$D$2:$D$200,P103))))</f>
        <v/>
      </c>
      <c r="G103" s="1" t="str">
        <f>IF($C103="","",IF(P103="","",IF(INDEX('Input Contact Information'!$A$2:$A$200,P103)="","",INDEX('Input Contact Information'!$A$2:$A$200,P103))))</f>
        <v/>
      </c>
      <c r="H103" s="1" t="str">
        <f>IF($C103="","",IF(R103="","",IF(INDEX('Accounts Overview'!$I$2:$I$100,R103)="","",INDEX('Accounts Overview'!$I$2:$I$100,R103))))</f>
        <v/>
      </c>
      <c r="I103" s="1" t="str">
        <f t="shared" ca="1" si="23"/>
        <v/>
      </c>
      <c r="J103" s="12" t="str">
        <f>IF($C103="","",IF(P103="","",IF(INDEX('Input Contact Information'!$Q$2:$Q$200,P103)="","",INDEX('Input Contact Information'!$Q$2:$Q$200,P103))))</f>
        <v/>
      </c>
      <c r="K103" s="14" t="str">
        <f t="shared" ca="1" si="24"/>
        <v/>
      </c>
      <c r="L103" s="1" t="str">
        <f t="shared" si="25"/>
        <v/>
      </c>
      <c r="M103" s="1" t="str">
        <f t="shared" si="26"/>
        <v/>
      </c>
      <c r="N103" s="15">
        <f t="shared" ca="1" si="27"/>
        <v>46296</v>
      </c>
      <c r="O103" s="1" t="str">
        <f>IF($C103="","",IF(P103="","",IF(INDEX('Input Contact Information'!$R$2:$R$200,P103)="","",INDEX('Input Contact Information'!$R$2:$R$200,P103))))</f>
        <v/>
      </c>
      <c r="P103" s="1" t="str">
        <f>IF(C103="","",IFERROR(MATCH(C103&amp;"|"&amp;D103,'Input Contact Information'!$W$2:$W$200,0),""))</f>
        <v/>
      </c>
      <c r="Q103" s="1" t="str">
        <f>IF($C103="","",IF((IF(P103="","",IF(INDEX('Input Contact Information'!$N$2:$N$200,P103)="","",INDEX('Input Contact Information'!$N$2:$N$200,P103))))&lt;&gt;"",IF(P103="","",IF(INDEX('Input Contact Information'!$N$2:$N$200,P103)="","",INDEX('Input Contact Information'!$N$2:$N$200,P103))),IF(P103="","",IF(INDEX('Input Contact Information'!$M$2:$M$200,P103)="","",INDEX('Input Contact Information'!$M$2:$M$200,P103)))))</f>
        <v/>
      </c>
      <c r="R103" s="1" t="str">
        <f>IF(D103="","",IFERROR(MATCH(D103,'Accounts Overview'!$B$2:$B$100,0),""))</f>
        <v/>
      </c>
    </row>
    <row r="104" spans="1:18" ht="15" customHeight="1" x14ac:dyDescent="0.35">
      <c r="A104" s="13" t="str">
        <f t="shared" si="21"/>
        <v/>
      </c>
      <c r="B104" s="13" t="str">
        <f t="shared" si="22"/>
        <v/>
      </c>
      <c r="C104" s="1" t="str">
        <f>IFERROR(INDEX('Input Contact Information'!$C$2:$C$200,MATCH(ROW()-1,'Input Contact Information'!$V$2:$V$200,0)),"")</f>
        <v/>
      </c>
      <c r="D104" s="1" t="str">
        <f>IFERROR(INDEX('Input Contact Information'!$B$2:$B$200,MATCH(ROW()-1,'Input Contact Information'!$V$2:$V$200,0)),"")</f>
        <v/>
      </c>
      <c r="E104" s="1" t="str">
        <f>IF($C104="","",IF(R104="","",IF(INDEX('Accounts Overview'!$A$2:$A$100,R104)="","",INDEX('Accounts Overview'!$A$2:$A$100,R104))))</f>
        <v/>
      </c>
      <c r="F104" s="1" t="str">
        <f>IF($C104="","",IF(P104="","",IF(INDEX('Input Contact Information'!$D$2:$D$200,P104)="","",INDEX('Input Contact Information'!$D$2:$D$200,P104))))</f>
        <v/>
      </c>
      <c r="G104" s="1" t="str">
        <f>IF($C104="","",IF(P104="","",IF(INDEX('Input Contact Information'!$A$2:$A$200,P104)="","",INDEX('Input Contact Information'!$A$2:$A$200,P104))))</f>
        <v/>
      </c>
      <c r="H104" s="1" t="str">
        <f>IF($C104="","",IF(R104="","",IF(INDEX('Accounts Overview'!$I$2:$I$100,R104)="","",INDEX('Accounts Overview'!$I$2:$I$100,R104))))</f>
        <v/>
      </c>
      <c r="I104" s="1" t="str">
        <f t="shared" ca="1" si="23"/>
        <v/>
      </c>
      <c r="J104" s="12" t="str">
        <f>IF($C104="","",IF(P104="","",IF(INDEX('Input Contact Information'!$Q$2:$Q$200,P104)="","",INDEX('Input Contact Information'!$Q$2:$Q$200,P104))))</f>
        <v/>
      </c>
      <c r="K104" s="14" t="str">
        <f t="shared" ca="1" si="24"/>
        <v/>
      </c>
      <c r="L104" s="1" t="str">
        <f t="shared" si="25"/>
        <v/>
      </c>
      <c r="M104" s="1" t="str">
        <f t="shared" si="26"/>
        <v/>
      </c>
      <c r="N104" s="15">
        <f t="shared" ca="1" si="27"/>
        <v>46296</v>
      </c>
      <c r="O104" s="1" t="str">
        <f>IF($C104="","",IF(P104="","",IF(INDEX('Input Contact Information'!$R$2:$R$200,P104)="","",INDEX('Input Contact Information'!$R$2:$R$200,P104))))</f>
        <v/>
      </c>
      <c r="P104" s="1" t="str">
        <f>IF(C104="","",IFERROR(MATCH(C104&amp;"|"&amp;D104,'Input Contact Information'!$W$2:$W$200,0),""))</f>
        <v/>
      </c>
      <c r="Q104" s="1" t="str">
        <f>IF($C104="","",IF((IF(P104="","",IF(INDEX('Input Contact Information'!$N$2:$N$200,P104)="","",INDEX('Input Contact Information'!$N$2:$N$200,P104))))&lt;&gt;"",IF(P104="","",IF(INDEX('Input Contact Information'!$N$2:$N$200,P104)="","",INDEX('Input Contact Information'!$N$2:$N$200,P104))),IF(P104="","",IF(INDEX('Input Contact Information'!$M$2:$M$200,P104)="","",INDEX('Input Contact Information'!$M$2:$M$200,P104)))))</f>
        <v/>
      </c>
      <c r="R104" s="1" t="str">
        <f>IF(D104="","",IFERROR(MATCH(D104,'Accounts Overview'!$B$2:$B$100,0),""))</f>
        <v/>
      </c>
    </row>
    <row r="105" spans="1:18" ht="15" customHeight="1" x14ac:dyDescent="0.35">
      <c r="A105" s="13" t="str">
        <f t="shared" si="21"/>
        <v/>
      </c>
      <c r="B105" s="13" t="str">
        <f t="shared" si="22"/>
        <v/>
      </c>
      <c r="C105" s="1" t="str">
        <f>IFERROR(INDEX('Input Contact Information'!$C$2:$C$200,MATCH(ROW()-1,'Input Contact Information'!$V$2:$V$200,0)),"")</f>
        <v/>
      </c>
      <c r="D105" s="1" t="str">
        <f>IFERROR(INDEX('Input Contact Information'!$B$2:$B$200,MATCH(ROW()-1,'Input Contact Information'!$V$2:$V$200,0)),"")</f>
        <v/>
      </c>
      <c r="E105" s="1" t="str">
        <f>IF($C105="","",IF(R105="","",IF(INDEX('Accounts Overview'!$A$2:$A$100,R105)="","",INDEX('Accounts Overview'!$A$2:$A$100,R105))))</f>
        <v/>
      </c>
      <c r="F105" s="1" t="str">
        <f>IF($C105="","",IF(P105="","",IF(INDEX('Input Contact Information'!$D$2:$D$200,P105)="","",INDEX('Input Contact Information'!$D$2:$D$200,P105))))</f>
        <v/>
      </c>
      <c r="G105" s="1" t="str">
        <f>IF($C105="","",IF(P105="","",IF(INDEX('Input Contact Information'!$A$2:$A$200,P105)="","",INDEX('Input Contact Information'!$A$2:$A$200,P105))))</f>
        <v/>
      </c>
      <c r="H105" s="1" t="str">
        <f>IF($C105="","",IF(R105="","",IF(INDEX('Accounts Overview'!$I$2:$I$100,R105)="","",INDEX('Accounts Overview'!$I$2:$I$100,R105))))</f>
        <v/>
      </c>
      <c r="I105" s="1" t="str">
        <f t="shared" ca="1" si="23"/>
        <v/>
      </c>
      <c r="J105" s="12" t="str">
        <f>IF($C105="","",IF(P105="","",IF(INDEX('Input Contact Information'!$Q$2:$Q$200,P105)="","",INDEX('Input Contact Information'!$Q$2:$Q$200,P105))))</f>
        <v/>
      </c>
      <c r="K105" s="14" t="str">
        <f t="shared" ca="1" si="24"/>
        <v/>
      </c>
      <c r="L105" s="1" t="str">
        <f t="shared" si="25"/>
        <v/>
      </c>
      <c r="M105" s="1" t="str">
        <f t="shared" si="26"/>
        <v/>
      </c>
      <c r="N105" s="15">
        <f t="shared" ca="1" si="27"/>
        <v>46296</v>
      </c>
      <c r="O105" s="1" t="str">
        <f>IF($C105="","",IF(P105="","",IF(INDEX('Input Contact Information'!$R$2:$R$200,P105)="","",INDEX('Input Contact Information'!$R$2:$R$200,P105))))</f>
        <v/>
      </c>
      <c r="P105" s="1" t="str">
        <f>IF(C105="","",IFERROR(MATCH(C105&amp;"|"&amp;D105,'Input Contact Information'!$W$2:$W$200,0),""))</f>
        <v/>
      </c>
      <c r="Q105" s="1" t="str">
        <f>IF($C105="","",IF((IF(P105="","",IF(INDEX('Input Contact Information'!$N$2:$N$200,P105)="","",INDEX('Input Contact Information'!$N$2:$N$200,P105))))&lt;&gt;"",IF(P105="","",IF(INDEX('Input Contact Information'!$N$2:$N$200,P105)="","",INDEX('Input Contact Information'!$N$2:$N$200,P105))),IF(P105="","",IF(INDEX('Input Contact Information'!$M$2:$M$200,P105)="","",INDEX('Input Contact Information'!$M$2:$M$200,P105)))))</f>
        <v/>
      </c>
      <c r="R105" s="1" t="str">
        <f>IF(D105="","",IFERROR(MATCH(D105,'Accounts Overview'!$B$2:$B$100,0),""))</f>
        <v/>
      </c>
    </row>
    <row r="106" spans="1:18" ht="15" customHeight="1" x14ac:dyDescent="0.35">
      <c r="A106" s="13" t="str">
        <f t="shared" si="21"/>
        <v/>
      </c>
      <c r="B106" s="13" t="str">
        <f t="shared" si="22"/>
        <v/>
      </c>
      <c r="C106" s="1" t="str">
        <f>IFERROR(INDEX('Input Contact Information'!$C$2:$C$200,MATCH(ROW()-1,'Input Contact Information'!$V$2:$V$200,0)),"")</f>
        <v/>
      </c>
      <c r="D106" s="1" t="str">
        <f>IFERROR(INDEX('Input Contact Information'!$B$2:$B$200,MATCH(ROW()-1,'Input Contact Information'!$V$2:$V$200,0)),"")</f>
        <v/>
      </c>
      <c r="E106" s="1" t="str">
        <f>IF($C106="","",IF(R106="","",IF(INDEX('Accounts Overview'!$A$2:$A$100,R106)="","",INDEX('Accounts Overview'!$A$2:$A$100,R106))))</f>
        <v/>
      </c>
      <c r="F106" s="1" t="str">
        <f>IF($C106="","",IF(P106="","",IF(INDEX('Input Contact Information'!$D$2:$D$200,P106)="","",INDEX('Input Contact Information'!$D$2:$D$200,P106))))</f>
        <v/>
      </c>
      <c r="G106" s="1" t="str">
        <f>IF($C106="","",IF(P106="","",IF(INDEX('Input Contact Information'!$A$2:$A$200,P106)="","",INDEX('Input Contact Information'!$A$2:$A$200,P106))))</f>
        <v/>
      </c>
      <c r="H106" s="1" t="str">
        <f>IF($C106="","",IF(R106="","",IF(INDEX('Accounts Overview'!$I$2:$I$100,R106)="","",INDEX('Accounts Overview'!$I$2:$I$100,R106))))</f>
        <v/>
      </c>
      <c r="I106" s="1" t="str">
        <f t="shared" ca="1" si="23"/>
        <v/>
      </c>
      <c r="J106" s="12" t="str">
        <f>IF($C106="","",IF(P106="","",IF(INDEX('Input Contact Information'!$Q$2:$Q$200,P106)="","",INDEX('Input Contact Information'!$Q$2:$Q$200,P106))))</f>
        <v/>
      </c>
      <c r="K106" s="14" t="str">
        <f t="shared" ca="1" si="24"/>
        <v/>
      </c>
      <c r="L106" s="1" t="str">
        <f t="shared" si="25"/>
        <v/>
      </c>
      <c r="M106" s="1" t="str">
        <f t="shared" si="26"/>
        <v/>
      </c>
      <c r="N106" s="15">
        <f t="shared" ca="1" si="27"/>
        <v>46296</v>
      </c>
      <c r="O106" s="1" t="str">
        <f>IF($C106="","",IF(P106="","",IF(INDEX('Input Contact Information'!$R$2:$R$200,P106)="","",INDEX('Input Contact Information'!$R$2:$R$200,P106))))</f>
        <v/>
      </c>
      <c r="P106" s="1" t="str">
        <f>IF(C106="","",IFERROR(MATCH(C106&amp;"|"&amp;D106,'Input Contact Information'!$W$2:$W$200,0),""))</f>
        <v/>
      </c>
      <c r="Q106" s="1" t="str">
        <f>IF($C106="","",IF((IF(P106="","",IF(INDEX('Input Contact Information'!$N$2:$N$200,P106)="","",INDEX('Input Contact Information'!$N$2:$N$200,P106))))&lt;&gt;"",IF(P106="","",IF(INDEX('Input Contact Information'!$N$2:$N$200,P106)="","",INDEX('Input Contact Information'!$N$2:$N$200,P106))),IF(P106="","",IF(INDEX('Input Contact Information'!$M$2:$M$200,P106)="","",INDEX('Input Contact Information'!$M$2:$M$200,P106)))))</f>
        <v/>
      </c>
      <c r="R106" s="1" t="str">
        <f>IF(D106="","",IFERROR(MATCH(D106,'Accounts Overview'!$B$2:$B$100,0),""))</f>
        <v/>
      </c>
    </row>
    <row r="107" spans="1:18" ht="15" customHeight="1" x14ac:dyDescent="0.35">
      <c r="A107" s="13" t="str">
        <f t="shared" si="21"/>
        <v/>
      </c>
      <c r="B107" s="13" t="str">
        <f t="shared" si="22"/>
        <v/>
      </c>
      <c r="C107" s="1" t="str">
        <f>IFERROR(INDEX('Input Contact Information'!$C$2:$C$200,MATCH(ROW()-1,'Input Contact Information'!$V$2:$V$200,0)),"")</f>
        <v/>
      </c>
      <c r="D107" s="1" t="str">
        <f>IFERROR(INDEX('Input Contact Information'!$B$2:$B$200,MATCH(ROW()-1,'Input Contact Information'!$V$2:$V$200,0)),"")</f>
        <v/>
      </c>
      <c r="E107" s="1" t="str">
        <f>IF($C107="","",IF(R107="","",IF(INDEX('Accounts Overview'!$A$2:$A$100,R107)="","",INDEX('Accounts Overview'!$A$2:$A$100,R107))))</f>
        <v/>
      </c>
      <c r="F107" s="1" t="str">
        <f>IF($C107="","",IF(P107="","",IF(INDEX('Input Contact Information'!$D$2:$D$200,P107)="","",INDEX('Input Contact Information'!$D$2:$D$200,P107))))</f>
        <v/>
      </c>
      <c r="G107" s="1" t="str">
        <f>IF($C107="","",IF(P107="","",IF(INDEX('Input Contact Information'!$A$2:$A$200,P107)="","",INDEX('Input Contact Information'!$A$2:$A$200,P107))))</f>
        <v/>
      </c>
      <c r="H107" s="1" t="str">
        <f>IF($C107="","",IF(R107="","",IF(INDEX('Accounts Overview'!$I$2:$I$100,R107)="","",INDEX('Accounts Overview'!$I$2:$I$100,R107))))</f>
        <v/>
      </c>
      <c r="I107" s="1" t="str">
        <f t="shared" ca="1" si="23"/>
        <v/>
      </c>
      <c r="J107" s="12" t="str">
        <f>IF($C107="","",IF(P107="","",IF(INDEX('Input Contact Information'!$Q$2:$Q$200,P107)="","",INDEX('Input Contact Information'!$Q$2:$Q$200,P107))))</f>
        <v/>
      </c>
      <c r="K107" s="14" t="str">
        <f t="shared" ca="1" si="24"/>
        <v/>
      </c>
      <c r="L107" s="1" t="str">
        <f t="shared" si="25"/>
        <v/>
      </c>
      <c r="M107" s="1" t="str">
        <f t="shared" si="26"/>
        <v/>
      </c>
      <c r="N107" s="15">
        <f t="shared" ca="1" si="27"/>
        <v>46296</v>
      </c>
      <c r="O107" s="1" t="str">
        <f>IF($C107="","",IF(P107="","",IF(INDEX('Input Contact Information'!$R$2:$R$200,P107)="","",INDEX('Input Contact Information'!$R$2:$R$200,P107))))</f>
        <v/>
      </c>
      <c r="P107" s="1" t="str">
        <f>IF(C107="","",IFERROR(MATCH(C107&amp;"|"&amp;D107,'Input Contact Information'!$W$2:$W$200,0),""))</f>
        <v/>
      </c>
      <c r="Q107" s="1" t="str">
        <f>IF($C107="","",IF((IF(P107="","",IF(INDEX('Input Contact Information'!$N$2:$N$200,P107)="","",INDEX('Input Contact Information'!$N$2:$N$200,P107))))&lt;&gt;"",IF(P107="","",IF(INDEX('Input Contact Information'!$N$2:$N$200,P107)="","",INDEX('Input Contact Information'!$N$2:$N$200,P107))),IF(P107="","",IF(INDEX('Input Contact Information'!$M$2:$M$200,P107)="","",INDEX('Input Contact Information'!$M$2:$M$200,P107)))))</f>
        <v/>
      </c>
      <c r="R107" s="1" t="str">
        <f>IF(D107="","",IFERROR(MATCH(D107,'Accounts Overview'!$B$2:$B$100,0),""))</f>
        <v/>
      </c>
    </row>
    <row r="108" spans="1:18" ht="15" customHeight="1" x14ac:dyDescent="0.35">
      <c r="A108" s="13" t="str">
        <f t="shared" si="21"/>
        <v/>
      </c>
      <c r="B108" s="13" t="str">
        <f t="shared" si="22"/>
        <v/>
      </c>
      <c r="C108" s="1" t="str">
        <f>IFERROR(INDEX('Input Contact Information'!$C$2:$C$200,MATCH(ROW()-1,'Input Contact Information'!$V$2:$V$200,0)),"")</f>
        <v/>
      </c>
      <c r="D108" s="1" t="str">
        <f>IFERROR(INDEX('Input Contact Information'!$B$2:$B$200,MATCH(ROW()-1,'Input Contact Information'!$V$2:$V$200,0)),"")</f>
        <v/>
      </c>
      <c r="E108" s="1" t="str">
        <f>IF($C108="","",IF(R108="","",IF(INDEX('Accounts Overview'!$A$2:$A$100,R108)="","",INDEX('Accounts Overview'!$A$2:$A$100,R108))))</f>
        <v/>
      </c>
      <c r="F108" s="1" t="str">
        <f>IF($C108="","",IF(P108="","",IF(INDEX('Input Contact Information'!$D$2:$D$200,P108)="","",INDEX('Input Contact Information'!$D$2:$D$200,P108))))</f>
        <v/>
      </c>
      <c r="G108" s="1" t="str">
        <f>IF($C108="","",IF(P108="","",IF(INDEX('Input Contact Information'!$A$2:$A$200,P108)="","",INDEX('Input Contact Information'!$A$2:$A$200,P108))))</f>
        <v/>
      </c>
      <c r="H108" s="1" t="str">
        <f>IF($C108="","",IF(R108="","",IF(INDEX('Accounts Overview'!$I$2:$I$100,R108)="","",INDEX('Accounts Overview'!$I$2:$I$100,R108))))</f>
        <v/>
      </c>
      <c r="I108" s="1" t="str">
        <f t="shared" ca="1" si="23"/>
        <v/>
      </c>
      <c r="J108" s="12" t="str">
        <f>IF($C108="","",IF(P108="","",IF(INDEX('Input Contact Information'!$Q$2:$Q$200,P108)="","",INDEX('Input Contact Information'!$Q$2:$Q$200,P108))))</f>
        <v/>
      </c>
      <c r="K108" s="14" t="str">
        <f t="shared" ca="1" si="24"/>
        <v/>
      </c>
      <c r="L108" s="1" t="str">
        <f t="shared" si="25"/>
        <v/>
      </c>
      <c r="M108" s="1" t="str">
        <f t="shared" si="26"/>
        <v/>
      </c>
      <c r="N108" s="15">
        <f t="shared" ca="1" si="27"/>
        <v>46296</v>
      </c>
      <c r="O108" s="1" t="str">
        <f>IF($C108="","",IF(P108="","",IF(INDEX('Input Contact Information'!$R$2:$R$200,P108)="","",INDEX('Input Contact Information'!$R$2:$R$200,P108))))</f>
        <v/>
      </c>
      <c r="P108" s="1" t="str">
        <f>IF(C108="","",IFERROR(MATCH(C108&amp;"|"&amp;D108,'Input Contact Information'!$W$2:$W$200,0),""))</f>
        <v/>
      </c>
      <c r="Q108" s="1" t="str">
        <f>IF($C108="","",IF((IF(P108="","",IF(INDEX('Input Contact Information'!$N$2:$N$200,P108)="","",INDEX('Input Contact Information'!$N$2:$N$200,P108))))&lt;&gt;"",IF(P108="","",IF(INDEX('Input Contact Information'!$N$2:$N$200,P108)="","",INDEX('Input Contact Information'!$N$2:$N$200,P108))),IF(P108="","",IF(INDEX('Input Contact Information'!$M$2:$M$200,P108)="","",INDEX('Input Contact Information'!$M$2:$M$200,P108)))))</f>
        <v/>
      </c>
      <c r="R108" s="1" t="str">
        <f>IF(D108="","",IFERROR(MATCH(D108,'Accounts Overview'!$B$2:$B$100,0),""))</f>
        <v/>
      </c>
    </row>
    <row r="109" spans="1:18" ht="15" customHeight="1" x14ac:dyDescent="0.35">
      <c r="A109" s="13" t="str">
        <f t="shared" si="21"/>
        <v/>
      </c>
      <c r="B109" s="13" t="str">
        <f t="shared" si="22"/>
        <v/>
      </c>
      <c r="C109" s="1" t="str">
        <f>IFERROR(INDEX('Input Contact Information'!$C$2:$C$200,MATCH(ROW()-1,'Input Contact Information'!$V$2:$V$200,0)),"")</f>
        <v/>
      </c>
      <c r="D109" s="1" t="str">
        <f>IFERROR(INDEX('Input Contact Information'!$B$2:$B$200,MATCH(ROW()-1,'Input Contact Information'!$V$2:$V$200,0)),"")</f>
        <v/>
      </c>
      <c r="E109" s="1" t="str">
        <f>IF($C109="","",IF(R109="","",IF(INDEX('Accounts Overview'!$A$2:$A$100,R109)="","",INDEX('Accounts Overview'!$A$2:$A$100,R109))))</f>
        <v/>
      </c>
      <c r="F109" s="1" t="str">
        <f>IF($C109="","",IF(P109="","",IF(INDEX('Input Contact Information'!$D$2:$D$200,P109)="","",INDEX('Input Contact Information'!$D$2:$D$200,P109))))</f>
        <v/>
      </c>
      <c r="G109" s="1" t="str">
        <f>IF($C109="","",IF(P109="","",IF(INDEX('Input Contact Information'!$A$2:$A$200,P109)="","",INDEX('Input Contact Information'!$A$2:$A$200,P109))))</f>
        <v/>
      </c>
      <c r="H109" s="1" t="str">
        <f>IF($C109="","",IF(R109="","",IF(INDEX('Accounts Overview'!$I$2:$I$100,R109)="","",INDEX('Accounts Overview'!$I$2:$I$100,R109))))</f>
        <v/>
      </c>
      <c r="I109" s="1" t="str">
        <f t="shared" ca="1" si="23"/>
        <v/>
      </c>
      <c r="J109" s="12" t="str">
        <f>IF($C109="","",IF(P109="","",IF(INDEX('Input Contact Information'!$Q$2:$Q$200,P109)="","",INDEX('Input Contact Information'!$Q$2:$Q$200,P109))))</f>
        <v/>
      </c>
      <c r="K109" s="14" t="str">
        <f t="shared" ca="1" si="24"/>
        <v/>
      </c>
      <c r="L109" s="1" t="str">
        <f t="shared" si="25"/>
        <v/>
      </c>
      <c r="M109" s="1" t="str">
        <f t="shared" si="26"/>
        <v/>
      </c>
      <c r="N109" s="15">
        <f t="shared" ca="1" si="27"/>
        <v>46296</v>
      </c>
      <c r="O109" s="1" t="str">
        <f>IF($C109="","",IF(P109="","",IF(INDEX('Input Contact Information'!$R$2:$R$200,P109)="","",INDEX('Input Contact Information'!$R$2:$R$200,P109))))</f>
        <v/>
      </c>
      <c r="P109" s="1" t="str">
        <f>IF(C109="","",IFERROR(MATCH(C109&amp;"|"&amp;D109,'Input Contact Information'!$W$2:$W$200,0),""))</f>
        <v/>
      </c>
      <c r="Q109" s="1" t="str">
        <f>IF($C109="","",IF((IF(P109="","",IF(INDEX('Input Contact Information'!$N$2:$N$200,P109)="","",INDEX('Input Contact Information'!$N$2:$N$200,P109))))&lt;&gt;"",IF(P109="","",IF(INDEX('Input Contact Information'!$N$2:$N$200,P109)="","",INDEX('Input Contact Information'!$N$2:$N$200,P109))),IF(P109="","",IF(INDEX('Input Contact Information'!$M$2:$M$200,P109)="","",INDEX('Input Contact Information'!$M$2:$M$200,P109)))))</f>
        <v/>
      </c>
      <c r="R109" s="1" t="str">
        <f>IF(D109="","",IFERROR(MATCH(D109,'Accounts Overview'!$B$2:$B$100,0),""))</f>
        <v/>
      </c>
    </row>
    <row r="110" spans="1:18" ht="15" customHeight="1" x14ac:dyDescent="0.35">
      <c r="A110" s="13" t="str">
        <f t="shared" si="21"/>
        <v/>
      </c>
      <c r="B110" s="13" t="str">
        <f t="shared" si="22"/>
        <v/>
      </c>
      <c r="C110" s="1" t="str">
        <f>IFERROR(INDEX('Input Contact Information'!$C$2:$C$200,MATCH(ROW()-1,'Input Contact Information'!$V$2:$V$200,0)),"")</f>
        <v/>
      </c>
      <c r="D110" s="1" t="str">
        <f>IFERROR(INDEX('Input Contact Information'!$B$2:$B$200,MATCH(ROW()-1,'Input Contact Information'!$V$2:$V$200,0)),"")</f>
        <v/>
      </c>
      <c r="E110" s="1" t="str">
        <f>IF($C110="","",IF(R110="","",IF(INDEX('Accounts Overview'!$A$2:$A$100,R110)="","",INDEX('Accounts Overview'!$A$2:$A$100,R110))))</f>
        <v/>
      </c>
      <c r="F110" s="1" t="str">
        <f>IF($C110="","",IF(P110="","",IF(INDEX('Input Contact Information'!$D$2:$D$200,P110)="","",INDEX('Input Contact Information'!$D$2:$D$200,P110))))</f>
        <v/>
      </c>
      <c r="G110" s="1" t="str">
        <f>IF($C110="","",IF(P110="","",IF(INDEX('Input Contact Information'!$A$2:$A$200,P110)="","",INDEX('Input Contact Information'!$A$2:$A$200,P110))))</f>
        <v/>
      </c>
      <c r="H110" s="1" t="str">
        <f>IF($C110="","",IF(R110="","",IF(INDEX('Accounts Overview'!$I$2:$I$100,R110)="","",INDEX('Accounts Overview'!$I$2:$I$100,R110))))</f>
        <v/>
      </c>
      <c r="I110" s="1" t="str">
        <f t="shared" ca="1" si="23"/>
        <v/>
      </c>
      <c r="J110" s="12" t="str">
        <f>IF($C110="","",IF(P110="","",IF(INDEX('Input Contact Information'!$Q$2:$Q$200,P110)="","",INDEX('Input Contact Information'!$Q$2:$Q$200,P110))))</f>
        <v/>
      </c>
      <c r="K110" s="14" t="str">
        <f t="shared" ca="1" si="24"/>
        <v/>
      </c>
      <c r="L110" s="1" t="str">
        <f t="shared" si="25"/>
        <v/>
      </c>
      <c r="M110" s="1" t="str">
        <f t="shared" si="26"/>
        <v/>
      </c>
      <c r="N110" s="15">
        <f t="shared" ca="1" si="27"/>
        <v>46296</v>
      </c>
      <c r="O110" s="1" t="str">
        <f>IF($C110="","",IF(P110="","",IF(INDEX('Input Contact Information'!$R$2:$R$200,P110)="","",INDEX('Input Contact Information'!$R$2:$R$200,P110))))</f>
        <v/>
      </c>
      <c r="P110" s="1" t="str">
        <f>IF(C110="","",IFERROR(MATCH(C110&amp;"|"&amp;D110,'Input Contact Information'!$W$2:$W$200,0),""))</f>
        <v/>
      </c>
      <c r="Q110" s="1" t="str">
        <f>IF($C110="","",IF((IF(P110="","",IF(INDEX('Input Contact Information'!$N$2:$N$200,P110)="","",INDEX('Input Contact Information'!$N$2:$N$200,P110))))&lt;&gt;"",IF(P110="","",IF(INDEX('Input Contact Information'!$N$2:$N$200,P110)="","",INDEX('Input Contact Information'!$N$2:$N$200,P110))),IF(P110="","",IF(INDEX('Input Contact Information'!$M$2:$M$200,P110)="","",INDEX('Input Contact Information'!$M$2:$M$200,P110)))))</f>
        <v/>
      </c>
      <c r="R110" s="1" t="str">
        <f>IF(D110="","",IFERROR(MATCH(D110,'Accounts Overview'!$B$2:$B$100,0),""))</f>
        <v/>
      </c>
    </row>
    <row r="111" spans="1:18" ht="15" customHeight="1" x14ac:dyDescent="0.35">
      <c r="A111" s="13" t="str">
        <f t="shared" si="21"/>
        <v/>
      </c>
      <c r="B111" s="13" t="str">
        <f t="shared" si="22"/>
        <v/>
      </c>
      <c r="C111" s="1" t="str">
        <f>IFERROR(INDEX('Input Contact Information'!$C$2:$C$200,MATCH(ROW()-1,'Input Contact Information'!$V$2:$V$200,0)),"")</f>
        <v/>
      </c>
      <c r="D111" s="1" t="str">
        <f>IFERROR(INDEX('Input Contact Information'!$B$2:$B$200,MATCH(ROW()-1,'Input Contact Information'!$V$2:$V$200,0)),"")</f>
        <v/>
      </c>
      <c r="E111" s="1" t="str">
        <f>IF($C111="","",IF(R111="","",IF(INDEX('Accounts Overview'!$A$2:$A$100,R111)="","",INDEX('Accounts Overview'!$A$2:$A$100,R111))))</f>
        <v/>
      </c>
      <c r="F111" s="1" t="str">
        <f>IF($C111="","",IF(P111="","",IF(INDEX('Input Contact Information'!$D$2:$D$200,P111)="","",INDEX('Input Contact Information'!$D$2:$D$200,P111))))</f>
        <v/>
      </c>
      <c r="G111" s="1" t="str">
        <f>IF($C111="","",IF(P111="","",IF(INDEX('Input Contact Information'!$A$2:$A$200,P111)="","",INDEX('Input Contact Information'!$A$2:$A$200,P111))))</f>
        <v/>
      </c>
      <c r="H111" s="1" t="str">
        <f>IF($C111="","",IF(R111="","",IF(INDEX('Accounts Overview'!$I$2:$I$100,R111)="","",INDEX('Accounts Overview'!$I$2:$I$100,R111))))</f>
        <v/>
      </c>
      <c r="I111" s="1" t="str">
        <f t="shared" ca="1" si="23"/>
        <v/>
      </c>
      <c r="J111" s="12" t="str">
        <f>IF($C111="","",IF(P111="","",IF(INDEX('Input Contact Information'!$Q$2:$Q$200,P111)="","",INDEX('Input Contact Information'!$Q$2:$Q$200,P111))))</f>
        <v/>
      </c>
      <c r="K111" s="14" t="str">
        <f t="shared" ca="1" si="24"/>
        <v/>
      </c>
      <c r="L111" s="1" t="str">
        <f t="shared" si="25"/>
        <v/>
      </c>
      <c r="M111" s="1" t="str">
        <f t="shared" si="26"/>
        <v/>
      </c>
      <c r="N111" s="15">
        <f t="shared" ca="1" si="27"/>
        <v>46296</v>
      </c>
      <c r="O111" s="1" t="str">
        <f>IF($C111="","",IF(P111="","",IF(INDEX('Input Contact Information'!$R$2:$R$200,P111)="","",INDEX('Input Contact Information'!$R$2:$R$200,P111))))</f>
        <v/>
      </c>
      <c r="P111" s="1" t="str">
        <f>IF(C111="","",IFERROR(MATCH(C111&amp;"|"&amp;D111,'Input Contact Information'!$W$2:$W$200,0),""))</f>
        <v/>
      </c>
      <c r="Q111" s="1" t="str">
        <f>IF($C111="","",IF((IF(P111="","",IF(INDEX('Input Contact Information'!$N$2:$N$200,P111)="","",INDEX('Input Contact Information'!$N$2:$N$200,P111))))&lt;&gt;"",IF(P111="","",IF(INDEX('Input Contact Information'!$N$2:$N$200,P111)="","",INDEX('Input Contact Information'!$N$2:$N$200,P111))),IF(P111="","",IF(INDEX('Input Contact Information'!$M$2:$M$200,P111)="","",INDEX('Input Contact Information'!$M$2:$M$200,P111)))))</f>
        <v/>
      </c>
      <c r="R111" s="1" t="str">
        <f>IF(D111="","",IFERROR(MATCH(D111,'Accounts Overview'!$B$2:$B$100,0),""))</f>
        <v/>
      </c>
    </row>
    <row r="112" spans="1:18" ht="15" customHeight="1" x14ac:dyDescent="0.35">
      <c r="A112" s="13" t="str">
        <f t="shared" si="21"/>
        <v/>
      </c>
      <c r="B112" s="13" t="str">
        <f t="shared" si="22"/>
        <v/>
      </c>
      <c r="C112" s="1" t="str">
        <f>IFERROR(INDEX('Input Contact Information'!$C$2:$C$200,MATCH(ROW()-1,'Input Contact Information'!$V$2:$V$200,0)),"")</f>
        <v/>
      </c>
      <c r="D112" s="1" t="str">
        <f>IFERROR(INDEX('Input Contact Information'!$B$2:$B$200,MATCH(ROW()-1,'Input Contact Information'!$V$2:$V$200,0)),"")</f>
        <v/>
      </c>
      <c r="E112" s="1" t="str">
        <f>IF($C112="","",IF(R112="","",IF(INDEX('Accounts Overview'!$A$2:$A$100,R112)="","",INDEX('Accounts Overview'!$A$2:$A$100,R112))))</f>
        <v/>
      </c>
      <c r="F112" s="1" t="str">
        <f>IF($C112="","",IF(P112="","",IF(INDEX('Input Contact Information'!$D$2:$D$200,P112)="","",INDEX('Input Contact Information'!$D$2:$D$200,P112))))</f>
        <v/>
      </c>
      <c r="G112" s="1" t="str">
        <f>IF($C112="","",IF(P112="","",IF(INDEX('Input Contact Information'!$A$2:$A$200,P112)="","",INDEX('Input Contact Information'!$A$2:$A$200,P112))))</f>
        <v/>
      </c>
      <c r="H112" s="1" t="str">
        <f>IF($C112="","",IF(R112="","",IF(INDEX('Accounts Overview'!$I$2:$I$100,R112)="","",INDEX('Accounts Overview'!$I$2:$I$100,R112))))</f>
        <v/>
      </c>
      <c r="I112" s="1" t="str">
        <f t="shared" ca="1" si="23"/>
        <v/>
      </c>
      <c r="J112" s="12" t="str">
        <f>IF($C112="","",IF(P112="","",IF(INDEX('Input Contact Information'!$Q$2:$Q$200,P112)="","",INDEX('Input Contact Information'!$Q$2:$Q$200,P112))))</f>
        <v/>
      </c>
      <c r="K112" s="14" t="str">
        <f t="shared" ca="1" si="24"/>
        <v/>
      </c>
      <c r="L112" s="1" t="str">
        <f t="shared" si="25"/>
        <v/>
      </c>
      <c r="M112" s="1" t="str">
        <f t="shared" si="26"/>
        <v/>
      </c>
      <c r="N112" s="15">
        <f t="shared" ca="1" si="27"/>
        <v>46296</v>
      </c>
      <c r="O112" s="1" t="str">
        <f>IF($C112="","",IF(P112="","",IF(INDEX('Input Contact Information'!$R$2:$R$200,P112)="","",INDEX('Input Contact Information'!$R$2:$R$200,P112))))</f>
        <v/>
      </c>
      <c r="P112" s="1" t="str">
        <f>IF(C112="","",IFERROR(MATCH(C112&amp;"|"&amp;D112,'Input Contact Information'!$W$2:$W$200,0),""))</f>
        <v/>
      </c>
      <c r="Q112" s="1" t="str">
        <f>IF($C112="","",IF((IF(P112="","",IF(INDEX('Input Contact Information'!$N$2:$N$200,P112)="","",INDEX('Input Contact Information'!$N$2:$N$200,P112))))&lt;&gt;"",IF(P112="","",IF(INDEX('Input Contact Information'!$N$2:$N$200,P112)="","",INDEX('Input Contact Information'!$N$2:$N$200,P112))),IF(P112="","",IF(INDEX('Input Contact Information'!$M$2:$M$200,P112)="","",INDEX('Input Contact Information'!$M$2:$M$200,P112)))))</f>
        <v/>
      </c>
      <c r="R112" s="1" t="str">
        <f>IF(D112="","",IFERROR(MATCH(D112,'Accounts Overview'!$B$2:$B$100,0),""))</f>
        <v/>
      </c>
    </row>
    <row r="113" spans="1:18" ht="15" customHeight="1" x14ac:dyDescent="0.35">
      <c r="A113" s="13" t="str">
        <f t="shared" si="21"/>
        <v/>
      </c>
      <c r="B113" s="13" t="str">
        <f t="shared" si="22"/>
        <v/>
      </c>
      <c r="C113" s="1" t="str">
        <f>IFERROR(INDEX('Input Contact Information'!$C$2:$C$200,MATCH(ROW()-1,'Input Contact Information'!$V$2:$V$200,0)),"")</f>
        <v/>
      </c>
      <c r="D113" s="1" t="str">
        <f>IFERROR(INDEX('Input Contact Information'!$B$2:$B$200,MATCH(ROW()-1,'Input Contact Information'!$V$2:$V$200,0)),"")</f>
        <v/>
      </c>
      <c r="E113" s="1" t="str">
        <f>IF($C113="","",IF(R113="","",IF(INDEX('Accounts Overview'!$A$2:$A$100,R113)="","",INDEX('Accounts Overview'!$A$2:$A$100,R113))))</f>
        <v/>
      </c>
      <c r="F113" s="1" t="str">
        <f>IF($C113="","",IF(P113="","",IF(INDEX('Input Contact Information'!$D$2:$D$200,P113)="","",INDEX('Input Contact Information'!$D$2:$D$200,P113))))</f>
        <v/>
      </c>
      <c r="G113" s="1" t="str">
        <f>IF($C113="","",IF(P113="","",IF(INDEX('Input Contact Information'!$A$2:$A$200,P113)="","",INDEX('Input Contact Information'!$A$2:$A$200,P113))))</f>
        <v/>
      </c>
      <c r="H113" s="1" t="str">
        <f>IF($C113="","",IF(R113="","",IF(INDEX('Accounts Overview'!$I$2:$I$100,R113)="","",INDEX('Accounts Overview'!$I$2:$I$100,R113))))</f>
        <v/>
      </c>
      <c r="I113" s="1" t="str">
        <f t="shared" ca="1" si="23"/>
        <v/>
      </c>
      <c r="J113" s="12" t="str">
        <f>IF($C113="","",IF(P113="","",IF(INDEX('Input Contact Information'!$Q$2:$Q$200,P113)="","",INDEX('Input Contact Information'!$Q$2:$Q$200,P113))))</f>
        <v/>
      </c>
      <c r="K113" s="14" t="str">
        <f t="shared" ca="1" si="24"/>
        <v/>
      </c>
      <c r="L113" s="1" t="str">
        <f t="shared" si="25"/>
        <v/>
      </c>
      <c r="M113" s="1" t="str">
        <f t="shared" si="26"/>
        <v/>
      </c>
      <c r="N113" s="15">
        <f t="shared" ca="1" si="27"/>
        <v>46296</v>
      </c>
      <c r="O113" s="1" t="str">
        <f>IF($C113="","",IF(P113="","",IF(INDEX('Input Contact Information'!$R$2:$R$200,P113)="","",INDEX('Input Contact Information'!$R$2:$R$200,P113))))</f>
        <v/>
      </c>
      <c r="P113" s="1" t="str">
        <f>IF(C113="","",IFERROR(MATCH(C113&amp;"|"&amp;D113,'Input Contact Information'!$W$2:$W$200,0),""))</f>
        <v/>
      </c>
      <c r="Q113" s="1" t="str">
        <f>IF($C113="","",IF((IF(P113="","",IF(INDEX('Input Contact Information'!$N$2:$N$200,P113)="","",INDEX('Input Contact Information'!$N$2:$N$200,P113))))&lt;&gt;"",IF(P113="","",IF(INDEX('Input Contact Information'!$N$2:$N$200,P113)="","",INDEX('Input Contact Information'!$N$2:$N$200,P113))),IF(P113="","",IF(INDEX('Input Contact Information'!$M$2:$M$200,P113)="","",INDEX('Input Contact Information'!$M$2:$M$200,P113)))))</f>
        <v/>
      </c>
      <c r="R113" s="1" t="str">
        <f>IF(D113="","",IFERROR(MATCH(D113,'Accounts Overview'!$B$2:$B$100,0),""))</f>
        <v/>
      </c>
    </row>
    <row r="114" spans="1:18" ht="15" customHeight="1" x14ac:dyDescent="0.35">
      <c r="A114" s="13" t="str">
        <f t="shared" si="21"/>
        <v/>
      </c>
      <c r="B114" s="13" t="str">
        <f t="shared" si="22"/>
        <v/>
      </c>
      <c r="C114" s="1" t="str">
        <f>IFERROR(INDEX('Input Contact Information'!$C$2:$C$200,MATCH(ROW()-1,'Input Contact Information'!$V$2:$V$200,0)),"")</f>
        <v/>
      </c>
      <c r="D114" s="1" t="str">
        <f>IFERROR(INDEX('Input Contact Information'!$B$2:$B$200,MATCH(ROW()-1,'Input Contact Information'!$V$2:$V$200,0)),"")</f>
        <v/>
      </c>
      <c r="E114" s="1" t="str">
        <f>IF($C114="","",IF(R114="","",IF(INDEX('Accounts Overview'!$A$2:$A$100,R114)="","",INDEX('Accounts Overview'!$A$2:$A$100,R114))))</f>
        <v/>
      </c>
      <c r="F114" s="1" t="str">
        <f>IF($C114="","",IF(P114="","",IF(INDEX('Input Contact Information'!$D$2:$D$200,P114)="","",INDEX('Input Contact Information'!$D$2:$D$200,P114))))</f>
        <v/>
      </c>
      <c r="G114" s="1" t="str">
        <f>IF($C114="","",IF(P114="","",IF(INDEX('Input Contact Information'!$A$2:$A$200,P114)="","",INDEX('Input Contact Information'!$A$2:$A$200,P114))))</f>
        <v/>
      </c>
      <c r="H114" s="1" t="str">
        <f>IF($C114="","",IF(R114="","",IF(INDEX('Accounts Overview'!$I$2:$I$100,R114)="","",INDEX('Accounts Overview'!$I$2:$I$100,R114))))</f>
        <v/>
      </c>
      <c r="I114" s="1" t="str">
        <f t="shared" ca="1" si="23"/>
        <v/>
      </c>
      <c r="J114" s="12" t="str">
        <f>IF($C114="","",IF(P114="","",IF(INDEX('Input Contact Information'!$Q$2:$Q$200,P114)="","",INDEX('Input Contact Information'!$Q$2:$Q$200,P114))))</f>
        <v/>
      </c>
      <c r="K114" s="14" t="str">
        <f t="shared" ca="1" si="24"/>
        <v/>
      </c>
      <c r="L114" s="1" t="str">
        <f t="shared" si="25"/>
        <v/>
      </c>
      <c r="M114" s="1" t="str">
        <f t="shared" si="26"/>
        <v/>
      </c>
      <c r="N114" s="15">
        <f t="shared" ca="1" si="27"/>
        <v>46296</v>
      </c>
      <c r="O114" s="1" t="str">
        <f>IF($C114="","",IF(P114="","",IF(INDEX('Input Contact Information'!$R$2:$R$200,P114)="","",INDEX('Input Contact Information'!$R$2:$R$200,P114))))</f>
        <v/>
      </c>
      <c r="P114" s="1" t="str">
        <f>IF(C114="","",IFERROR(MATCH(C114&amp;"|"&amp;D114,'Input Contact Information'!$W$2:$W$200,0),""))</f>
        <v/>
      </c>
      <c r="Q114" s="1" t="str">
        <f>IF($C114="","",IF((IF(P114="","",IF(INDEX('Input Contact Information'!$N$2:$N$200,P114)="","",INDEX('Input Contact Information'!$N$2:$N$200,P114))))&lt;&gt;"",IF(P114="","",IF(INDEX('Input Contact Information'!$N$2:$N$200,P114)="","",INDEX('Input Contact Information'!$N$2:$N$200,P114))),IF(P114="","",IF(INDEX('Input Contact Information'!$M$2:$M$200,P114)="","",INDEX('Input Contact Information'!$M$2:$M$200,P114)))))</f>
        <v/>
      </c>
      <c r="R114" s="1" t="str">
        <f>IF(D114="","",IFERROR(MATCH(D114,'Accounts Overview'!$B$2:$B$100,0),""))</f>
        <v/>
      </c>
    </row>
    <row r="115" spans="1:18" ht="15" customHeight="1" x14ac:dyDescent="0.35">
      <c r="A115" s="13" t="str">
        <f t="shared" si="21"/>
        <v/>
      </c>
      <c r="B115" s="13" t="str">
        <f t="shared" si="22"/>
        <v/>
      </c>
      <c r="C115" s="1" t="str">
        <f>IFERROR(INDEX('Input Contact Information'!$C$2:$C$200,MATCH(ROW()-1,'Input Contact Information'!$V$2:$V$200,0)),"")</f>
        <v/>
      </c>
      <c r="D115" s="1" t="str">
        <f>IFERROR(INDEX('Input Contact Information'!$B$2:$B$200,MATCH(ROW()-1,'Input Contact Information'!$V$2:$V$200,0)),"")</f>
        <v/>
      </c>
      <c r="E115" s="1" t="str">
        <f>IF($C115="","",IF(R115="","",IF(INDEX('Accounts Overview'!$A$2:$A$100,R115)="","",INDEX('Accounts Overview'!$A$2:$A$100,R115))))</f>
        <v/>
      </c>
      <c r="F115" s="1" t="str">
        <f>IF($C115="","",IF(P115="","",IF(INDEX('Input Contact Information'!$D$2:$D$200,P115)="","",INDEX('Input Contact Information'!$D$2:$D$200,P115))))</f>
        <v/>
      </c>
      <c r="G115" s="1" t="str">
        <f>IF($C115="","",IF(P115="","",IF(INDEX('Input Contact Information'!$A$2:$A$200,P115)="","",INDEX('Input Contact Information'!$A$2:$A$200,P115))))</f>
        <v/>
      </c>
      <c r="H115" s="1" t="str">
        <f>IF($C115="","",IF(R115="","",IF(INDEX('Accounts Overview'!$I$2:$I$100,R115)="","",INDEX('Accounts Overview'!$I$2:$I$100,R115))))</f>
        <v/>
      </c>
      <c r="I115" s="1" t="str">
        <f t="shared" ca="1" si="23"/>
        <v/>
      </c>
      <c r="J115" s="12" t="str">
        <f>IF($C115="","",IF(P115="","",IF(INDEX('Input Contact Information'!$Q$2:$Q$200,P115)="","",INDEX('Input Contact Information'!$Q$2:$Q$200,P115))))</f>
        <v/>
      </c>
      <c r="K115" s="14" t="str">
        <f t="shared" ca="1" si="24"/>
        <v/>
      </c>
      <c r="L115" s="1" t="str">
        <f t="shared" si="25"/>
        <v/>
      </c>
      <c r="M115" s="1" t="str">
        <f t="shared" si="26"/>
        <v/>
      </c>
      <c r="N115" s="15">
        <f t="shared" ca="1" si="27"/>
        <v>46296</v>
      </c>
      <c r="O115" s="1" t="str">
        <f>IF($C115="","",IF(P115="","",IF(INDEX('Input Contact Information'!$R$2:$R$200,P115)="","",INDEX('Input Contact Information'!$R$2:$R$200,P115))))</f>
        <v/>
      </c>
      <c r="P115" s="1" t="str">
        <f>IF(C115="","",IFERROR(MATCH(C115&amp;"|"&amp;D115,'Input Contact Information'!$W$2:$W$200,0),""))</f>
        <v/>
      </c>
      <c r="Q115" s="1" t="str">
        <f>IF($C115="","",IF((IF(P115="","",IF(INDEX('Input Contact Information'!$N$2:$N$200,P115)="","",INDEX('Input Contact Information'!$N$2:$N$200,P115))))&lt;&gt;"",IF(P115="","",IF(INDEX('Input Contact Information'!$N$2:$N$200,P115)="","",INDEX('Input Contact Information'!$N$2:$N$200,P115))),IF(P115="","",IF(INDEX('Input Contact Information'!$M$2:$M$200,P115)="","",INDEX('Input Contact Information'!$M$2:$M$200,P115)))))</f>
        <v/>
      </c>
      <c r="R115" s="1" t="str">
        <f>IF(D115="","",IFERROR(MATCH(D115,'Accounts Overview'!$B$2:$B$100,0),""))</f>
        <v/>
      </c>
    </row>
    <row r="116" spans="1:18" ht="15" customHeight="1" x14ac:dyDescent="0.35">
      <c r="A116" s="13" t="str">
        <f t="shared" si="21"/>
        <v/>
      </c>
      <c r="B116" s="13" t="str">
        <f t="shared" si="22"/>
        <v/>
      </c>
      <c r="C116" s="1" t="str">
        <f>IFERROR(INDEX('Input Contact Information'!$C$2:$C$200,MATCH(ROW()-1,'Input Contact Information'!$V$2:$V$200,0)),"")</f>
        <v/>
      </c>
      <c r="D116" s="1" t="str">
        <f>IFERROR(INDEX('Input Contact Information'!$B$2:$B$200,MATCH(ROW()-1,'Input Contact Information'!$V$2:$V$200,0)),"")</f>
        <v/>
      </c>
      <c r="E116" s="1" t="str">
        <f>IF($C116="","",IF(R116="","",IF(INDEX('Accounts Overview'!$A$2:$A$100,R116)="","",INDEX('Accounts Overview'!$A$2:$A$100,R116))))</f>
        <v/>
      </c>
      <c r="F116" s="1" t="str">
        <f>IF($C116="","",IF(P116="","",IF(INDEX('Input Contact Information'!$D$2:$D$200,P116)="","",INDEX('Input Contact Information'!$D$2:$D$200,P116))))</f>
        <v/>
      </c>
      <c r="G116" s="1" t="str">
        <f>IF($C116="","",IF(P116="","",IF(INDEX('Input Contact Information'!$A$2:$A$200,P116)="","",INDEX('Input Contact Information'!$A$2:$A$200,P116))))</f>
        <v/>
      </c>
      <c r="H116" s="1" t="str">
        <f>IF($C116="","",IF(R116="","",IF(INDEX('Accounts Overview'!$I$2:$I$100,R116)="","",INDEX('Accounts Overview'!$I$2:$I$100,R116))))</f>
        <v/>
      </c>
      <c r="I116" s="1" t="str">
        <f t="shared" ca="1" si="23"/>
        <v/>
      </c>
      <c r="J116" s="12" t="str">
        <f>IF($C116="","",IF(P116="","",IF(INDEX('Input Contact Information'!$Q$2:$Q$200,P116)="","",INDEX('Input Contact Information'!$Q$2:$Q$200,P116))))</f>
        <v/>
      </c>
      <c r="K116" s="14" t="str">
        <f t="shared" ca="1" si="24"/>
        <v/>
      </c>
      <c r="L116" s="1" t="str">
        <f t="shared" si="25"/>
        <v/>
      </c>
      <c r="M116" s="1" t="str">
        <f t="shared" si="26"/>
        <v/>
      </c>
      <c r="N116" s="15">
        <f t="shared" ca="1" si="27"/>
        <v>46296</v>
      </c>
      <c r="O116" s="1" t="str">
        <f>IF($C116="","",IF(P116="","",IF(INDEX('Input Contact Information'!$R$2:$R$200,P116)="","",INDEX('Input Contact Information'!$R$2:$R$200,P116))))</f>
        <v/>
      </c>
      <c r="P116" s="1" t="str">
        <f>IF(C116="","",IFERROR(MATCH(C116&amp;"|"&amp;D116,'Input Contact Information'!$W$2:$W$200,0),""))</f>
        <v/>
      </c>
      <c r="Q116" s="1" t="str">
        <f>IF($C116="","",IF((IF(P116="","",IF(INDEX('Input Contact Information'!$N$2:$N$200,P116)="","",INDEX('Input Contact Information'!$N$2:$N$200,P116))))&lt;&gt;"",IF(P116="","",IF(INDEX('Input Contact Information'!$N$2:$N$200,P116)="","",INDEX('Input Contact Information'!$N$2:$N$200,P116))),IF(P116="","",IF(INDEX('Input Contact Information'!$M$2:$M$200,P116)="","",INDEX('Input Contact Information'!$M$2:$M$200,P116)))))</f>
        <v/>
      </c>
      <c r="R116" s="1" t="str">
        <f>IF(D116="","",IFERROR(MATCH(D116,'Accounts Overview'!$B$2:$B$100,0),""))</f>
        <v/>
      </c>
    </row>
    <row r="117" spans="1:18" ht="15" customHeight="1" x14ac:dyDescent="0.35">
      <c r="A117" s="13" t="str">
        <f t="shared" si="21"/>
        <v/>
      </c>
      <c r="B117" s="13" t="str">
        <f t="shared" si="22"/>
        <v/>
      </c>
      <c r="C117" s="1" t="str">
        <f>IFERROR(INDEX('Input Contact Information'!$C$2:$C$200,MATCH(ROW()-1,'Input Contact Information'!$V$2:$V$200,0)),"")</f>
        <v/>
      </c>
      <c r="D117" s="1" t="str">
        <f>IFERROR(INDEX('Input Contact Information'!$B$2:$B$200,MATCH(ROW()-1,'Input Contact Information'!$V$2:$V$200,0)),"")</f>
        <v/>
      </c>
      <c r="E117" s="1" t="str">
        <f>IF($C117="","",IF(R117="","",IF(INDEX('Accounts Overview'!$A$2:$A$100,R117)="","",INDEX('Accounts Overview'!$A$2:$A$100,R117))))</f>
        <v/>
      </c>
      <c r="F117" s="1" t="str">
        <f>IF($C117="","",IF(P117="","",IF(INDEX('Input Contact Information'!$D$2:$D$200,P117)="","",INDEX('Input Contact Information'!$D$2:$D$200,P117))))</f>
        <v/>
      </c>
      <c r="G117" s="1" t="str">
        <f>IF($C117="","",IF(P117="","",IF(INDEX('Input Contact Information'!$A$2:$A$200,P117)="","",INDEX('Input Contact Information'!$A$2:$A$200,P117))))</f>
        <v/>
      </c>
      <c r="H117" s="1" t="str">
        <f>IF($C117="","",IF(R117="","",IF(INDEX('Accounts Overview'!$I$2:$I$100,R117)="","",INDEX('Accounts Overview'!$I$2:$I$100,R117))))</f>
        <v/>
      </c>
      <c r="I117" s="1" t="str">
        <f t="shared" ca="1" si="23"/>
        <v/>
      </c>
      <c r="J117" s="12" t="str">
        <f>IF($C117="","",IF(P117="","",IF(INDEX('Input Contact Information'!$Q$2:$Q$200,P117)="","",INDEX('Input Contact Information'!$Q$2:$Q$200,P117))))</f>
        <v/>
      </c>
      <c r="K117" s="14" t="str">
        <f t="shared" ca="1" si="24"/>
        <v/>
      </c>
      <c r="L117" s="1" t="str">
        <f t="shared" si="25"/>
        <v/>
      </c>
      <c r="M117" s="1" t="str">
        <f t="shared" si="26"/>
        <v/>
      </c>
      <c r="N117" s="15">
        <f t="shared" ca="1" si="27"/>
        <v>46296</v>
      </c>
      <c r="O117" s="1" t="str">
        <f>IF($C117="","",IF(P117="","",IF(INDEX('Input Contact Information'!$R$2:$R$200,P117)="","",INDEX('Input Contact Information'!$R$2:$R$200,P117))))</f>
        <v/>
      </c>
      <c r="P117" s="1" t="str">
        <f>IF(C117="","",IFERROR(MATCH(C117&amp;"|"&amp;D117,'Input Contact Information'!$W$2:$W$200,0),""))</f>
        <v/>
      </c>
      <c r="Q117" s="1" t="str">
        <f>IF($C117="","",IF((IF(P117="","",IF(INDEX('Input Contact Information'!$N$2:$N$200,P117)="","",INDEX('Input Contact Information'!$N$2:$N$200,P117))))&lt;&gt;"",IF(P117="","",IF(INDEX('Input Contact Information'!$N$2:$N$200,P117)="","",INDEX('Input Contact Information'!$N$2:$N$200,P117))),IF(P117="","",IF(INDEX('Input Contact Information'!$M$2:$M$200,P117)="","",INDEX('Input Contact Information'!$M$2:$M$200,P117)))))</f>
        <v/>
      </c>
      <c r="R117" s="1" t="str">
        <f>IF(D117="","",IFERROR(MATCH(D117,'Accounts Overview'!$B$2:$B$100,0),""))</f>
        <v/>
      </c>
    </row>
    <row r="118" spans="1:18" ht="15" customHeight="1" x14ac:dyDescent="0.35">
      <c r="A118" s="13" t="str">
        <f t="shared" si="21"/>
        <v/>
      </c>
      <c r="B118" s="13" t="str">
        <f t="shared" si="22"/>
        <v/>
      </c>
      <c r="C118" s="1" t="str">
        <f>IFERROR(INDEX('Input Contact Information'!$C$2:$C$200,MATCH(ROW()-1,'Input Contact Information'!$V$2:$V$200,0)),"")</f>
        <v/>
      </c>
      <c r="D118" s="1" t="str">
        <f>IFERROR(INDEX('Input Contact Information'!$B$2:$B$200,MATCH(ROW()-1,'Input Contact Information'!$V$2:$V$200,0)),"")</f>
        <v/>
      </c>
      <c r="E118" s="1" t="str">
        <f>IF($C118="","",IF(R118="","",IF(INDEX('Accounts Overview'!$A$2:$A$100,R118)="","",INDEX('Accounts Overview'!$A$2:$A$100,R118))))</f>
        <v/>
      </c>
      <c r="F118" s="1" t="str">
        <f>IF($C118="","",IF(P118="","",IF(INDEX('Input Contact Information'!$D$2:$D$200,P118)="","",INDEX('Input Contact Information'!$D$2:$D$200,P118))))</f>
        <v/>
      </c>
      <c r="G118" s="1" t="str">
        <f>IF($C118="","",IF(P118="","",IF(INDEX('Input Contact Information'!$A$2:$A$200,P118)="","",INDEX('Input Contact Information'!$A$2:$A$200,P118))))</f>
        <v/>
      </c>
      <c r="H118" s="1" t="str">
        <f>IF($C118="","",IF(R118="","",IF(INDEX('Accounts Overview'!$I$2:$I$100,R118)="","",INDEX('Accounts Overview'!$I$2:$I$100,R118))))</f>
        <v/>
      </c>
      <c r="I118" s="1" t="str">
        <f t="shared" ca="1" si="23"/>
        <v/>
      </c>
      <c r="J118" s="12" t="str">
        <f>IF($C118="","",IF(P118="","",IF(INDEX('Input Contact Information'!$Q$2:$Q$200,P118)="","",INDEX('Input Contact Information'!$Q$2:$Q$200,P118))))</f>
        <v/>
      </c>
      <c r="K118" s="14" t="str">
        <f t="shared" ca="1" si="24"/>
        <v/>
      </c>
      <c r="L118" s="1" t="str">
        <f t="shared" si="25"/>
        <v/>
      </c>
      <c r="M118" s="1" t="str">
        <f t="shared" si="26"/>
        <v/>
      </c>
      <c r="N118" s="15">
        <f t="shared" ca="1" si="27"/>
        <v>46296</v>
      </c>
      <c r="O118" s="1" t="str">
        <f>IF($C118="","",IF(P118="","",IF(INDEX('Input Contact Information'!$R$2:$R$200,P118)="","",INDEX('Input Contact Information'!$R$2:$R$200,P118))))</f>
        <v/>
      </c>
      <c r="P118" s="1" t="str">
        <f>IF(C118="","",IFERROR(MATCH(C118&amp;"|"&amp;D118,'Input Contact Information'!$W$2:$W$200,0),""))</f>
        <v/>
      </c>
      <c r="Q118" s="1" t="str">
        <f>IF($C118="","",IF((IF(P118="","",IF(INDEX('Input Contact Information'!$N$2:$N$200,P118)="","",INDEX('Input Contact Information'!$N$2:$N$200,P118))))&lt;&gt;"",IF(P118="","",IF(INDEX('Input Contact Information'!$N$2:$N$200,P118)="","",INDEX('Input Contact Information'!$N$2:$N$200,P118))),IF(P118="","",IF(INDEX('Input Contact Information'!$M$2:$M$200,P118)="","",INDEX('Input Contact Information'!$M$2:$M$200,P118)))))</f>
        <v/>
      </c>
      <c r="R118" s="1" t="str">
        <f>IF(D118="","",IFERROR(MATCH(D118,'Accounts Overview'!$B$2:$B$100,0),""))</f>
        <v/>
      </c>
    </row>
    <row r="119" spans="1:18" ht="15" customHeight="1" x14ac:dyDescent="0.35">
      <c r="A119" s="13" t="str">
        <f t="shared" si="21"/>
        <v/>
      </c>
      <c r="B119" s="13" t="str">
        <f t="shared" si="22"/>
        <v/>
      </c>
      <c r="C119" s="1" t="str">
        <f>IFERROR(INDEX('Input Contact Information'!$C$2:$C$200,MATCH(ROW()-1,'Input Contact Information'!$V$2:$V$200,0)),"")</f>
        <v/>
      </c>
      <c r="D119" s="1" t="str">
        <f>IFERROR(INDEX('Input Contact Information'!$B$2:$B$200,MATCH(ROW()-1,'Input Contact Information'!$V$2:$V$200,0)),"")</f>
        <v/>
      </c>
      <c r="E119" s="1" t="str">
        <f>IF($C119="","",IF(R119="","",IF(INDEX('Accounts Overview'!$A$2:$A$100,R119)="","",INDEX('Accounts Overview'!$A$2:$A$100,R119))))</f>
        <v/>
      </c>
      <c r="F119" s="1" t="str">
        <f>IF($C119="","",IF(P119="","",IF(INDEX('Input Contact Information'!$D$2:$D$200,P119)="","",INDEX('Input Contact Information'!$D$2:$D$200,P119))))</f>
        <v/>
      </c>
      <c r="G119" s="1" t="str">
        <f>IF($C119="","",IF(P119="","",IF(INDEX('Input Contact Information'!$A$2:$A$200,P119)="","",INDEX('Input Contact Information'!$A$2:$A$200,P119))))</f>
        <v/>
      </c>
      <c r="H119" s="1" t="str">
        <f>IF($C119="","",IF(R119="","",IF(INDEX('Accounts Overview'!$I$2:$I$100,R119)="","",INDEX('Accounts Overview'!$I$2:$I$100,R119))))</f>
        <v/>
      </c>
      <c r="I119" s="1" t="str">
        <f t="shared" ca="1" si="23"/>
        <v/>
      </c>
      <c r="J119" s="12" t="str">
        <f>IF($C119="","",IF(P119="","",IF(INDEX('Input Contact Information'!$Q$2:$Q$200,P119)="","",INDEX('Input Contact Information'!$Q$2:$Q$200,P119))))</f>
        <v/>
      </c>
      <c r="K119" s="14" t="str">
        <f t="shared" ca="1" si="24"/>
        <v/>
      </c>
      <c r="L119" s="1" t="str">
        <f t="shared" si="25"/>
        <v/>
      </c>
      <c r="M119" s="1" t="str">
        <f t="shared" si="26"/>
        <v/>
      </c>
      <c r="N119" s="15">
        <f t="shared" ca="1" si="27"/>
        <v>46296</v>
      </c>
      <c r="O119" s="1" t="str">
        <f>IF($C119="","",IF(P119="","",IF(INDEX('Input Contact Information'!$R$2:$R$200,P119)="","",INDEX('Input Contact Information'!$R$2:$R$200,P119))))</f>
        <v/>
      </c>
      <c r="P119" s="1" t="str">
        <f>IF(C119="","",IFERROR(MATCH(C119&amp;"|"&amp;D119,'Input Contact Information'!$W$2:$W$200,0),""))</f>
        <v/>
      </c>
      <c r="Q119" s="1" t="str">
        <f>IF($C119="","",IF((IF(P119="","",IF(INDEX('Input Contact Information'!$N$2:$N$200,P119)="","",INDEX('Input Contact Information'!$N$2:$N$200,P119))))&lt;&gt;"",IF(P119="","",IF(INDEX('Input Contact Information'!$N$2:$N$200,P119)="","",INDEX('Input Contact Information'!$N$2:$N$200,P119))),IF(P119="","",IF(INDEX('Input Contact Information'!$M$2:$M$200,P119)="","",INDEX('Input Contact Information'!$M$2:$M$200,P119)))))</f>
        <v/>
      </c>
      <c r="R119" s="1" t="str">
        <f>IF(D119="","",IFERROR(MATCH(D119,'Accounts Overview'!$B$2:$B$100,0),""))</f>
        <v/>
      </c>
    </row>
    <row r="120" spans="1:18" ht="15" customHeight="1" x14ac:dyDescent="0.35">
      <c r="A120" s="13" t="str">
        <f t="shared" si="21"/>
        <v/>
      </c>
      <c r="B120" s="13" t="str">
        <f t="shared" si="22"/>
        <v/>
      </c>
      <c r="C120" s="1" t="str">
        <f>IFERROR(INDEX('Input Contact Information'!$C$2:$C$200,MATCH(ROW()-1,'Input Contact Information'!$V$2:$V$200,0)),"")</f>
        <v/>
      </c>
      <c r="D120" s="1" t="str">
        <f>IFERROR(INDEX('Input Contact Information'!$B$2:$B$200,MATCH(ROW()-1,'Input Contact Information'!$V$2:$V$200,0)),"")</f>
        <v/>
      </c>
      <c r="E120" s="1" t="str">
        <f>IF($C120="","",IF(R120="","",IF(INDEX('Accounts Overview'!$A$2:$A$100,R120)="","",INDEX('Accounts Overview'!$A$2:$A$100,R120))))</f>
        <v/>
      </c>
      <c r="F120" s="1" t="str">
        <f>IF($C120="","",IF(P120="","",IF(INDEX('Input Contact Information'!$D$2:$D$200,P120)="","",INDEX('Input Contact Information'!$D$2:$D$200,P120))))</f>
        <v/>
      </c>
      <c r="G120" s="1" t="str">
        <f>IF($C120="","",IF(P120="","",IF(INDEX('Input Contact Information'!$A$2:$A$200,P120)="","",INDEX('Input Contact Information'!$A$2:$A$200,P120))))</f>
        <v/>
      </c>
      <c r="H120" s="1" t="str">
        <f>IF($C120="","",IF(R120="","",IF(INDEX('Accounts Overview'!$I$2:$I$100,R120)="","",INDEX('Accounts Overview'!$I$2:$I$100,R120))))</f>
        <v/>
      </c>
      <c r="I120" s="1" t="str">
        <f t="shared" ca="1" si="23"/>
        <v/>
      </c>
      <c r="J120" s="12" t="str">
        <f>IF($C120="","",IF(P120="","",IF(INDEX('Input Contact Information'!$Q$2:$Q$200,P120)="","",INDEX('Input Contact Information'!$Q$2:$Q$200,P120))))</f>
        <v/>
      </c>
      <c r="K120" s="14" t="str">
        <f t="shared" ca="1" si="24"/>
        <v/>
      </c>
      <c r="L120" s="1" t="str">
        <f t="shared" si="25"/>
        <v/>
      </c>
      <c r="M120" s="1" t="str">
        <f t="shared" si="26"/>
        <v/>
      </c>
      <c r="N120" s="15">
        <f t="shared" ca="1" si="27"/>
        <v>46296</v>
      </c>
      <c r="O120" s="1" t="str">
        <f>IF($C120="","",IF(P120="","",IF(INDEX('Input Contact Information'!$R$2:$R$200,P120)="","",INDEX('Input Contact Information'!$R$2:$R$200,P120))))</f>
        <v/>
      </c>
      <c r="P120" s="1" t="str">
        <f>IF(C120="","",IFERROR(MATCH(C120&amp;"|"&amp;D120,'Input Contact Information'!$W$2:$W$200,0),""))</f>
        <v/>
      </c>
      <c r="Q120" s="1" t="str">
        <f>IF($C120="","",IF((IF(P120="","",IF(INDEX('Input Contact Information'!$N$2:$N$200,P120)="","",INDEX('Input Contact Information'!$N$2:$N$200,P120))))&lt;&gt;"",IF(P120="","",IF(INDEX('Input Contact Information'!$N$2:$N$200,P120)="","",INDEX('Input Contact Information'!$N$2:$N$200,P120))),IF(P120="","",IF(INDEX('Input Contact Information'!$M$2:$M$200,P120)="","",INDEX('Input Contact Information'!$M$2:$M$200,P120)))))</f>
        <v/>
      </c>
      <c r="R120" s="1" t="str">
        <f>IF(D120="","",IFERROR(MATCH(D120,'Accounts Overview'!$B$2:$B$100,0),""))</f>
        <v/>
      </c>
    </row>
    <row r="121" spans="1:18" ht="15" customHeight="1" x14ac:dyDescent="0.35">
      <c r="A121" s="13" t="str">
        <f t="shared" si="21"/>
        <v/>
      </c>
      <c r="B121" s="13" t="str">
        <f t="shared" si="22"/>
        <v/>
      </c>
      <c r="C121" s="1" t="str">
        <f>IFERROR(INDEX('Input Contact Information'!$C$2:$C$200,MATCH(ROW()-1,'Input Contact Information'!$V$2:$V$200,0)),"")</f>
        <v/>
      </c>
      <c r="D121" s="1" t="str">
        <f>IFERROR(INDEX('Input Contact Information'!$B$2:$B$200,MATCH(ROW()-1,'Input Contact Information'!$V$2:$V$200,0)),"")</f>
        <v/>
      </c>
      <c r="E121" s="1" t="str">
        <f>IF($C121="","",IF(R121="","",IF(INDEX('Accounts Overview'!$A$2:$A$100,R121)="","",INDEX('Accounts Overview'!$A$2:$A$100,R121))))</f>
        <v/>
      </c>
      <c r="F121" s="1" t="str">
        <f>IF($C121="","",IF(P121="","",IF(INDEX('Input Contact Information'!$D$2:$D$200,P121)="","",INDEX('Input Contact Information'!$D$2:$D$200,P121))))</f>
        <v/>
      </c>
      <c r="G121" s="1" t="str">
        <f>IF($C121="","",IF(P121="","",IF(INDEX('Input Contact Information'!$A$2:$A$200,P121)="","",INDEX('Input Contact Information'!$A$2:$A$200,P121))))</f>
        <v/>
      </c>
      <c r="H121" s="1" t="str">
        <f>IF($C121="","",IF(R121="","",IF(INDEX('Accounts Overview'!$I$2:$I$100,R121)="","",INDEX('Accounts Overview'!$I$2:$I$100,R121))))</f>
        <v/>
      </c>
      <c r="I121" s="1" t="str">
        <f t="shared" ca="1" si="23"/>
        <v/>
      </c>
      <c r="J121" s="12" t="str">
        <f>IF($C121="","",IF(P121="","",IF(INDEX('Input Contact Information'!$Q$2:$Q$200,P121)="","",INDEX('Input Contact Information'!$Q$2:$Q$200,P121))))</f>
        <v/>
      </c>
      <c r="K121" s="14" t="str">
        <f t="shared" ca="1" si="24"/>
        <v/>
      </c>
      <c r="L121" s="1" t="str">
        <f t="shared" si="25"/>
        <v/>
      </c>
      <c r="M121" s="1" t="str">
        <f t="shared" si="26"/>
        <v/>
      </c>
      <c r="N121" s="15">
        <f t="shared" ca="1" si="27"/>
        <v>46296</v>
      </c>
      <c r="O121" s="1" t="str">
        <f>IF($C121="","",IF(P121="","",IF(INDEX('Input Contact Information'!$R$2:$R$200,P121)="","",INDEX('Input Contact Information'!$R$2:$R$200,P121))))</f>
        <v/>
      </c>
      <c r="P121" s="1" t="str">
        <f>IF(C121="","",IFERROR(MATCH(C121&amp;"|"&amp;D121,'Input Contact Information'!$W$2:$W$200,0),""))</f>
        <v/>
      </c>
      <c r="Q121" s="1" t="str">
        <f>IF($C121="","",IF((IF(P121="","",IF(INDEX('Input Contact Information'!$N$2:$N$200,P121)="","",INDEX('Input Contact Information'!$N$2:$N$200,P121))))&lt;&gt;"",IF(P121="","",IF(INDEX('Input Contact Information'!$N$2:$N$200,P121)="","",INDEX('Input Contact Information'!$N$2:$N$200,P121))),IF(P121="","",IF(INDEX('Input Contact Information'!$M$2:$M$200,P121)="","",INDEX('Input Contact Information'!$M$2:$M$200,P121)))))</f>
        <v/>
      </c>
      <c r="R121" s="1" t="str">
        <f>IF(D121="","",IFERROR(MATCH(D121,'Accounts Overview'!$B$2:$B$100,0),""))</f>
        <v/>
      </c>
    </row>
    <row r="122" spans="1:18" ht="15" customHeight="1" x14ac:dyDescent="0.35">
      <c r="A122" s="13" t="str">
        <f t="shared" si="21"/>
        <v/>
      </c>
      <c r="B122" s="13" t="str">
        <f t="shared" si="22"/>
        <v/>
      </c>
      <c r="C122" s="1" t="str">
        <f>IFERROR(INDEX('Input Contact Information'!$C$2:$C$200,MATCH(ROW()-1,'Input Contact Information'!$V$2:$V$200,0)),"")</f>
        <v/>
      </c>
      <c r="D122" s="1" t="str">
        <f>IFERROR(INDEX('Input Contact Information'!$B$2:$B$200,MATCH(ROW()-1,'Input Contact Information'!$V$2:$V$200,0)),"")</f>
        <v/>
      </c>
      <c r="E122" s="1" t="str">
        <f>IF($C122="","",IF(R122="","",IF(INDEX('Accounts Overview'!$A$2:$A$100,R122)="","",INDEX('Accounts Overview'!$A$2:$A$100,R122))))</f>
        <v/>
      </c>
      <c r="F122" s="1" t="str">
        <f>IF($C122="","",IF(P122="","",IF(INDEX('Input Contact Information'!$D$2:$D$200,P122)="","",INDEX('Input Contact Information'!$D$2:$D$200,P122))))</f>
        <v/>
      </c>
      <c r="G122" s="1" t="str">
        <f>IF($C122="","",IF(P122="","",IF(INDEX('Input Contact Information'!$A$2:$A$200,P122)="","",INDEX('Input Contact Information'!$A$2:$A$200,P122))))</f>
        <v/>
      </c>
      <c r="H122" s="1" t="str">
        <f>IF($C122="","",IF(R122="","",IF(INDEX('Accounts Overview'!$I$2:$I$100,R122)="","",INDEX('Accounts Overview'!$I$2:$I$100,R122))))</f>
        <v/>
      </c>
      <c r="I122" s="1" t="str">
        <f t="shared" ca="1" si="23"/>
        <v/>
      </c>
      <c r="J122" s="12" t="str">
        <f>IF($C122="","",IF(P122="","",IF(INDEX('Input Contact Information'!$Q$2:$Q$200,P122)="","",INDEX('Input Contact Information'!$Q$2:$Q$200,P122))))</f>
        <v/>
      </c>
      <c r="K122" s="14" t="str">
        <f t="shared" ca="1" si="24"/>
        <v/>
      </c>
      <c r="L122" s="1" t="str">
        <f t="shared" si="25"/>
        <v/>
      </c>
      <c r="M122" s="1" t="str">
        <f t="shared" si="26"/>
        <v/>
      </c>
      <c r="N122" s="15">
        <f t="shared" ca="1" si="27"/>
        <v>46296</v>
      </c>
      <c r="O122" s="1" t="str">
        <f>IF($C122="","",IF(P122="","",IF(INDEX('Input Contact Information'!$R$2:$R$200,P122)="","",INDEX('Input Contact Information'!$R$2:$R$200,P122))))</f>
        <v/>
      </c>
      <c r="P122" s="1" t="str">
        <f>IF(C122="","",IFERROR(MATCH(C122&amp;"|"&amp;D122,'Input Contact Information'!$W$2:$W$200,0),""))</f>
        <v/>
      </c>
      <c r="Q122" s="1" t="str">
        <f>IF($C122="","",IF((IF(P122="","",IF(INDEX('Input Contact Information'!$N$2:$N$200,P122)="","",INDEX('Input Contact Information'!$N$2:$N$200,P122))))&lt;&gt;"",IF(P122="","",IF(INDEX('Input Contact Information'!$N$2:$N$200,P122)="","",INDEX('Input Contact Information'!$N$2:$N$200,P122))),IF(P122="","",IF(INDEX('Input Contact Information'!$M$2:$M$200,P122)="","",INDEX('Input Contact Information'!$M$2:$M$200,P122)))))</f>
        <v/>
      </c>
      <c r="R122" s="1" t="str">
        <f>IF(D122="","",IFERROR(MATCH(D122,'Accounts Overview'!$B$2:$B$100,0),""))</f>
        <v/>
      </c>
    </row>
    <row r="123" spans="1:18" ht="15" customHeight="1" x14ac:dyDescent="0.35">
      <c r="A123" s="13" t="str">
        <f t="shared" si="21"/>
        <v/>
      </c>
      <c r="B123" s="13" t="str">
        <f t="shared" si="22"/>
        <v/>
      </c>
      <c r="C123" s="1" t="str">
        <f>IFERROR(INDEX('Input Contact Information'!$C$2:$C$200,MATCH(ROW()-1,'Input Contact Information'!$V$2:$V$200,0)),"")</f>
        <v/>
      </c>
      <c r="D123" s="1" t="str">
        <f>IFERROR(INDEX('Input Contact Information'!$B$2:$B$200,MATCH(ROW()-1,'Input Contact Information'!$V$2:$V$200,0)),"")</f>
        <v/>
      </c>
      <c r="E123" s="1" t="str">
        <f>IF($C123="","",IF(R123="","",IF(INDEX('Accounts Overview'!$A$2:$A$100,R123)="","",INDEX('Accounts Overview'!$A$2:$A$100,R123))))</f>
        <v/>
      </c>
      <c r="F123" s="1" t="str">
        <f>IF($C123="","",IF(P123="","",IF(INDEX('Input Contact Information'!$D$2:$D$200,P123)="","",INDEX('Input Contact Information'!$D$2:$D$200,P123))))</f>
        <v/>
      </c>
      <c r="G123" s="1" t="str">
        <f>IF($C123="","",IF(P123="","",IF(INDEX('Input Contact Information'!$A$2:$A$200,P123)="","",INDEX('Input Contact Information'!$A$2:$A$200,P123))))</f>
        <v/>
      </c>
      <c r="H123" s="1" t="str">
        <f>IF($C123="","",IF(R123="","",IF(INDEX('Accounts Overview'!$I$2:$I$100,R123)="","",INDEX('Accounts Overview'!$I$2:$I$100,R123))))</f>
        <v/>
      </c>
      <c r="I123" s="1" t="str">
        <f t="shared" ca="1" si="23"/>
        <v/>
      </c>
      <c r="J123" s="12" t="str">
        <f>IF($C123="","",IF(P123="","",IF(INDEX('Input Contact Information'!$Q$2:$Q$200,P123)="","",INDEX('Input Contact Information'!$Q$2:$Q$200,P123))))</f>
        <v/>
      </c>
      <c r="K123" s="14" t="str">
        <f t="shared" ca="1" si="24"/>
        <v/>
      </c>
      <c r="L123" s="1" t="str">
        <f t="shared" si="25"/>
        <v/>
      </c>
      <c r="M123" s="1" t="str">
        <f t="shared" si="26"/>
        <v/>
      </c>
      <c r="N123" s="15">
        <f t="shared" ca="1" si="27"/>
        <v>46296</v>
      </c>
      <c r="O123" s="1" t="str">
        <f>IF($C123="","",IF(P123="","",IF(INDEX('Input Contact Information'!$R$2:$R$200,P123)="","",INDEX('Input Contact Information'!$R$2:$R$200,P123))))</f>
        <v/>
      </c>
      <c r="P123" s="1" t="str">
        <f>IF(C123="","",IFERROR(MATCH(C123&amp;"|"&amp;D123,'Input Contact Information'!$W$2:$W$200,0),""))</f>
        <v/>
      </c>
      <c r="Q123" s="1" t="str">
        <f>IF($C123="","",IF((IF(P123="","",IF(INDEX('Input Contact Information'!$N$2:$N$200,P123)="","",INDEX('Input Contact Information'!$N$2:$N$200,P123))))&lt;&gt;"",IF(P123="","",IF(INDEX('Input Contact Information'!$N$2:$N$200,P123)="","",INDEX('Input Contact Information'!$N$2:$N$200,P123))),IF(P123="","",IF(INDEX('Input Contact Information'!$M$2:$M$200,P123)="","",INDEX('Input Contact Information'!$M$2:$M$200,P123)))))</f>
        <v/>
      </c>
      <c r="R123" s="1" t="str">
        <f>IF(D123="","",IFERROR(MATCH(D123,'Accounts Overview'!$B$2:$B$100,0),""))</f>
        <v/>
      </c>
    </row>
    <row r="124" spans="1:18" ht="15" customHeight="1" x14ac:dyDescent="0.35">
      <c r="A124" s="13" t="str">
        <f t="shared" si="21"/>
        <v/>
      </c>
      <c r="B124" s="13" t="str">
        <f t="shared" si="22"/>
        <v/>
      </c>
      <c r="C124" s="1" t="str">
        <f>IFERROR(INDEX('Input Contact Information'!$C$2:$C$200,MATCH(ROW()-1,'Input Contact Information'!$V$2:$V$200,0)),"")</f>
        <v/>
      </c>
      <c r="D124" s="1" t="str">
        <f>IFERROR(INDEX('Input Contact Information'!$B$2:$B$200,MATCH(ROW()-1,'Input Contact Information'!$V$2:$V$200,0)),"")</f>
        <v/>
      </c>
      <c r="E124" s="1" t="str">
        <f>IF($C124="","",IF(R124="","",IF(INDEX('Accounts Overview'!$A$2:$A$100,R124)="","",INDEX('Accounts Overview'!$A$2:$A$100,R124))))</f>
        <v/>
      </c>
      <c r="F124" s="1" t="str">
        <f>IF($C124="","",IF(P124="","",IF(INDEX('Input Contact Information'!$D$2:$D$200,P124)="","",INDEX('Input Contact Information'!$D$2:$D$200,P124))))</f>
        <v/>
      </c>
      <c r="G124" s="1" t="str">
        <f>IF($C124="","",IF(P124="","",IF(INDEX('Input Contact Information'!$A$2:$A$200,P124)="","",INDEX('Input Contact Information'!$A$2:$A$200,P124))))</f>
        <v/>
      </c>
      <c r="H124" s="1" t="str">
        <f>IF($C124="","",IF(R124="","",IF(INDEX('Accounts Overview'!$I$2:$I$100,R124)="","",INDEX('Accounts Overview'!$I$2:$I$100,R124))))</f>
        <v/>
      </c>
      <c r="I124" s="1" t="str">
        <f t="shared" ca="1" si="23"/>
        <v/>
      </c>
      <c r="J124" s="12" t="str">
        <f>IF($C124="","",IF(P124="","",IF(INDEX('Input Contact Information'!$Q$2:$Q$200,P124)="","",INDEX('Input Contact Information'!$Q$2:$Q$200,P124))))</f>
        <v/>
      </c>
      <c r="K124" s="14" t="str">
        <f t="shared" ca="1" si="24"/>
        <v/>
      </c>
      <c r="L124" s="1" t="str">
        <f t="shared" si="25"/>
        <v/>
      </c>
      <c r="M124" s="1" t="str">
        <f t="shared" si="26"/>
        <v/>
      </c>
      <c r="N124" s="15">
        <f t="shared" ca="1" si="27"/>
        <v>46296</v>
      </c>
      <c r="O124" s="1" t="str">
        <f>IF($C124="","",IF(P124="","",IF(INDEX('Input Contact Information'!$R$2:$R$200,P124)="","",INDEX('Input Contact Information'!$R$2:$R$200,P124))))</f>
        <v/>
      </c>
      <c r="P124" s="1" t="str">
        <f>IF(C124="","",IFERROR(MATCH(C124&amp;"|"&amp;D124,'Input Contact Information'!$W$2:$W$200,0),""))</f>
        <v/>
      </c>
      <c r="Q124" s="1" t="str">
        <f>IF($C124="","",IF((IF(P124="","",IF(INDEX('Input Contact Information'!$N$2:$N$200,P124)="","",INDEX('Input Contact Information'!$N$2:$N$200,P124))))&lt;&gt;"",IF(P124="","",IF(INDEX('Input Contact Information'!$N$2:$N$200,P124)="","",INDEX('Input Contact Information'!$N$2:$N$200,P124))),IF(P124="","",IF(INDEX('Input Contact Information'!$M$2:$M$200,P124)="","",INDEX('Input Contact Information'!$M$2:$M$200,P124)))))</f>
        <v/>
      </c>
      <c r="R124" s="1" t="str">
        <f>IF(D124="","",IFERROR(MATCH(D124,'Accounts Overview'!$B$2:$B$100,0),""))</f>
        <v/>
      </c>
    </row>
    <row r="125" spans="1:18" ht="15" customHeight="1" x14ac:dyDescent="0.35">
      <c r="A125" s="13" t="str">
        <f t="shared" si="21"/>
        <v/>
      </c>
      <c r="B125" s="13" t="str">
        <f t="shared" si="22"/>
        <v/>
      </c>
      <c r="C125" s="1" t="str">
        <f>IFERROR(INDEX('Input Contact Information'!$C$2:$C$200,MATCH(ROW()-1,'Input Contact Information'!$V$2:$V$200,0)),"")</f>
        <v/>
      </c>
      <c r="D125" s="1" t="str">
        <f>IFERROR(INDEX('Input Contact Information'!$B$2:$B$200,MATCH(ROW()-1,'Input Contact Information'!$V$2:$V$200,0)),"")</f>
        <v/>
      </c>
      <c r="E125" s="1" t="str">
        <f>IF($C125="","",IF(R125="","",IF(INDEX('Accounts Overview'!$A$2:$A$100,R125)="","",INDEX('Accounts Overview'!$A$2:$A$100,R125))))</f>
        <v/>
      </c>
      <c r="F125" s="1" t="str">
        <f>IF($C125="","",IF(P125="","",IF(INDEX('Input Contact Information'!$D$2:$D$200,P125)="","",INDEX('Input Contact Information'!$D$2:$D$200,P125))))</f>
        <v/>
      </c>
      <c r="G125" s="1" t="str">
        <f>IF($C125="","",IF(P125="","",IF(INDEX('Input Contact Information'!$A$2:$A$200,P125)="","",INDEX('Input Contact Information'!$A$2:$A$200,P125))))</f>
        <v/>
      </c>
      <c r="H125" s="1" t="str">
        <f>IF($C125="","",IF(R125="","",IF(INDEX('Accounts Overview'!$I$2:$I$100,R125)="","",INDEX('Accounts Overview'!$I$2:$I$100,R125))))</f>
        <v/>
      </c>
      <c r="I125" s="1" t="str">
        <f t="shared" ca="1" si="23"/>
        <v/>
      </c>
      <c r="J125" s="12" t="str">
        <f>IF($C125="","",IF(P125="","",IF(INDEX('Input Contact Information'!$Q$2:$Q$200,P125)="","",INDEX('Input Contact Information'!$Q$2:$Q$200,P125))))</f>
        <v/>
      </c>
      <c r="K125" s="14" t="str">
        <f t="shared" ca="1" si="24"/>
        <v/>
      </c>
      <c r="L125" s="1" t="str">
        <f t="shared" si="25"/>
        <v/>
      </c>
      <c r="M125" s="1" t="str">
        <f t="shared" si="26"/>
        <v/>
      </c>
      <c r="N125" s="15">
        <f t="shared" ca="1" si="27"/>
        <v>46296</v>
      </c>
      <c r="O125" s="1" t="str">
        <f>IF($C125="","",IF(P125="","",IF(INDEX('Input Contact Information'!$R$2:$R$200,P125)="","",INDEX('Input Contact Information'!$R$2:$R$200,P125))))</f>
        <v/>
      </c>
      <c r="P125" s="1" t="str">
        <f>IF(C125="","",IFERROR(MATCH(C125&amp;"|"&amp;D125,'Input Contact Information'!$W$2:$W$200,0),""))</f>
        <v/>
      </c>
      <c r="Q125" s="1" t="str">
        <f>IF($C125="","",IF((IF(P125="","",IF(INDEX('Input Contact Information'!$N$2:$N$200,P125)="","",INDEX('Input Contact Information'!$N$2:$N$200,P125))))&lt;&gt;"",IF(P125="","",IF(INDEX('Input Contact Information'!$N$2:$N$200,P125)="","",INDEX('Input Contact Information'!$N$2:$N$200,P125))),IF(P125="","",IF(INDEX('Input Contact Information'!$M$2:$M$200,P125)="","",INDEX('Input Contact Information'!$M$2:$M$200,P125)))))</f>
        <v/>
      </c>
      <c r="R125" s="1" t="str">
        <f>IF(D125="","",IFERROR(MATCH(D125,'Accounts Overview'!$B$2:$B$100,0),""))</f>
        <v/>
      </c>
    </row>
    <row r="126" spans="1:18" ht="15" customHeight="1" x14ac:dyDescent="0.35">
      <c r="A126" s="13" t="str">
        <f t="shared" si="21"/>
        <v/>
      </c>
      <c r="B126" s="13" t="str">
        <f t="shared" si="22"/>
        <v/>
      </c>
      <c r="C126" s="1" t="str">
        <f>IFERROR(INDEX('Input Contact Information'!$C$2:$C$200,MATCH(ROW()-1,'Input Contact Information'!$V$2:$V$200,0)),"")</f>
        <v/>
      </c>
      <c r="D126" s="1" t="str">
        <f>IFERROR(INDEX('Input Contact Information'!$B$2:$B$200,MATCH(ROW()-1,'Input Contact Information'!$V$2:$V$200,0)),"")</f>
        <v/>
      </c>
      <c r="E126" s="1" t="str">
        <f>IF($C126="","",IF(R126="","",IF(INDEX('Accounts Overview'!$A$2:$A$100,R126)="","",INDEX('Accounts Overview'!$A$2:$A$100,R126))))</f>
        <v/>
      </c>
      <c r="F126" s="1" t="str">
        <f>IF($C126="","",IF(P126="","",IF(INDEX('Input Contact Information'!$D$2:$D$200,P126)="","",INDEX('Input Contact Information'!$D$2:$D$200,P126))))</f>
        <v/>
      </c>
      <c r="G126" s="1" t="str">
        <f>IF($C126="","",IF(P126="","",IF(INDEX('Input Contact Information'!$A$2:$A$200,P126)="","",INDEX('Input Contact Information'!$A$2:$A$200,P126))))</f>
        <v/>
      </c>
      <c r="H126" s="1" t="str">
        <f>IF($C126="","",IF(R126="","",IF(INDEX('Accounts Overview'!$I$2:$I$100,R126)="","",INDEX('Accounts Overview'!$I$2:$I$100,R126))))</f>
        <v/>
      </c>
      <c r="I126" s="1" t="str">
        <f t="shared" ca="1" si="23"/>
        <v/>
      </c>
      <c r="J126" s="12" t="str">
        <f>IF($C126="","",IF(P126="","",IF(INDEX('Input Contact Information'!$Q$2:$Q$200,P126)="","",INDEX('Input Contact Information'!$Q$2:$Q$200,P126))))</f>
        <v/>
      </c>
      <c r="K126" s="14" t="str">
        <f t="shared" ca="1" si="24"/>
        <v/>
      </c>
      <c r="L126" s="1" t="str">
        <f t="shared" si="25"/>
        <v/>
      </c>
      <c r="M126" s="1" t="str">
        <f t="shared" si="26"/>
        <v/>
      </c>
      <c r="N126" s="15">
        <f t="shared" ca="1" si="27"/>
        <v>46296</v>
      </c>
      <c r="O126" s="1" t="str">
        <f>IF($C126="","",IF(P126="","",IF(INDEX('Input Contact Information'!$R$2:$R$200,P126)="","",INDEX('Input Contact Information'!$R$2:$R$200,P126))))</f>
        <v/>
      </c>
      <c r="P126" s="1" t="str">
        <f>IF(C126="","",IFERROR(MATCH(C126&amp;"|"&amp;D126,'Input Contact Information'!$W$2:$W$200,0),""))</f>
        <v/>
      </c>
      <c r="Q126" s="1" t="str">
        <f>IF($C126="","",IF((IF(P126="","",IF(INDEX('Input Contact Information'!$N$2:$N$200,P126)="","",INDEX('Input Contact Information'!$N$2:$N$200,P126))))&lt;&gt;"",IF(P126="","",IF(INDEX('Input Contact Information'!$N$2:$N$200,P126)="","",INDEX('Input Contact Information'!$N$2:$N$200,P126))),IF(P126="","",IF(INDEX('Input Contact Information'!$M$2:$M$200,P126)="","",INDEX('Input Contact Information'!$M$2:$M$200,P126)))))</f>
        <v/>
      </c>
      <c r="R126" s="1" t="str">
        <f>IF(D126="","",IFERROR(MATCH(D126,'Accounts Overview'!$B$2:$B$100,0),""))</f>
        <v/>
      </c>
    </row>
    <row r="127" spans="1:18" ht="15" customHeight="1" x14ac:dyDescent="0.35">
      <c r="A127" s="13" t="str">
        <f t="shared" si="21"/>
        <v/>
      </c>
      <c r="B127" s="13" t="str">
        <f t="shared" si="22"/>
        <v/>
      </c>
      <c r="C127" s="1" t="str">
        <f>IFERROR(INDEX('Input Contact Information'!$C$2:$C$200,MATCH(ROW()-1,'Input Contact Information'!$V$2:$V$200,0)),"")</f>
        <v/>
      </c>
      <c r="D127" s="1" t="str">
        <f>IFERROR(INDEX('Input Contact Information'!$B$2:$B$200,MATCH(ROW()-1,'Input Contact Information'!$V$2:$V$200,0)),"")</f>
        <v/>
      </c>
      <c r="E127" s="1" t="str">
        <f>IF($C127="","",IF(R127="","",IF(INDEX('Accounts Overview'!$A$2:$A$100,R127)="","",INDEX('Accounts Overview'!$A$2:$A$100,R127))))</f>
        <v/>
      </c>
      <c r="F127" s="1" t="str">
        <f>IF($C127="","",IF(P127="","",IF(INDEX('Input Contact Information'!$D$2:$D$200,P127)="","",INDEX('Input Contact Information'!$D$2:$D$200,P127))))</f>
        <v/>
      </c>
      <c r="G127" s="1" t="str">
        <f>IF($C127="","",IF(P127="","",IF(INDEX('Input Contact Information'!$A$2:$A$200,P127)="","",INDEX('Input Contact Information'!$A$2:$A$200,P127))))</f>
        <v/>
      </c>
      <c r="H127" s="1" t="str">
        <f>IF($C127="","",IF(R127="","",IF(INDEX('Accounts Overview'!$I$2:$I$100,R127)="","",INDEX('Accounts Overview'!$I$2:$I$100,R127))))</f>
        <v/>
      </c>
      <c r="I127" s="1" t="str">
        <f t="shared" ca="1" si="23"/>
        <v/>
      </c>
      <c r="J127" s="12" t="str">
        <f>IF($C127="","",IF(P127="","",IF(INDEX('Input Contact Information'!$Q$2:$Q$200,P127)="","",INDEX('Input Contact Information'!$Q$2:$Q$200,P127))))</f>
        <v/>
      </c>
      <c r="K127" s="14" t="str">
        <f t="shared" ca="1" si="24"/>
        <v/>
      </c>
      <c r="L127" s="1" t="str">
        <f t="shared" si="25"/>
        <v/>
      </c>
      <c r="M127" s="1" t="str">
        <f t="shared" si="26"/>
        <v/>
      </c>
      <c r="N127" s="15">
        <f t="shared" ca="1" si="27"/>
        <v>46296</v>
      </c>
      <c r="O127" s="1" t="str">
        <f>IF($C127="","",IF(P127="","",IF(INDEX('Input Contact Information'!$R$2:$R$200,P127)="","",INDEX('Input Contact Information'!$R$2:$R$200,P127))))</f>
        <v/>
      </c>
      <c r="P127" s="1" t="str">
        <f>IF(C127="","",IFERROR(MATCH(C127&amp;"|"&amp;D127,'Input Contact Information'!$W$2:$W$200,0),""))</f>
        <v/>
      </c>
      <c r="Q127" s="1" t="str">
        <f>IF($C127="","",IF((IF(P127="","",IF(INDEX('Input Contact Information'!$N$2:$N$200,P127)="","",INDEX('Input Contact Information'!$N$2:$N$200,P127))))&lt;&gt;"",IF(P127="","",IF(INDEX('Input Contact Information'!$N$2:$N$200,P127)="","",INDEX('Input Contact Information'!$N$2:$N$200,P127))),IF(P127="","",IF(INDEX('Input Contact Information'!$M$2:$M$200,P127)="","",INDEX('Input Contact Information'!$M$2:$M$200,P127)))))</f>
        <v/>
      </c>
      <c r="R127" s="1" t="str">
        <f>IF(D127="","",IFERROR(MATCH(D127,'Accounts Overview'!$B$2:$B$100,0),""))</f>
        <v/>
      </c>
    </row>
    <row r="128" spans="1:18" ht="15" customHeight="1" x14ac:dyDescent="0.35">
      <c r="A128" s="13" t="str">
        <f t="shared" si="21"/>
        <v/>
      </c>
      <c r="B128" s="13" t="str">
        <f t="shared" si="22"/>
        <v/>
      </c>
      <c r="C128" s="1" t="str">
        <f>IFERROR(INDEX('Input Contact Information'!$C$2:$C$200,MATCH(ROW()-1,'Input Contact Information'!$V$2:$V$200,0)),"")</f>
        <v/>
      </c>
      <c r="D128" s="1" t="str">
        <f>IFERROR(INDEX('Input Contact Information'!$B$2:$B$200,MATCH(ROW()-1,'Input Contact Information'!$V$2:$V$200,0)),"")</f>
        <v/>
      </c>
      <c r="E128" s="1" t="str">
        <f>IF($C128="","",IF(R128="","",IF(INDEX('Accounts Overview'!$A$2:$A$100,R128)="","",INDEX('Accounts Overview'!$A$2:$A$100,R128))))</f>
        <v/>
      </c>
      <c r="F128" s="1" t="str">
        <f>IF($C128="","",IF(P128="","",IF(INDEX('Input Contact Information'!$D$2:$D$200,P128)="","",INDEX('Input Contact Information'!$D$2:$D$200,P128))))</f>
        <v/>
      </c>
      <c r="G128" s="1" t="str">
        <f>IF($C128="","",IF(P128="","",IF(INDEX('Input Contact Information'!$A$2:$A$200,P128)="","",INDEX('Input Contact Information'!$A$2:$A$200,P128))))</f>
        <v/>
      </c>
      <c r="H128" s="1" t="str">
        <f>IF($C128="","",IF(R128="","",IF(INDEX('Accounts Overview'!$I$2:$I$100,R128)="","",INDEX('Accounts Overview'!$I$2:$I$100,R128))))</f>
        <v/>
      </c>
      <c r="I128" s="1" t="str">
        <f t="shared" ca="1" si="23"/>
        <v/>
      </c>
      <c r="J128" s="12" t="str">
        <f>IF($C128="","",IF(P128="","",IF(INDEX('Input Contact Information'!$Q$2:$Q$200,P128)="","",INDEX('Input Contact Information'!$Q$2:$Q$200,P128))))</f>
        <v/>
      </c>
      <c r="K128" s="14" t="str">
        <f t="shared" ca="1" si="24"/>
        <v/>
      </c>
      <c r="L128" s="1" t="str">
        <f t="shared" si="25"/>
        <v/>
      </c>
      <c r="M128" s="1" t="str">
        <f t="shared" si="26"/>
        <v/>
      </c>
      <c r="N128" s="15">
        <f t="shared" ca="1" si="27"/>
        <v>46296</v>
      </c>
      <c r="O128" s="1" t="str">
        <f>IF($C128="","",IF(P128="","",IF(INDEX('Input Contact Information'!$R$2:$R$200,P128)="","",INDEX('Input Contact Information'!$R$2:$R$200,P128))))</f>
        <v/>
      </c>
      <c r="P128" s="1" t="str">
        <f>IF(C128="","",IFERROR(MATCH(C128&amp;"|"&amp;D128,'Input Contact Information'!$W$2:$W$200,0),""))</f>
        <v/>
      </c>
      <c r="Q128" s="1" t="str">
        <f>IF($C128="","",IF((IF(P128="","",IF(INDEX('Input Contact Information'!$N$2:$N$200,P128)="","",INDEX('Input Contact Information'!$N$2:$N$200,P128))))&lt;&gt;"",IF(P128="","",IF(INDEX('Input Contact Information'!$N$2:$N$200,P128)="","",INDEX('Input Contact Information'!$N$2:$N$200,P128))),IF(P128="","",IF(INDEX('Input Contact Information'!$M$2:$M$200,P128)="","",INDEX('Input Contact Information'!$M$2:$M$200,P128)))))</f>
        <v/>
      </c>
      <c r="R128" s="1" t="str">
        <f>IF(D128="","",IFERROR(MATCH(D128,'Accounts Overview'!$B$2:$B$100,0),""))</f>
        <v/>
      </c>
    </row>
    <row r="129" spans="1:18" ht="15" customHeight="1" x14ac:dyDescent="0.35">
      <c r="A129" s="13" t="str">
        <f t="shared" si="21"/>
        <v/>
      </c>
      <c r="B129" s="13" t="str">
        <f t="shared" si="22"/>
        <v/>
      </c>
      <c r="C129" s="1" t="str">
        <f>IFERROR(INDEX('Input Contact Information'!$C$2:$C$200,MATCH(ROW()-1,'Input Contact Information'!$V$2:$V$200,0)),"")</f>
        <v/>
      </c>
      <c r="D129" s="1" t="str">
        <f>IFERROR(INDEX('Input Contact Information'!$B$2:$B$200,MATCH(ROW()-1,'Input Contact Information'!$V$2:$V$200,0)),"")</f>
        <v/>
      </c>
      <c r="E129" s="1" t="str">
        <f>IF($C129="","",IF(R129="","",IF(INDEX('Accounts Overview'!$A$2:$A$100,R129)="","",INDEX('Accounts Overview'!$A$2:$A$100,R129))))</f>
        <v/>
      </c>
      <c r="F129" s="1" t="str">
        <f>IF($C129="","",IF(P129="","",IF(INDEX('Input Contact Information'!$D$2:$D$200,P129)="","",INDEX('Input Contact Information'!$D$2:$D$200,P129))))</f>
        <v/>
      </c>
      <c r="G129" s="1" t="str">
        <f>IF($C129="","",IF(P129="","",IF(INDEX('Input Contact Information'!$A$2:$A$200,P129)="","",INDEX('Input Contact Information'!$A$2:$A$200,P129))))</f>
        <v/>
      </c>
      <c r="H129" s="1" t="str">
        <f>IF($C129="","",IF(R129="","",IF(INDEX('Accounts Overview'!$I$2:$I$100,R129)="","",INDEX('Accounts Overview'!$I$2:$I$100,R129))))</f>
        <v/>
      </c>
      <c r="I129" s="1" t="str">
        <f t="shared" ca="1" si="23"/>
        <v/>
      </c>
      <c r="J129" s="12" t="str">
        <f>IF($C129="","",IF(P129="","",IF(INDEX('Input Contact Information'!$Q$2:$Q$200,P129)="","",INDEX('Input Contact Information'!$Q$2:$Q$200,P129))))</f>
        <v/>
      </c>
      <c r="K129" s="14" t="str">
        <f t="shared" ca="1" si="24"/>
        <v/>
      </c>
      <c r="L129" s="1" t="str">
        <f t="shared" si="25"/>
        <v/>
      </c>
      <c r="M129" s="1" t="str">
        <f t="shared" si="26"/>
        <v/>
      </c>
      <c r="N129" s="15">
        <f t="shared" ca="1" si="27"/>
        <v>46296</v>
      </c>
      <c r="O129" s="1" t="str">
        <f>IF($C129="","",IF(P129="","",IF(INDEX('Input Contact Information'!$R$2:$R$200,P129)="","",INDEX('Input Contact Information'!$R$2:$R$200,P129))))</f>
        <v/>
      </c>
      <c r="P129" s="1" t="str">
        <f>IF(C129="","",IFERROR(MATCH(C129&amp;"|"&amp;D129,'Input Contact Information'!$W$2:$W$200,0),""))</f>
        <v/>
      </c>
      <c r="Q129" s="1" t="str">
        <f>IF($C129="","",IF((IF(P129="","",IF(INDEX('Input Contact Information'!$N$2:$N$200,P129)="","",INDEX('Input Contact Information'!$N$2:$N$200,P129))))&lt;&gt;"",IF(P129="","",IF(INDEX('Input Contact Information'!$N$2:$N$200,P129)="","",INDEX('Input Contact Information'!$N$2:$N$200,P129))),IF(P129="","",IF(INDEX('Input Contact Information'!$M$2:$M$200,P129)="","",INDEX('Input Contact Information'!$M$2:$M$200,P129)))))</f>
        <v/>
      </c>
      <c r="R129" s="1" t="str">
        <f>IF(D129="","",IFERROR(MATCH(D129,'Accounts Overview'!$B$2:$B$100,0),""))</f>
        <v/>
      </c>
    </row>
    <row r="130" spans="1:18" ht="15" customHeight="1" x14ac:dyDescent="0.35">
      <c r="A130" s="13" t="str">
        <f t="shared" ref="A130:A161" si="28">IF(C130="","","ENG"&amp;TEXT(ROW()-1,"0000"))</f>
        <v/>
      </c>
      <c r="B130" s="13" t="str">
        <f t="shared" ref="B130:B161" si="29">IF(C130="","","CON"&amp;TEXT(ROW()-1,"0000"))</f>
        <v/>
      </c>
      <c r="C130" s="1" t="str">
        <f>IFERROR(INDEX('Input Contact Information'!$C$2:$C$200,MATCH(ROW()-1,'Input Contact Information'!$V$2:$V$200,0)),"")</f>
        <v/>
      </c>
      <c r="D130" s="1" t="str">
        <f>IFERROR(INDEX('Input Contact Information'!$B$2:$B$200,MATCH(ROW()-1,'Input Contact Information'!$V$2:$V$200,0)),"")</f>
        <v/>
      </c>
      <c r="E130" s="1" t="str">
        <f>IF($C130="","",IF(R130="","",IF(INDEX('Accounts Overview'!$A$2:$A$100,R130)="","",INDEX('Accounts Overview'!$A$2:$A$100,R130))))</f>
        <v/>
      </c>
      <c r="F130" s="1" t="str">
        <f>IF($C130="","",IF(P130="","",IF(INDEX('Input Contact Information'!$D$2:$D$200,P130)="","",INDEX('Input Contact Information'!$D$2:$D$200,P130))))</f>
        <v/>
      </c>
      <c r="G130" s="1" t="str">
        <f>IF($C130="","",IF(P130="","",IF(INDEX('Input Contact Information'!$A$2:$A$200,P130)="","",INDEX('Input Contact Information'!$A$2:$A$200,P130))))</f>
        <v/>
      </c>
      <c r="H130" s="1" t="str">
        <f>IF($C130="","",IF(R130="","",IF(INDEX('Accounts Overview'!$I$2:$I$100,R130)="","",INDEX('Accounts Overview'!$I$2:$I$100,R130))))</f>
        <v/>
      </c>
      <c r="I130" s="1" t="str">
        <f t="shared" ref="I130:I161" ca="1" si="30">IF($C130="","",IF(J130="","No Task",IF((TODAY()-J130)&gt;=M130,"Overdue",IF((TODAY()-J130)&gt;=L130,"For Review","On Track"))))</f>
        <v/>
      </c>
      <c r="J130" s="12" t="str">
        <f>IF($C130="","",IF(P130="","",IF(INDEX('Input Contact Information'!$Q$2:$Q$200,P130)="","",INDEX('Input Contact Information'!$Q$2:$Q$200,P130))))</f>
        <v/>
      </c>
      <c r="K130" s="14" t="str">
        <f t="shared" ref="K130:K161" ca="1" si="31">IF($C130="","",IF(J130="","",TODAY()-J130))</f>
        <v/>
      </c>
      <c r="L130" s="1" t="str">
        <f t="shared" ref="L130:L161" si="32">IF($C130="","",IF(Q130="","",IF(Q130="Tier 1",31,IF(Q130="Tier 2",91,181))))</f>
        <v/>
      </c>
      <c r="M130" s="1" t="str">
        <f t="shared" ref="M130:M161" si="33">IF($C130="","",IF(Q130="","",IF(Q130="Tier 1",61,IF(Q130="Tier 2",181,366))))</f>
        <v/>
      </c>
      <c r="N130" s="15">
        <f t="shared" ref="N130:N161" ca="1" si="34">TODAY()</f>
        <v>46296</v>
      </c>
      <c r="O130" s="1" t="str">
        <f>IF($C130="","",IF(P130="","",IF(INDEX('Input Contact Information'!$R$2:$R$200,P130)="","",INDEX('Input Contact Information'!$R$2:$R$200,P130))))</f>
        <v/>
      </c>
      <c r="P130" s="1" t="str">
        <f>IF(C130="","",IFERROR(MATCH(C130&amp;"|"&amp;D130,'Input Contact Information'!$W$2:$W$200,0),""))</f>
        <v/>
      </c>
      <c r="Q130" s="1" t="str">
        <f>IF($C130="","",IF((IF(P130="","",IF(INDEX('Input Contact Information'!$N$2:$N$200,P130)="","",INDEX('Input Contact Information'!$N$2:$N$200,P130))))&lt;&gt;"",IF(P130="","",IF(INDEX('Input Contact Information'!$N$2:$N$200,P130)="","",INDEX('Input Contact Information'!$N$2:$N$200,P130))),IF(P130="","",IF(INDEX('Input Contact Information'!$M$2:$M$200,P130)="","",INDEX('Input Contact Information'!$M$2:$M$200,P130)))))</f>
        <v/>
      </c>
      <c r="R130" s="1" t="str">
        <f>IF(D130="","",IFERROR(MATCH(D130,'Accounts Overview'!$B$2:$B$100,0),""))</f>
        <v/>
      </c>
    </row>
    <row r="131" spans="1:18" ht="15" customHeight="1" x14ac:dyDescent="0.35">
      <c r="A131" s="13" t="str">
        <f t="shared" si="28"/>
        <v/>
      </c>
      <c r="B131" s="13" t="str">
        <f t="shared" si="29"/>
        <v/>
      </c>
      <c r="C131" s="1" t="str">
        <f>IFERROR(INDEX('Input Contact Information'!$C$2:$C$200,MATCH(ROW()-1,'Input Contact Information'!$V$2:$V$200,0)),"")</f>
        <v/>
      </c>
      <c r="D131" s="1" t="str">
        <f>IFERROR(INDEX('Input Contact Information'!$B$2:$B$200,MATCH(ROW()-1,'Input Contact Information'!$V$2:$V$200,0)),"")</f>
        <v/>
      </c>
      <c r="E131" s="1" t="str">
        <f>IF($C131="","",IF(R131="","",IF(INDEX('Accounts Overview'!$A$2:$A$100,R131)="","",INDEX('Accounts Overview'!$A$2:$A$100,R131))))</f>
        <v/>
      </c>
      <c r="F131" s="1" t="str">
        <f>IF($C131="","",IF(P131="","",IF(INDEX('Input Contact Information'!$D$2:$D$200,P131)="","",INDEX('Input Contact Information'!$D$2:$D$200,P131))))</f>
        <v/>
      </c>
      <c r="G131" s="1" t="str">
        <f>IF($C131="","",IF(P131="","",IF(INDEX('Input Contact Information'!$A$2:$A$200,P131)="","",INDEX('Input Contact Information'!$A$2:$A$200,P131))))</f>
        <v/>
      </c>
      <c r="H131" s="1" t="str">
        <f>IF($C131="","",IF(R131="","",IF(INDEX('Accounts Overview'!$I$2:$I$100,R131)="","",INDEX('Accounts Overview'!$I$2:$I$100,R131))))</f>
        <v/>
      </c>
      <c r="I131" s="1" t="str">
        <f t="shared" ca="1" si="30"/>
        <v/>
      </c>
      <c r="J131" s="12" t="str">
        <f>IF($C131="","",IF(P131="","",IF(INDEX('Input Contact Information'!$Q$2:$Q$200,P131)="","",INDEX('Input Contact Information'!$Q$2:$Q$200,P131))))</f>
        <v/>
      </c>
      <c r="K131" s="14" t="str">
        <f t="shared" ca="1" si="31"/>
        <v/>
      </c>
      <c r="L131" s="1" t="str">
        <f t="shared" si="32"/>
        <v/>
      </c>
      <c r="M131" s="1" t="str">
        <f t="shared" si="33"/>
        <v/>
      </c>
      <c r="N131" s="15">
        <f t="shared" ca="1" si="34"/>
        <v>46296</v>
      </c>
      <c r="O131" s="1" t="str">
        <f>IF($C131="","",IF(P131="","",IF(INDEX('Input Contact Information'!$R$2:$R$200,P131)="","",INDEX('Input Contact Information'!$R$2:$R$200,P131))))</f>
        <v/>
      </c>
      <c r="P131" s="1" t="str">
        <f>IF(C131="","",IFERROR(MATCH(C131&amp;"|"&amp;D131,'Input Contact Information'!$W$2:$W$200,0),""))</f>
        <v/>
      </c>
      <c r="Q131" s="1" t="str">
        <f>IF($C131="","",IF((IF(P131="","",IF(INDEX('Input Contact Information'!$N$2:$N$200,P131)="","",INDEX('Input Contact Information'!$N$2:$N$200,P131))))&lt;&gt;"",IF(P131="","",IF(INDEX('Input Contact Information'!$N$2:$N$200,P131)="","",INDEX('Input Contact Information'!$N$2:$N$200,P131))),IF(P131="","",IF(INDEX('Input Contact Information'!$M$2:$M$200,P131)="","",INDEX('Input Contact Information'!$M$2:$M$200,P131)))))</f>
        <v/>
      </c>
      <c r="R131" s="1" t="str">
        <f>IF(D131="","",IFERROR(MATCH(D131,'Accounts Overview'!$B$2:$B$100,0),""))</f>
        <v/>
      </c>
    </row>
    <row r="132" spans="1:18" ht="15" customHeight="1" x14ac:dyDescent="0.35">
      <c r="A132" s="13" t="str">
        <f t="shared" si="28"/>
        <v/>
      </c>
      <c r="B132" s="13" t="str">
        <f t="shared" si="29"/>
        <v/>
      </c>
      <c r="C132" s="1" t="str">
        <f>IFERROR(INDEX('Input Contact Information'!$C$2:$C$200,MATCH(ROW()-1,'Input Contact Information'!$V$2:$V$200,0)),"")</f>
        <v/>
      </c>
      <c r="D132" s="1" t="str">
        <f>IFERROR(INDEX('Input Contact Information'!$B$2:$B$200,MATCH(ROW()-1,'Input Contact Information'!$V$2:$V$200,0)),"")</f>
        <v/>
      </c>
      <c r="E132" s="1" t="str">
        <f>IF($C132="","",IF(R132="","",IF(INDEX('Accounts Overview'!$A$2:$A$100,R132)="","",INDEX('Accounts Overview'!$A$2:$A$100,R132))))</f>
        <v/>
      </c>
      <c r="F132" s="1" t="str">
        <f>IF($C132="","",IF(P132="","",IF(INDEX('Input Contact Information'!$D$2:$D$200,P132)="","",INDEX('Input Contact Information'!$D$2:$D$200,P132))))</f>
        <v/>
      </c>
      <c r="G132" s="1" t="str">
        <f>IF($C132="","",IF(P132="","",IF(INDEX('Input Contact Information'!$A$2:$A$200,P132)="","",INDEX('Input Contact Information'!$A$2:$A$200,P132))))</f>
        <v/>
      </c>
      <c r="H132" s="1" t="str">
        <f>IF($C132="","",IF(R132="","",IF(INDEX('Accounts Overview'!$I$2:$I$100,R132)="","",INDEX('Accounts Overview'!$I$2:$I$100,R132))))</f>
        <v/>
      </c>
      <c r="I132" s="1" t="str">
        <f t="shared" ca="1" si="30"/>
        <v/>
      </c>
      <c r="J132" s="12" t="str">
        <f>IF($C132="","",IF(P132="","",IF(INDEX('Input Contact Information'!$Q$2:$Q$200,P132)="","",INDEX('Input Contact Information'!$Q$2:$Q$200,P132))))</f>
        <v/>
      </c>
      <c r="K132" s="14" t="str">
        <f t="shared" ca="1" si="31"/>
        <v/>
      </c>
      <c r="L132" s="1" t="str">
        <f t="shared" si="32"/>
        <v/>
      </c>
      <c r="M132" s="1" t="str">
        <f t="shared" si="33"/>
        <v/>
      </c>
      <c r="N132" s="15">
        <f t="shared" ca="1" si="34"/>
        <v>46296</v>
      </c>
      <c r="O132" s="1" t="str">
        <f>IF($C132="","",IF(P132="","",IF(INDEX('Input Contact Information'!$R$2:$R$200,P132)="","",INDEX('Input Contact Information'!$R$2:$R$200,P132))))</f>
        <v/>
      </c>
      <c r="P132" s="1" t="str">
        <f>IF(C132="","",IFERROR(MATCH(C132&amp;"|"&amp;D132,'Input Contact Information'!$W$2:$W$200,0),""))</f>
        <v/>
      </c>
      <c r="Q132" s="1" t="str">
        <f>IF($C132="","",IF((IF(P132="","",IF(INDEX('Input Contact Information'!$N$2:$N$200,P132)="","",INDEX('Input Contact Information'!$N$2:$N$200,P132))))&lt;&gt;"",IF(P132="","",IF(INDEX('Input Contact Information'!$N$2:$N$200,P132)="","",INDEX('Input Contact Information'!$N$2:$N$200,P132))),IF(P132="","",IF(INDEX('Input Contact Information'!$M$2:$M$200,P132)="","",INDEX('Input Contact Information'!$M$2:$M$200,P132)))))</f>
        <v/>
      </c>
      <c r="R132" s="1" t="str">
        <f>IF(D132="","",IFERROR(MATCH(D132,'Accounts Overview'!$B$2:$B$100,0),""))</f>
        <v/>
      </c>
    </row>
    <row r="133" spans="1:18" ht="15" customHeight="1" x14ac:dyDescent="0.35">
      <c r="A133" s="13" t="str">
        <f t="shared" si="28"/>
        <v/>
      </c>
      <c r="B133" s="13" t="str">
        <f t="shared" si="29"/>
        <v/>
      </c>
      <c r="C133" s="1" t="str">
        <f>IFERROR(INDEX('Input Contact Information'!$C$2:$C$200,MATCH(ROW()-1,'Input Contact Information'!$V$2:$V$200,0)),"")</f>
        <v/>
      </c>
      <c r="D133" s="1" t="str">
        <f>IFERROR(INDEX('Input Contact Information'!$B$2:$B$200,MATCH(ROW()-1,'Input Contact Information'!$V$2:$V$200,0)),"")</f>
        <v/>
      </c>
      <c r="E133" s="1" t="str">
        <f>IF($C133="","",IF(R133="","",IF(INDEX('Accounts Overview'!$A$2:$A$100,R133)="","",INDEX('Accounts Overview'!$A$2:$A$100,R133))))</f>
        <v/>
      </c>
      <c r="F133" s="1" t="str">
        <f>IF($C133="","",IF(P133="","",IF(INDEX('Input Contact Information'!$D$2:$D$200,P133)="","",INDEX('Input Contact Information'!$D$2:$D$200,P133))))</f>
        <v/>
      </c>
      <c r="G133" s="1" t="str">
        <f>IF($C133="","",IF(P133="","",IF(INDEX('Input Contact Information'!$A$2:$A$200,P133)="","",INDEX('Input Contact Information'!$A$2:$A$200,P133))))</f>
        <v/>
      </c>
      <c r="H133" s="1" t="str">
        <f>IF($C133="","",IF(R133="","",IF(INDEX('Accounts Overview'!$I$2:$I$100,R133)="","",INDEX('Accounts Overview'!$I$2:$I$100,R133))))</f>
        <v/>
      </c>
      <c r="I133" s="1" t="str">
        <f t="shared" ca="1" si="30"/>
        <v/>
      </c>
      <c r="J133" s="12" t="str">
        <f>IF($C133="","",IF(P133="","",IF(INDEX('Input Contact Information'!$Q$2:$Q$200,P133)="","",INDEX('Input Contact Information'!$Q$2:$Q$200,P133))))</f>
        <v/>
      </c>
      <c r="K133" s="14" t="str">
        <f t="shared" ca="1" si="31"/>
        <v/>
      </c>
      <c r="L133" s="1" t="str">
        <f t="shared" si="32"/>
        <v/>
      </c>
      <c r="M133" s="1" t="str">
        <f t="shared" si="33"/>
        <v/>
      </c>
      <c r="N133" s="15">
        <f t="shared" ca="1" si="34"/>
        <v>46296</v>
      </c>
      <c r="O133" s="1" t="str">
        <f>IF($C133="","",IF(P133="","",IF(INDEX('Input Contact Information'!$R$2:$R$200,P133)="","",INDEX('Input Contact Information'!$R$2:$R$200,P133))))</f>
        <v/>
      </c>
      <c r="P133" s="1" t="str">
        <f>IF(C133="","",IFERROR(MATCH(C133&amp;"|"&amp;D133,'Input Contact Information'!$W$2:$W$200,0),""))</f>
        <v/>
      </c>
      <c r="Q133" s="1" t="str">
        <f>IF($C133="","",IF((IF(P133="","",IF(INDEX('Input Contact Information'!$N$2:$N$200,P133)="","",INDEX('Input Contact Information'!$N$2:$N$200,P133))))&lt;&gt;"",IF(P133="","",IF(INDEX('Input Contact Information'!$N$2:$N$200,P133)="","",INDEX('Input Contact Information'!$N$2:$N$200,P133))),IF(P133="","",IF(INDEX('Input Contact Information'!$M$2:$M$200,P133)="","",INDEX('Input Contact Information'!$M$2:$M$200,P133)))))</f>
        <v/>
      </c>
      <c r="R133" s="1" t="str">
        <f>IF(D133="","",IFERROR(MATCH(D133,'Accounts Overview'!$B$2:$B$100,0),""))</f>
        <v/>
      </c>
    </row>
    <row r="134" spans="1:18" ht="15" customHeight="1" x14ac:dyDescent="0.35">
      <c r="A134" s="13" t="str">
        <f t="shared" si="28"/>
        <v/>
      </c>
      <c r="B134" s="13" t="str">
        <f t="shared" si="29"/>
        <v/>
      </c>
      <c r="C134" s="1" t="str">
        <f>IFERROR(INDEX('Input Contact Information'!$C$2:$C$200,MATCH(ROW()-1,'Input Contact Information'!$V$2:$V$200,0)),"")</f>
        <v/>
      </c>
      <c r="D134" s="1" t="str">
        <f>IFERROR(INDEX('Input Contact Information'!$B$2:$B$200,MATCH(ROW()-1,'Input Contact Information'!$V$2:$V$200,0)),"")</f>
        <v/>
      </c>
      <c r="E134" s="1" t="str">
        <f>IF($C134="","",IF(R134="","",IF(INDEX('Accounts Overview'!$A$2:$A$100,R134)="","",INDEX('Accounts Overview'!$A$2:$A$100,R134))))</f>
        <v/>
      </c>
      <c r="F134" s="1" t="str">
        <f>IF($C134="","",IF(P134="","",IF(INDEX('Input Contact Information'!$D$2:$D$200,P134)="","",INDEX('Input Contact Information'!$D$2:$D$200,P134))))</f>
        <v/>
      </c>
      <c r="G134" s="1" t="str">
        <f>IF($C134="","",IF(P134="","",IF(INDEX('Input Contact Information'!$A$2:$A$200,P134)="","",INDEX('Input Contact Information'!$A$2:$A$200,P134))))</f>
        <v/>
      </c>
      <c r="H134" s="1" t="str">
        <f>IF($C134="","",IF(R134="","",IF(INDEX('Accounts Overview'!$I$2:$I$100,R134)="","",INDEX('Accounts Overview'!$I$2:$I$100,R134))))</f>
        <v/>
      </c>
      <c r="I134" s="1" t="str">
        <f t="shared" ca="1" si="30"/>
        <v/>
      </c>
      <c r="J134" s="12" t="str">
        <f>IF($C134="","",IF(P134="","",IF(INDEX('Input Contact Information'!$Q$2:$Q$200,P134)="","",INDEX('Input Contact Information'!$Q$2:$Q$200,P134))))</f>
        <v/>
      </c>
      <c r="K134" s="14" t="str">
        <f t="shared" ca="1" si="31"/>
        <v/>
      </c>
      <c r="L134" s="1" t="str">
        <f t="shared" si="32"/>
        <v/>
      </c>
      <c r="M134" s="1" t="str">
        <f t="shared" si="33"/>
        <v/>
      </c>
      <c r="N134" s="15">
        <f t="shared" ca="1" si="34"/>
        <v>46296</v>
      </c>
      <c r="O134" s="1" t="str">
        <f>IF($C134="","",IF(P134="","",IF(INDEX('Input Contact Information'!$R$2:$R$200,P134)="","",INDEX('Input Contact Information'!$R$2:$R$200,P134))))</f>
        <v/>
      </c>
      <c r="P134" s="1" t="str">
        <f>IF(C134="","",IFERROR(MATCH(C134&amp;"|"&amp;D134,'Input Contact Information'!$W$2:$W$200,0),""))</f>
        <v/>
      </c>
      <c r="Q134" s="1" t="str">
        <f>IF($C134="","",IF((IF(P134="","",IF(INDEX('Input Contact Information'!$N$2:$N$200,P134)="","",INDEX('Input Contact Information'!$N$2:$N$200,P134))))&lt;&gt;"",IF(P134="","",IF(INDEX('Input Contact Information'!$N$2:$N$200,P134)="","",INDEX('Input Contact Information'!$N$2:$N$200,P134))),IF(P134="","",IF(INDEX('Input Contact Information'!$M$2:$M$200,P134)="","",INDEX('Input Contact Information'!$M$2:$M$200,P134)))))</f>
        <v/>
      </c>
      <c r="R134" s="1" t="str">
        <f>IF(D134="","",IFERROR(MATCH(D134,'Accounts Overview'!$B$2:$B$100,0),""))</f>
        <v/>
      </c>
    </row>
    <row r="135" spans="1:18" ht="15" customHeight="1" x14ac:dyDescent="0.35">
      <c r="A135" s="13" t="str">
        <f t="shared" si="28"/>
        <v/>
      </c>
      <c r="B135" s="13" t="str">
        <f t="shared" si="29"/>
        <v/>
      </c>
      <c r="C135" s="1" t="str">
        <f>IFERROR(INDEX('Input Contact Information'!$C$2:$C$200,MATCH(ROW()-1,'Input Contact Information'!$V$2:$V$200,0)),"")</f>
        <v/>
      </c>
      <c r="D135" s="1" t="str">
        <f>IFERROR(INDEX('Input Contact Information'!$B$2:$B$200,MATCH(ROW()-1,'Input Contact Information'!$V$2:$V$200,0)),"")</f>
        <v/>
      </c>
      <c r="E135" s="1" t="str">
        <f>IF($C135="","",IF(R135="","",IF(INDEX('Accounts Overview'!$A$2:$A$100,R135)="","",INDEX('Accounts Overview'!$A$2:$A$100,R135))))</f>
        <v/>
      </c>
      <c r="F135" s="1" t="str">
        <f>IF($C135="","",IF(P135="","",IF(INDEX('Input Contact Information'!$D$2:$D$200,P135)="","",INDEX('Input Contact Information'!$D$2:$D$200,P135))))</f>
        <v/>
      </c>
      <c r="G135" s="1" t="str">
        <f>IF($C135="","",IF(P135="","",IF(INDEX('Input Contact Information'!$A$2:$A$200,P135)="","",INDEX('Input Contact Information'!$A$2:$A$200,P135))))</f>
        <v/>
      </c>
      <c r="H135" s="1" t="str">
        <f>IF($C135="","",IF(R135="","",IF(INDEX('Accounts Overview'!$I$2:$I$100,R135)="","",INDEX('Accounts Overview'!$I$2:$I$100,R135))))</f>
        <v/>
      </c>
      <c r="I135" s="1" t="str">
        <f t="shared" ca="1" si="30"/>
        <v/>
      </c>
      <c r="J135" s="12" t="str">
        <f>IF($C135="","",IF(P135="","",IF(INDEX('Input Contact Information'!$Q$2:$Q$200,P135)="","",INDEX('Input Contact Information'!$Q$2:$Q$200,P135))))</f>
        <v/>
      </c>
      <c r="K135" s="14" t="str">
        <f t="shared" ca="1" si="31"/>
        <v/>
      </c>
      <c r="L135" s="1" t="str">
        <f t="shared" si="32"/>
        <v/>
      </c>
      <c r="M135" s="1" t="str">
        <f t="shared" si="33"/>
        <v/>
      </c>
      <c r="N135" s="15">
        <f t="shared" ca="1" si="34"/>
        <v>46296</v>
      </c>
      <c r="O135" s="1" t="str">
        <f>IF($C135="","",IF(P135="","",IF(INDEX('Input Contact Information'!$R$2:$R$200,P135)="","",INDEX('Input Contact Information'!$R$2:$R$200,P135))))</f>
        <v/>
      </c>
      <c r="P135" s="1" t="str">
        <f>IF(C135="","",IFERROR(MATCH(C135&amp;"|"&amp;D135,'Input Contact Information'!$W$2:$W$200,0),""))</f>
        <v/>
      </c>
      <c r="Q135" s="1" t="str">
        <f>IF($C135="","",IF((IF(P135="","",IF(INDEX('Input Contact Information'!$N$2:$N$200,P135)="","",INDEX('Input Contact Information'!$N$2:$N$200,P135))))&lt;&gt;"",IF(P135="","",IF(INDEX('Input Contact Information'!$N$2:$N$200,P135)="","",INDEX('Input Contact Information'!$N$2:$N$200,P135))),IF(P135="","",IF(INDEX('Input Contact Information'!$M$2:$M$200,P135)="","",INDEX('Input Contact Information'!$M$2:$M$200,P135)))))</f>
        <v/>
      </c>
      <c r="R135" s="1" t="str">
        <f>IF(D135="","",IFERROR(MATCH(D135,'Accounts Overview'!$B$2:$B$100,0),""))</f>
        <v/>
      </c>
    </row>
    <row r="136" spans="1:18" ht="15" customHeight="1" x14ac:dyDescent="0.35">
      <c r="A136" s="13" t="str">
        <f t="shared" si="28"/>
        <v/>
      </c>
      <c r="B136" s="13" t="str">
        <f t="shared" si="29"/>
        <v/>
      </c>
      <c r="C136" s="1" t="str">
        <f>IFERROR(INDEX('Input Contact Information'!$C$2:$C$200,MATCH(ROW()-1,'Input Contact Information'!$V$2:$V$200,0)),"")</f>
        <v/>
      </c>
      <c r="D136" s="1" t="str">
        <f>IFERROR(INDEX('Input Contact Information'!$B$2:$B$200,MATCH(ROW()-1,'Input Contact Information'!$V$2:$V$200,0)),"")</f>
        <v/>
      </c>
      <c r="E136" s="1" t="str">
        <f>IF($C136="","",IF(R136="","",IF(INDEX('Accounts Overview'!$A$2:$A$100,R136)="","",INDEX('Accounts Overview'!$A$2:$A$100,R136))))</f>
        <v/>
      </c>
      <c r="F136" s="1" t="str">
        <f>IF($C136="","",IF(P136="","",IF(INDEX('Input Contact Information'!$D$2:$D$200,P136)="","",INDEX('Input Contact Information'!$D$2:$D$200,P136))))</f>
        <v/>
      </c>
      <c r="G136" s="1" t="str">
        <f>IF($C136="","",IF(P136="","",IF(INDEX('Input Contact Information'!$A$2:$A$200,P136)="","",INDEX('Input Contact Information'!$A$2:$A$200,P136))))</f>
        <v/>
      </c>
      <c r="H136" s="1" t="str">
        <f>IF($C136="","",IF(R136="","",IF(INDEX('Accounts Overview'!$I$2:$I$100,R136)="","",INDEX('Accounts Overview'!$I$2:$I$100,R136))))</f>
        <v/>
      </c>
      <c r="I136" s="1" t="str">
        <f t="shared" ca="1" si="30"/>
        <v/>
      </c>
      <c r="J136" s="12" t="str">
        <f>IF($C136="","",IF(P136="","",IF(INDEX('Input Contact Information'!$Q$2:$Q$200,P136)="","",INDEX('Input Contact Information'!$Q$2:$Q$200,P136))))</f>
        <v/>
      </c>
      <c r="K136" s="14" t="str">
        <f t="shared" ca="1" si="31"/>
        <v/>
      </c>
      <c r="L136" s="1" t="str">
        <f t="shared" si="32"/>
        <v/>
      </c>
      <c r="M136" s="1" t="str">
        <f t="shared" si="33"/>
        <v/>
      </c>
      <c r="N136" s="15">
        <f t="shared" ca="1" si="34"/>
        <v>46296</v>
      </c>
      <c r="O136" s="1" t="str">
        <f>IF($C136="","",IF(P136="","",IF(INDEX('Input Contact Information'!$R$2:$R$200,P136)="","",INDEX('Input Contact Information'!$R$2:$R$200,P136))))</f>
        <v/>
      </c>
      <c r="P136" s="1" t="str">
        <f>IF(C136="","",IFERROR(MATCH(C136&amp;"|"&amp;D136,'Input Contact Information'!$W$2:$W$200,0),""))</f>
        <v/>
      </c>
      <c r="Q136" s="1" t="str">
        <f>IF($C136="","",IF((IF(P136="","",IF(INDEX('Input Contact Information'!$N$2:$N$200,P136)="","",INDEX('Input Contact Information'!$N$2:$N$200,P136))))&lt;&gt;"",IF(P136="","",IF(INDEX('Input Contact Information'!$N$2:$N$200,P136)="","",INDEX('Input Contact Information'!$N$2:$N$200,P136))),IF(P136="","",IF(INDEX('Input Contact Information'!$M$2:$M$200,P136)="","",INDEX('Input Contact Information'!$M$2:$M$200,P136)))))</f>
        <v/>
      </c>
      <c r="R136" s="1" t="str">
        <f>IF(D136="","",IFERROR(MATCH(D136,'Accounts Overview'!$B$2:$B$100,0),""))</f>
        <v/>
      </c>
    </row>
    <row r="137" spans="1:18" ht="15" customHeight="1" x14ac:dyDescent="0.35">
      <c r="A137" s="13" t="str">
        <f t="shared" si="28"/>
        <v/>
      </c>
      <c r="B137" s="13" t="str">
        <f t="shared" si="29"/>
        <v/>
      </c>
      <c r="C137" s="1" t="str">
        <f>IFERROR(INDEX('Input Contact Information'!$C$2:$C$200,MATCH(ROW()-1,'Input Contact Information'!$V$2:$V$200,0)),"")</f>
        <v/>
      </c>
      <c r="D137" s="1" t="str">
        <f>IFERROR(INDEX('Input Contact Information'!$B$2:$B$200,MATCH(ROW()-1,'Input Contact Information'!$V$2:$V$200,0)),"")</f>
        <v/>
      </c>
      <c r="E137" s="1" t="str">
        <f>IF($C137="","",IF(R137="","",IF(INDEX('Accounts Overview'!$A$2:$A$100,R137)="","",INDEX('Accounts Overview'!$A$2:$A$100,R137))))</f>
        <v/>
      </c>
      <c r="F137" s="1" t="str">
        <f>IF($C137="","",IF(P137="","",IF(INDEX('Input Contact Information'!$D$2:$D$200,P137)="","",INDEX('Input Contact Information'!$D$2:$D$200,P137))))</f>
        <v/>
      </c>
      <c r="G137" s="1" t="str">
        <f>IF($C137="","",IF(P137="","",IF(INDEX('Input Contact Information'!$A$2:$A$200,P137)="","",INDEX('Input Contact Information'!$A$2:$A$200,P137))))</f>
        <v/>
      </c>
      <c r="H137" s="1" t="str">
        <f>IF($C137="","",IF(R137="","",IF(INDEX('Accounts Overview'!$I$2:$I$100,R137)="","",INDEX('Accounts Overview'!$I$2:$I$100,R137))))</f>
        <v/>
      </c>
      <c r="I137" s="1" t="str">
        <f t="shared" ca="1" si="30"/>
        <v/>
      </c>
      <c r="J137" s="12" t="str">
        <f>IF($C137="","",IF(P137="","",IF(INDEX('Input Contact Information'!$Q$2:$Q$200,P137)="","",INDEX('Input Contact Information'!$Q$2:$Q$200,P137))))</f>
        <v/>
      </c>
      <c r="K137" s="14" t="str">
        <f t="shared" ca="1" si="31"/>
        <v/>
      </c>
      <c r="L137" s="1" t="str">
        <f t="shared" si="32"/>
        <v/>
      </c>
      <c r="M137" s="1" t="str">
        <f t="shared" si="33"/>
        <v/>
      </c>
      <c r="N137" s="15">
        <f t="shared" ca="1" si="34"/>
        <v>46296</v>
      </c>
      <c r="O137" s="1" t="str">
        <f>IF($C137="","",IF(P137="","",IF(INDEX('Input Contact Information'!$R$2:$R$200,P137)="","",INDEX('Input Contact Information'!$R$2:$R$200,P137))))</f>
        <v/>
      </c>
      <c r="P137" s="1" t="str">
        <f>IF(C137="","",IFERROR(MATCH(C137&amp;"|"&amp;D137,'Input Contact Information'!$W$2:$W$200,0),""))</f>
        <v/>
      </c>
      <c r="Q137" s="1" t="str">
        <f>IF($C137="","",IF((IF(P137="","",IF(INDEX('Input Contact Information'!$N$2:$N$200,P137)="","",INDEX('Input Contact Information'!$N$2:$N$200,P137))))&lt;&gt;"",IF(P137="","",IF(INDEX('Input Contact Information'!$N$2:$N$200,P137)="","",INDEX('Input Contact Information'!$N$2:$N$200,P137))),IF(P137="","",IF(INDEX('Input Contact Information'!$M$2:$M$200,P137)="","",INDEX('Input Contact Information'!$M$2:$M$200,P137)))))</f>
        <v/>
      </c>
      <c r="R137" s="1" t="str">
        <f>IF(D137="","",IFERROR(MATCH(D137,'Accounts Overview'!$B$2:$B$100,0),""))</f>
        <v/>
      </c>
    </row>
    <row r="138" spans="1:18" ht="15" customHeight="1" x14ac:dyDescent="0.35">
      <c r="A138" s="13" t="str">
        <f t="shared" si="28"/>
        <v/>
      </c>
      <c r="B138" s="13" t="str">
        <f t="shared" si="29"/>
        <v/>
      </c>
      <c r="C138" s="1" t="str">
        <f>IFERROR(INDEX('Input Contact Information'!$C$2:$C$200,MATCH(ROW()-1,'Input Contact Information'!$V$2:$V$200,0)),"")</f>
        <v/>
      </c>
      <c r="D138" s="1" t="str">
        <f>IFERROR(INDEX('Input Contact Information'!$B$2:$B$200,MATCH(ROW()-1,'Input Contact Information'!$V$2:$V$200,0)),"")</f>
        <v/>
      </c>
      <c r="E138" s="1" t="str">
        <f>IF($C138="","",IF(R138="","",IF(INDEX('Accounts Overview'!$A$2:$A$100,R138)="","",INDEX('Accounts Overview'!$A$2:$A$100,R138))))</f>
        <v/>
      </c>
      <c r="F138" s="1" t="str">
        <f>IF($C138="","",IF(P138="","",IF(INDEX('Input Contact Information'!$D$2:$D$200,P138)="","",INDEX('Input Contact Information'!$D$2:$D$200,P138))))</f>
        <v/>
      </c>
      <c r="G138" s="1" t="str">
        <f>IF($C138="","",IF(P138="","",IF(INDEX('Input Contact Information'!$A$2:$A$200,P138)="","",INDEX('Input Contact Information'!$A$2:$A$200,P138))))</f>
        <v/>
      </c>
      <c r="H138" s="1" t="str">
        <f>IF($C138="","",IF(R138="","",IF(INDEX('Accounts Overview'!$I$2:$I$100,R138)="","",INDEX('Accounts Overview'!$I$2:$I$100,R138))))</f>
        <v/>
      </c>
      <c r="I138" s="1" t="str">
        <f t="shared" ca="1" si="30"/>
        <v/>
      </c>
      <c r="J138" s="12" t="str">
        <f>IF($C138="","",IF(P138="","",IF(INDEX('Input Contact Information'!$Q$2:$Q$200,P138)="","",INDEX('Input Contact Information'!$Q$2:$Q$200,P138))))</f>
        <v/>
      </c>
      <c r="K138" s="14" t="str">
        <f t="shared" ca="1" si="31"/>
        <v/>
      </c>
      <c r="L138" s="1" t="str">
        <f t="shared" si="32"/>
        <v/>
      </c>
      <c r="M138" s="1" t="str">
        <f t="shared" si="33"/>
        <v/>
      </c>
      <c r="N138" s="15">
        <f t="shared" ca="1" si="34"/>
        <v>46296</v>
      </c>
      <c r="O138" s="1" t="str">
        <f>IF($C138="","",IF(P138="","",IF(INDEX('Input Contact Information'!$R$2:$R$200,P138)="","",INDEX('Input Contact Information'!$R$2:$R$200,P138))))</f>
        <v/>
      </c>
      <c r="P138" s="1" t="str">
        <f>IF(C138="","",IFERROR(MATCH(C138&amp;"|"&amp;D138,'Input Contact Information'!$W$2:$W$200,0),""))</f>
        <v/>
      </c>
      <c r="Q138" s="1" t="str">
        <f>IF($C138="","",IF((IF(P138="","",IF(INDEX('Input Contact Information'!$N$2:$N$200,P138)="","",INDEX('Input Contact Information'!$N$2:$N$200,P138))))&lt;&gt;"",IF(P138="","",IF(INDEX('Input Contact Information'!$N$2:$N$200,P138)="","",INDEX('Input Contact Information'!$N$2:$N$200,P138))),IF(P138="","",IF(INDEX('Input Contact Information'!$M$2:$M$200,P138)="","",INDEX('Input Contact Information'!$M$2:$M$200,P138)))))</f>
        <v/>
      </c>
      <c r="R138" s="1" t="str">
        <f>IF(D138="","",IFERROR(MATCH(D138,'Accounts Overview'!$B$2:$B$100,0),""))</f>
        <v/>
      </c>
    </row>
    <row r="139" spans="1:18" ht="15" customHeight="1" x14ac:dyDescent="0.35">
      <c r="A139" s="13" t="str">
        <f t="shared" si="28"/>
        <v/>
      </c>
      <c r="B139" s="13" t="str">
        <f t="shared" si="29"/>
        <v/>
      </c>
      <c r="C139" s="1" t="str">
        <f>IFERROR(INDEX('Input Contact Information'!$C$2:$C$200,MATCH(ROW()-1,'Input Contact Information'!$V$2:$V$200,0)),"")</f>
        <v/>
      </c>
      <c r="D139" s="1" t="str">
        <f>IFERROR(INDEX('Input Contact Information'!$B$2:$B$200,MATCH(ROW()-1,'Input Contact Information'!$V$2:$V$200,0)),"")</f>
        <v/>
      </c>
      <c r="E139" s="1" t="str">
        <f>IF($C139="","",IF(R139="","",IF(INDEX('Accounts Overview'!$A$2:$A$100,R139)="","",INDEX('Accounts Overview'!$A$2:$A$100,R139))))</f>
        <v/>
      </c>
      <c r="F139" s="1" t="str">
        <f>IF($C139="","",IF(P139="","",IF(INDEX('Input Contact Information'!$D$2:$D$200,P139)="","",INDEX('Input Contact Information'!$D$2:$D$200,P139))))</f>
        <v/>
      </c>
      <c r="G139" s="1" t="str">
        <f>IF($C139="","",IF(P139="","",IF(INDEX('Input Contact Information'!$A$2:$A$200,P139)="","",INDEX('Input Contact Information'!$A$2:$A$200,P139))))</f>
        <v/>
      </c>
      <c r="H139" s="1" t="str">
        <f>IF($C139="","",IF(R139="","",IF(INDEX('Accounts Overview'!$I$2:$I$100,R139)="","",INDEX('Accounts Overview'!$I$2:$I$100,R139))))</f>
        <v/>
      </c>
      <c r="I139" s="1" t="str">
        <f t="shared" ca="1" si="30"/>
        <v/>
      </c>
      <c r="J139" s="12" t="str">
        <f>IF($C139="","",IF(P139="","",IF(INDEX('Input Contact Information'!$Q$2:$Q$200,P139)="","",INDEX('Input Contact Information'!$Q$2:$Q$200,P139))))</f>
        <v/>
      </c>
      <c r="K139" s="14" t="str">
        <f t="shared" ca="1" si="31"/>
        <v/>
      </c>
      <c r="L139" s="1" t="str">
        <f t="shared" si="32"/>
        <v/>
      </c>
      <c r="M139" s="1" t="str">
        <f t="shared" si="33"/>
        <v/>
      </c>
      <c r="N139" s="15">
        <f t="shared" ca="1" si="34"/>
        <v>46296</v>
      </c>
      <c r="O139" s="1" t="str">
        <f>IF($C139="","",IF(P139="","",IF(INDEX('Input Contact Information'!$R$2:$R$200,P139)="","",INDEX('Input Contact Information'!$R$2:$R$200,P139))))</f>
        <v/>
      </c>
      <c r="P139" s="1" t="str">
        <f>IF(C139="","",IFERROR(MATCH(C139&amp;"|"&amp;D139,'Input Contact Information'!$W$2:$W$200,0),""))</f>
        <v/>
      </c>
      <c r="Q139" s="1" t="str">
        <f>IF($C139="","",IF((IF(P139="","",IF(INDEX('Input Contact Information'!$N$2:$N$200,P139)="","",INDEX('Input Contact Information'!$N$2:$N$200,P139))))&lt;&gt;"",IF(P139="","",IF(INDEX('Input Contact Information'!$N$2:$N$200,P139)="","",INDEX('Input Contact Information'!$N$2:$N$200,P139))),IF(P139="","",IF(INDEX('Input Contact Information'!$M$2:$M$200,P139)="","",INDEX('Input Contact Information'!$M$2:$M$200,P139)))))</f>
        <v/>
      </c>
      <c r="R139" s="1" t="str">
        <f>IF(D139="","",IFERROR(MATCH(D139,'Accounts Overview'!$B$2:$B$100,0),""))</f>
        <v/>
      </c>
    </row>
    <row r="140" spans="1:18" ht="15" customHeight="1" x14ac:dyDescent="0.35">
      <c r="A140" s="13" t="str">
        <f t="shared" si="28"/>
        <v/>
      </c>
      <c r="B140" s="13" t="str">
        <f t="shared" si="29"/>
        <v/>
      </c>
      <c r="C140" s="1" t="str">
        <f>IFERROR(INDEX('Input Contact Information'!$C$2:$C$200,MATCH(ROW()-1,'Input Contact Information'!$V$2:$V$200,0)),"")</f>
        <v/>
      </c>
      <c r="D140" s="1" t="str">
        <f>IFERROR(INDEX('Input Contact Information'!$B$2:$B$200,MATCH(ROW()-1,'Input Contact Information'!$V$2:$V$200,0)),"")</f>
        <v/>
      </c>
      <c r="E140" s="1" t="str">
        <f>IF($C140="","",IF(R140="","",IF(INDEX('Accounts Overview'!$A$2:$A$100,R140)="","",INDEX('Accounts Overview'!$A$2:$A$100,R140))))</f>
        <v/>
      </c>
      <c r="F140" s="1" t="str">
        <f>IF($C140="","",IF(P140="","",IF(INDEX('Input Contact Information'!$D$2:$D$200,P140)="","",INDEX('Input Contact Information'!$D$2:$D$200,P140))))</f>
        <v/>
      </c>
      <c r="G140" s="1" t="str">
        <f>IF($C140="","",IF(P140="","",IF(INDEX('Input Contact Information'!$A$2:$A$200,P140)="","",INDEX('Input Contact Information'!$A$2:$A$200,P140))))</f>
        <v/>
      </c>
      <c r="H140" s="1" t="str">
        <f>IF($C140="","",IF(R140="","",IF(INDEX('Accounts Overview'!$I$2:$I$100,R140)="","",INDEX('Accounts Overview'!$I$2:$I$100,R140))))</f>
        <v/>
      </c>
      <c r="I140" s="1" t="str">
        <f t="shared" ca="1" si="30"/>
        <v/>
      </c>
      <c r="J140" s="12" t="str">
        <f>IF($C140="","",IF(P140="","",IF(INDEX('Input Contact Information'!$Q$2:$Q$200,P140)="","",INDEX('Input Contact Information'!$Q$2:$Q$200,P140))))</f>
        <v/>
      </c>
      <c r="K140" s="14" t="str">
        <f t="shared" ca="1" si="31"/>
        <v/>
      </c>
      <c r="L140" s="1" t="str">
        <f t="shared" si="32"/>
        <v/>
      </c>
      <c r="M140" s="1" t="str">
        <f t="shared" si="33"/>
        <v/>
      </c>
      <c r="N140" s="15">
        <f t="shared" ca="1" si="34"/>
        <v>46296</v>
      </c>
      <c r="O140" s="1" t="str">
        <f>IF($C140="","",IF(P140="","",IF(INDEX('Input Contact Information'!$R$2:$R$200,P140)="","",INDEX('Input Contact Information'!$R$2:$R$200,P140))))</f>
        <v/>
      </c>
      <c r="P140" s="1" t="str">
        <f>IF(C140="","",IFERROR(MATCH(C140&amp;"|"&amp;D140,'Input Contact Information'!$W$2:$W$200,0),""))</f>
        <v/>
      </c>
      <c r="Q140" s="1" t="str">
        <f>IF($C140="","",IF((IF(P140="","",IF(INDEX('Input Contact Information'!$N$2:$N$200,P140)="","",INDEX('Input Contact Information'!$N$2:$N$200,P140))))&lt;&gt;"",IF(P140="","",IF(INDEX('Input Contact Information'!$N$2:$N$200,P140)="","",INDEX('Input Contact Information'!$N$2:$N$200,P140))),IF(P140="","",IF(INDEX('Input Contact Information'!$M$2:$M$200,P140)="","",INDEX('Input Contact Information'!$M$2:$M$200,P140)))))</f>
        <v/>
      </c>
      <c r="R140" s="1" t="str">
        <f>IF(D140="","",IFERROR(MATCH(D140,'Accounts Overview'!$B$2:$B$100,0),""))</f>
        <v/>
      </c>
    </row>
    <row r="141" spans="1:18" ht="15" customHeight="1" x14ac:dyDescent="0.35">
      <c r="A141" s="13" t="str">
        <f t="shared" si="28"/>
        <v/>
      </c>
      <c r="B141" s="13" t="str">
        <f t="shared" si="29"/>
        <v/>
      </c>
      <c r="C141" s="1" t="str">
        <f>IFERROR(INDEX('Input Contact Information'!$C$2:$C$200,MATCH(ROW()-1,'Input Contact Information'!$V$2:$V$200,0)),"")</f>
        <v/>
      </c>
      <c r="D141" s="1" t="str">
        <f>IFERROR(INDEX('Input Contact Information'!$B$2:$B$200,MATCH(ROW()-1,'Input Contact Information'!$V$2:$V$200,0)),"")</f>
        <v/>
      </c>
      <c r="E141" s="1" t="str">
        <f>IF($C141="","",IF(R141="","",IF(INDEX('Accounts Overview'!$A$2:$A$100,R141)="","",INDEX('Accounts Overview'!$A$2:$A$100,R141))))</f>
        <v/>
      </c>
      <c r="F141" s="1" t="str">
        <f>IF($C141="","",IF(P141="","",IF(INDEX('Input Contact Information'!$D$2:$D$200,P141)="","",INDEX('Input Contact Information'!$D$2:$D$200,P141))))</f>
        <v/>
      </c>
      <c r="G141" s="1" t="str">
        <f>IF($C141="","",IF(P141="","",IF(INDEX('Input Contact Information'!$A$2:$A$200,P141)="","",INDEX('Input Contact Information'!$A$2:$A$200,P141))))</f>
        <v/>
      </c>
      <c r="H141" s="1" t="str">
        <f>IF($C141="","",IF(R141="","",IF(INDEX('Accounts Overview'!$I$2:$I$100,R141)="","",INDEX('Accounts Overview'!$I$2:$I$100,R141))))</f>
        <v/>
      </c>
      <c r="I141" s="1" t="str">
        <f t="shared" ca="1" si="30"/>
        <v/>
      </c>
      <c r="J141" s="12" t="str">
        <f>IF($C141="","",IF(P141="","",IF(INDEX('Input Contact Information'!$Q$2:$Q$200,P141)="","",INDEX('Input Contact Information'!$Q$2:$Q$200,P141))))</f>
        <v/>
      </c>
      <c r="K141" s="14" t="str">
        <f t="shared" ca="1" si="31"/>
        <v/>
      </c>
      <c r="L141" s="1" t="str">
        <f t="shared" si="32"/>
        <v/>
      </c>
      <c r="M141" s="1" t="str">
        <f t="shared" si="33"/>
        <v/>
      </c>
      <c r="N141" s="15">
        <f t="shared" ca="1" si="34"/>
        <v>46296</v>
      </c>
      <c r="O141" s="1" t="str">
        <f>IF($C141="","",IF(P141="","",IF(INDEX('Input Contact Information'!$R$2:$R$200,P141)="","",INDEX('Input Contact Information'!$R$2:$R$200,P141))))</f>
        <v/>
      </c>
      <c r="P141" s="1" t="str">
        <f>IF(C141="","",IFERROR(MATCH(C141&amp;"|"&amp;D141,'Input Contact Information'!$W$2:$W$200,0),""))</f>
        <v/>
      </c>
      <c r="Q141" s="1" t="str">
        <f>IF($C141="","",IF((IF(P141="","",IF(INDEX('Input Contact Information'!$N$2:$N$200,P141)="","",INDEX('Input Contact Information'!$N$2:$N$200,P141))))&lt;&gt;"",IF(P141="","",IF(INDEX('Input Contact Information'!$N$2:$N$200,P141)="","",INDEX('Input Contact Information'!$N$2:$N$200,P141))),IF(P141="","",IF(INDEX('Input Contact Information'!$M$2:$M$200,P141)="","",INDEX('Input Contact Information'!$M$2:$M$200,P141)))))</f>
        <v/>
      </c>
      <c r="R141" s="1" t="str">
        <f>IF(D141="","",IFERROR(MATCH(D141,'Accounts Overview'!$B$2:$B$100,0),""))</f>
        <v/>
      </c>
    </row>
    <row r="142" spans="1:18" ht="15" customHeight="1" x14ac:dyDescent="0.35">
      <c r="A142" s="13" t="str">
        <f t="shared" si="28"/>
        <v/>
      </c>
      <c r="B142" s="13" t="str">
        <f t="shared" si="29"/>
        <v/>
      </c>
      <c r="C142" s="1" t="str">
        <f>IFERROR(INDEX('Input Contact Information'!$C$2:$C$200,MATCH(ROW()-1,'Input Contact Information'!$V$2:$V$200,0)),"")</f>
        <v/>
      </c>
      <c r="D142" s="1" t="str">
        <f>IFERROR(INDEX('Input Contact Information'!$B$2:$B$200,MATCH(ROW()-1,'Input Contact Information'!$V$2:$V$200,0)),"")</f>
        <v/>
      </c>
      <c r="E142" s="1" t="str">
        <f>IF($C142="","",IF(R142="","",IF(INDEX('Accounts Overview'!$A$2:$A$100,R142)="","",INDEX('Accounts Overview'!$A$2:$A$100,R142))))</f>
        <v/>
      </c>
      <c r="F142" s="1" t="str">
        <f>IF($C142="","",IF(P142="","",IF(INDEX('Input Contact Information'!$D$2:$D$200,P142)="","",INDEX('Input Contact Information'!$D$2:$D$200,P142))))</f>
        <v/>
      </c>
      <c r="G142" s="1" t="str">
        <f>IF($C142="","",IF(P142="","",IF(INDEX('Input Contact Information'!$A$2:$A$200,P142)="","",INDEX('Input Contact Information'!$A$2:$A$200,P142))))</f>
        <v/>
      </c>
      <c r="H142" s="1" t="str">
        <f>IF($C142="","",IF(R142="","",IF(INDEX('Accounts Overview'!$I$2:$I$100,R142)="","",INDEX('Accounts Overview'!$I$2:$I$100,R142))))</f>
        <v/>
      </c>
      <c r="I142" s="1" t="str">
        <f t="shared" ca="1" si="30"/>
        <v/>
      </c>
      <c r="J142" s="12" t="str">
        <f>IF($C142="","",IF(P142="","",IF(INDEX('Input Contact Information'!$Q$2:$Q$200,P142)="","",INDEX('Input Contact Information'!$Q$2:$Q$200,P142))))</f>
        <v/>
      </c>
      <c r="K142" s="14" t="str">
        <f t="shared" ca="1" si="31"/>
        <v/>
      </c>
      <c r="L142" s="1" t="str">
        <f t="shared" si="32"/>
        <v/>
      </c>
      <c r="M142" s="1" t="str">
        <f t="shared" si="33"/>
        <v/>
      </c>
      <c r="N142" s="15">
        <f t="shared" ca="1" si="34"/>
        <v>46296</v>
      </c>
      <c r="O142" s="1" t="str">
        <f>IF($C142="","",IF(P142="","",IF(INDEX('Input Contact Information'!$R$2:$R$200,P142)="","",INDEX('Input Contact Information'!$R$2:$R$200,P142))))</f>
        <v/>
      </c>
      <c r="P142" s="1" t="str">
        <f>IF(C142="","",IFERROR(MATCH(C142&amp;"|"&amp;D142,'Input Contact Information'!$W$2:$W$200,0),""))</f>
        <v/>
      </c>
      <c r="Q142" s="1" t="str">
        <f>IF($C142="","",IF((IF(P142="","",IF(INDEX('Input Contact Information'!$N$2:$N$200,P142)="","",INDEX('Input Contact Information'!$N$2:$N$200,P142))))&lt;&gt;"",IF(P142="","",IF(INDEX('Input Contact Information'!$N$2:$N$200,P142)="","",INDEX('Input Contact Information'!$N$2:$N$200,P142))),IF(P142="","",IF(INDEX('Input Contact Information'!$M$2:$M$200,P142)="","",INDEX('Input Contact Information'!$M$2:$M$200,P142)))))</f>
        <v/>
      </c>
      <c r="R142" s="1" t="str">
        <f>IF(D142="","",IFERROR(MATCH(D142,'Accounts Overview'!$B$2:$B$100,0),""))</f>
        <v/>
      </c>
    </row>
    <row r="143" spans="1:18" ht="15" customHeight="1" x14ac:dyDescent="0.35">
      <c r="A143" s="13" t="str">
        <f t="shared" si="28"/>
        <v/>
      </c>
      <c r="B143" s="13" t="str">
        <f t="shared" si="29"/>
        <v/>
      </c>
      <c r="C143" s="1" t="str">
        <f>IFERROR(INDEX('Input Contact Information'!$C$2:$C$200,MATCH(ROW()-1,'Input Contact Information'!$V$2:$V$200,0)),"")</f>
        <v/>
      </c>
      <c r="D143" s="1" t="str">
        <f>IFERROR(INDEX('Input Contact Information'!$B$2:$B$200,MATCH(ROW()-1,'Input Contact Information'!$V$2:$V$200,0)),"")</f>
        <v/>
      </c>
      <c r="E143" s="1" t="str">
        <f>IF($C143="","",IF(R143="","",IF(INDEX('Accounts Overview'!$A$2:$A$100,R143)="","",INDEX('Accounts Overview'!$A$2:$A$100,R143))))</f>
        <v/>
      </c>
      <c r="F143" s="1" t="str">
        <f>IF($C143="","",IF(P143="","",IF(INDEX('Input Contact Information'!$D$2:$D$200,P143)="","",INDEX('Input Contact Information'!$D$2:$D$200,P143))))</f>
        <v/>
      </c>
      <c r="G143" s="1" t="str">
        <f>IF($C143="","",IF(P143="","",IF(INDEX('Input Contact Information'!$A$2:$A$200,P143)="","",INDEX('Input Contact Information'!$A$2:$A$200,P143))))</f>
        <v/>
      </c>
      <c r="H143" s="1" t="str">
        <f>IF($C143="","",IF(R143="","",IF(INDEX('Accounts Overview'!$I$2:$I$100,R143)="","",INDEX('Accounts Overview'!$I$2:$I$100,R143))))</f>
        <v/>
      </c>
      <c r="I143" s="1" t="str">
        <f t="shared" ca="1" si="30"/>
        <v/>
      </c>
      <c r="J143" s="12" t="str">
        <f>IF($C143="","",IF(P143="","",IF(INDEX('Input Contact Information'!$Q$2:$Q$200,P143)="","",INDEX('Input Contact Information'!$Q$2:$Q$200,P143))))</f>
        <v/>
      </c>
      <c r="K143" s="14" t="str">
        <f t="shared" ca="1" si="31"/>
        <v/>
      </c>
      <c r="L143" s="1" t="str">
        <f t="shared" si="32"/>
        <v/>
      </c>
      <c r="M143" s="1" t="str">
        <f t="shared" si="33"/>
        <v/>
      </c>
      <c r="N143" s="15">
        <f t="shared" ca="1" si="34"/>
        <v>46296</v>
      </c>
      <c r="O143" s="1" t="str">
        <f>IF($C143="","",IF(P143="","",IF(INDEX('Input Contact Information'!$R$2:$R$200,P143)="","",INDEX('Input Contact Information'!$R$2:$R$200,P143))))</f>
        <v/>
      </c>
      <c r="P143" s="1" t="str">
        <f>IF(C143="","",IFERROR(MATCH(C143&amp;"|"&amp;D143,'Input Contact Information'!$W$2:$W$200,0),""))</f>
        <v/>
      </c>
      <c r="Q143" s="1" t="str">
        <f>IF($C143="","",IF((IF(P143="","",IF(INDEX('Input Contact Information'!$N$2:$N$200,P143)="","",INDEX('Input Contact Information'!$N$2:$N$200,P143))))&lt;&gt;"",IF(P143="","",IF(INDEX('Input Contact Information'!$N$2:$N$200,P143)="","",INDEX('Input Contact Information'!$N$2:$N$200,P143))),IF(P143="","",IF(INDEX('Input Contact Information'!$M$2:$M$200,P143)="","",INDEX('Input Contact Information'!$M$2:$M$200,P143)))))</f>
        <v/>
      </c>
      <c r="R143" s="1" t="str">
        <f>IF(D143="","",IFERROR(MATCH(D143,'Accounts Overview'!$B$2:$B$100,0),""))</f>
        <v/>
      </c>
    </row>
    <row r="144" spans="1:18" ht="15" customHeight="1" x14ac:dyDescent="0.35">
      <c r="A144" s="13" t="str">
        <f t="shared" si="28"/>
        <v/>
      </c>
      <c r="B144" s="13" t="str">
        <f t="shared" si="29"/>
        <v/>
      </c>
      <c r="C144" s="1" t="str">
        <f>IFERROR(INDEX('Input Contact Information'!$C$2:$C$200,MATCH(ROW()-1,'Input Contact Information'!$V$2:$V$200,0)),"")</f>
        <v/>
      </c>
      <c r="D144" s="1" t="str">
        <f>IFERROR(INDEX('Input Contact Information'!$B$2:$B$200,MATCH(ROW()-1,'Input Contact Information'!$V$2:$V$200,0)),"")</f>
        <v/>
      </c>
      <c r="E144" s="1" t="str">
        <f>IF($C144="","",IF(R144="","",IF(INDEX('Accounts Overview'!$A$2:$A$100,R144)="","",INDEX('Accounts Overview'!$A$2:$A$100,R144))))</f>
        <v/>
      </c>
      <c r="F144" s="1" t="str">
        <f>IF($C144="","",IF(P144="","",IF(INDEX('Input Contact Information'!$D$2:$D$200,P144)="","",INDEX('Input Contact Information'!$D$2:$D$200,P144))))</f>
        <v/>
      </c>
      <c r="G144" s="1" t="str">
        <f>IF($C144="","",IF(P144="","",IF(INDEX('Input Contact Information'!$A$2:$A$200,P144)="","",INDEX('Input Contact Information'!$A$2:$A$200,P144))))</f>
        <v/>
      </c>
      <c r="H144" s="1" t="str">
        <f>IF($C144="","",IF(R144="","",IF(INDEX('Accounts Overview'!$I$2:$I$100,R144)="","",INDEX('Accounts Overview'!$I$2:$I$100,R144))))</f>
        <v/>
      </c>
      <c r="I144" s="1" t="str">
        <f t="shared" ca="1" si="30"/>
        <v/>
      </c>
      <c r="J144" s="12" t="str">
        <f>IF($C144="","",IF(P144="","",IF(INDEX('Input Contact Information'!$Q$2:$Q$200,P144)="","",INDEX('Input Contact Information'!$Q$2:$Q$200,P144))))</f>
        <v/>
      </c>
      <c r="K144" s="14" t="str">
        <f t="shared" ca="1" si="31"/>
        <v/>
      </c>
      <c r="L144" s="1" t="str">
        <f t="shared" si="32"/>
        <v/>
      </c>
      <c r="M144" s="1" t="str">
        <f t="shared" si="33"/>
        <v/>
      </c>
      <c r="N144" s="15">
        <f t="shared" ca="1" si="34"/>
        <v>46296</v>
      </c>
      <c r="O144" s="1" t="str">
        <f>IF($C144="","",IF(P144="","",IF(INDEX('Input Contact Information'!$R$2:$R$200,P144)="","",INDEX('Input Contact Information'!$R$2:$R$200,P144))))</f>
        <v/>
      </c>
      <c r="P144" s="1" t="str">
        <f>IF(C144="","",IFERROR(MATCH(C144&amp;"|"&amp;D144,'Input Contact Information'!$W$2:$W$200,0),""))</f>
        <v/>
      </c>
      <c r="Q144" s="1" t="str">
        <f>IF($C144="","",IF((IF(P144="","",IF(INDEX('Input Contact Information'!$N$2:$N$200,P144)="","",INDEX('Input Contact Information'!$N$2:$N$200,P144))))&lt;&gt;"",IF(P144="","",IF(INDEX('Input Contact Information'!$N$2:$N$200,P144)="","",INDEX('Input Contact Information'!$N$2:$N$200,P144))),IF(P144="","",IF(INDEX('Input Contact Information'!$M$2:$M$200,P144)="","",INDEX('Input Contact Information'!$M$2:$M$200,P144)))))</f>
        <v/>
      </c>
      <c r="R144" s="1" t="str">
        <f>IF(D144="","",IFERROR(MATCH(D144,'Accounts Overview'!$B$2:$B$100,0),""))</f>
        <v/>
      </c>
    </row>
    <row r="145" spans="1:18" ht="15" customHeight="1" x14ac:dyDescent="0.35">
      <c r="A145" s="13" t="str">
        <f t="shared" si="28"/>
        <v/>
      </c>
      <c r="B145" s="13" t="str">
        <f t="shared" si="29"/>
        <v/>
      </c>
      <c r="C145" s="1" t="str">
        <f>IFERROR(INDEX('Input Contact Information'!$C$2:$C$200,MATCH(ROW()-1,'Input Contact Information'!$V$2:$V$200,0)),"")</f>
        <v/>
      </c>
      <c r="D145" s="1" t="str">
        <f>IFERROR(INDEX('Input Contact Information'!$B$2:$B$200,MATCH(ROW()-1,'Input Contact Information'!$V$2:$V$200,0)),"")</f>
        <v/>
      </c>
      <c r="E145" s="1" t="str">
        <f>IF($C145="","",IF(R145="","",IF(INDEX('Accounts Overview'!$A$2:$A$100,R145)="","",INDEX('Accounts Overview'!$A$2:$A$100,R145))))</f>
        <v/>
      </c>
      <c r="F145" s="1" t="str">
        <f>IF($C145="","",IF(P145="","",IF(INDEX('Input Contact Information'!$D$2:$D$200,P145)="","",INDEX('Input Contact Information'!$D$2:$D$200,P145))))</f>
        <v/>
      </c>
      <c r="G145" s="1" t="str">
        <f>IF($C145="","",IF(P145="","",IF(INDEX('Input Contact Information'!$A$2:$A$200,P145)="","",INDEX('Input Contact Information'!$A$2:$A$200,P145))))</f>
        <v/>
      </c>
      <c r="H145" s="1" t="str">
        <f>IF($C145="","",IF(R145="","",IF(INDEX('Accounts Overview'!$I$2:$I$100,R145)="","",INDEX('Accounts Overview'!$I$2:$I$100,R145))))</f>
        <v/>
      </c>
      <c r="I145" s="1" t="str">
        <f t="shared" ca="1" si="30"/>
        <v/>
      </c>
      <c r="J145" s="12" t="str">
        <f>IF($C145="","",IF(P145="","",IF(INDEX('Input Contact Information'!$Q$2:$Q$200,P145)="","",INDEX('Input Contact Information'!$Q$2:$Q$200,P145))))</f>
        <v/>
      </c>
      <c r="K145" s="14" t="str">
        <f t="shared" ca="1" si="31"/>
        <v/>
      </c>
      <c r="L145" s="1" t="str">
        <f t="shared" si="32"/>
        <v/>
      </c>
      <c r="M145" s="1" t="str">
        <f t="shared" si="33"/>
        <v/>
      </c>
      <c r="N145" s="15">
        <f t="shared" ca="1" si="34"/>
        <v>46296</v>
      </c>
      <c r="O145" s="1" t="str">
        <f>IF($C145="","",IF(P145="","",IF(INDEX('Input Contact Information'!$R$2:$R$200,P145)="","",INDEX('Input Contact Information'!$R$2:$R$200,P145))))</f>
        <v/>
      </c>
      <c r="P145" s="1" t="str">
        <f>IF(C145="","",IFERROR(MATCH(C145&amp;"|"&amp;D145,'Input Contact Information'!$W$2:$W$200,0),""))</f>
        <v/>
      </c>
      <c r="Q145" s="1" t="str">
        <f>IF($C145="","",IF((IF(P145="","",IF(INDEX('Input Contact Information'!$N$2:$N$200,P145)="","",INDEX('Input Contact Information'!$N$2:$N$200,P145))))&lt;&gt;"",IF(P145="","",IF(INDEX('Input Contact Information'!$N$2:$N$200,P145)="","",INDEX('Input Contact Information'!$N$2:$N$200,P145))),IF(P145="","",IF(INDEX('Input Contact Information'!$M$2:$M$200,P145)="","",INDEX('Input Contact Information'!$M$2:$M$200,P145)))))</f>
        <v/>
      </c>
      <c r="R145" s="1" t="str">
        <f>IF(D145="","",IFERROR(MATCH(D145,'Accounts Overview'!$B$2:$B$100,0),""))</f>
        <v/>
      </c>
    </row>
    <row r="146" spans="1:18" ht="15" customHeight="1" x14ac:dyDescent="0.35">
      <c r="A146" s="13" t="str">
        <f t="shared" si="28"/>
        <v/>
      </c>
      <c r="B146" s="13" t="str">
        <f t="shared" si="29"/>
        <v/>
      </c>
      <c r="C146" s="1" t="str">
        <f>IFERROR(INDEX('Input Contact Information'!$C$2:$C$200,MATCH(ROW()-1,'Input Contact Information'!$V$2:$V$200,0)),"")</f>
        <v/>
      </c>
      <c r="D146" s="1" t="str">
        <f>IFERROR(INDEX('Input Contact Information'!$B$2:$B$200,MATCH(ROW()-1,'Input Contact Information'!$V$2:$V$200,0)),"")</f>
        <v/>
      </c>
      <c r="E146" s="1" t="str">
        <f>IF($C146="","",IF(R146="","",IF(INDEX('Accounts Overview'!$A$2:$A$100,R146)="","",INDEX('Accounts Overview'!$A$2:$A$100,R146))))</f>
        <v/>
      </c>
      <c r="F146" s="1" t="str">
        <f>IF($C146="","",IF(P146="","",IF(INDEX('Input Contact Information'!$D$2:$D$200,P146)="","",INDEX('Input Contact Information'!$D$2:$D$200,P146))))</f>
        <v/>
      </c>
      <c r="G146" s="1" t="str">
        <f>IF($C146="","",IF(P146="","",IF(INDEX('Input Contact Information'!$A$2:$A$200,P146)="","",INDEX('Input Contact Information'!$A$2:$A$200,P146))))</f>
        <v/>
      </c>
      <c r="H146" s="1" t="str">
        <f>IF($C146="","",IF(R146="","",IF(INDEX('Accounts Overview'!$I$2:$I$100,R146)="","",INDEX('Accounts Overview'!$I$2:$I$100,R146))))</f>
        <v/>
      </c>
      <c r="I146" s="1" t="str">
        <f t="shared" ca="1" si="30"/>
        <v/>
      </c>
      <c r="J146" s="12" t="str">
        <f>IF($C146="","",IF(P146="","",IF(INDEX('Input Contact Information'!$Q$2:$Q$200,P146)="","",INDEX('Input Contact Information'!$Q$2:$Q$200,P146))))</f>
        <v/>
      </c>
      <c r="K146" s="14" t="str">
        <f t="shared" ca="1" si="31"/>
        <v/>
      </c>
      <c r="L146" s="1" t="str">
        <f t="shared" si="32"/>
        <v/>
      </c>
      <c r="M146" s="1" t="str">
        <f t="shared" si="33"/>
        <v/>
      </c>
      <c r="N146" s="15">
        <f t="shared" ca="1" si="34"/>
        <v>46296</v>
      </c>
      <c r="O146" s="1" t="str">
        <f>IF($C146="","",IF(P146="","",IF(INDEX('Input Contact Information'!$R$2:$R$200,P146)="","",INDEX('Input Contact Information'!$R$2:$R$200,P146))))</f>
        <v/>
      </c>
      <c r="P146" s="1" t="str">
        <f>IF(C146="","",IFERROR(MATCH(C146&amp;"|"&amp;D146,'Input Contact Information'!$W$2:$W$200,0),""))</f>
        <v/>
      </c>
      <c r="Q146" s="1" t="str">
        <f>IF($C146="","",IF((IF(P146="","",IF(INDEX('Input Contact Information'!$N$2:$N$200,P146)="","",INDEX('Input Contact Information'!$N$2:$N$200,P146))))&lt;&gt;"",IF(P146="","",IF(INDEX('Input Contact Information'!$N$2:$N$200,P146)="","",INDEX('Input Contact Information'!$N$2:$N$200,P146))),IF(P146="","",IF(INDEX('Input Contact Information'!$M$2:$M$200,P146)="","",INDEX('Input Contact Information'!$M$2:$M$200,P146)))))</f>
        <v/>
      </c>
      <c r="R146" s="1" t="str">
        <f>IF(D146="","",IFERROR(MATCH(D146,'Accounts Overview'!$B$2:$B$100,0),""))</f>
        <v/>
      </c>
    </row>
    <row r="147" spans="1:18" ht="15" customHeight="1" x14ac:dyDescent="0.35">
      <c r="A147" s="13" t="str">
        <f t="shared" si="28"/>
        <v/>
      </c>
      <c r="B147" s="13" t="str">
        <f t="shared" si="29"/>
        <v/>
      </c>
      <c r="C147" s="1" t="str">
        <f>IFERROR(INDEX('Input Contact Information'!$C$2:$C$200,MATCH(ROW()-1,'Input Contact Information'!$V$2:$V$200,0)),"")</f>
        <v/>
      </c>
      <c r="D147" s="1" t="str">
        <f>IFERROR(INDEX('Input Contact Information'!$B$2:$B$200,MATCH(ROW()-1,'Input Contact Information'!$V$2:$V$200,0)),"")</f>
        <v/>
      </c>
      <c r="E147" s="1" t="str">
        <f>IF($C147="","",IF(R147="","",IF(INDEX('Accounts Overview'!$A$2:$A$100,R147)="","",INDEX('Accounts Overview'!$A$2:$A$100,R147))))</f>
        <v/>
      </c>
      <c r="F147" s="1" t="str">
        <f>IF($C147="","",IF(P147="","",IF(INDEX('Input Contact Information'!$D$2:$D$200,P147)="","",INDEX('Input Contact Information'!$D$2:$D$200,P147))))</f>
        <v/>
      </c>
      <c r="G147" s="1" t="str">
        <f>IF($C147="","",IF(P147="","",IF(INDEX('Input Contact Information'!$A$2:$A$200,P147)="","",INDEX('Input Contact Information'!$A$2:$A$200,P147))))</f>
        <v/>
      </c>
      <c r="H147" s="1" t="str">
        <f>IF($C147="","",IF(R147="","",IF(INDEX('Accounts Overview'!$I$2:$I$100,R147)="","",INDEX('Accounts Overview'!$I$2:$I$100,R147))))</f>
        <v/>
      </c>
      <c r="I147" s="1" t="str">
        <f t="shared" ca="1" si="30"/>
        <v/>
      </c>
      <c r="J147" s="12" t="str">
        <f>IF($C147="","",IF(P147="","",IF(INDEX('Input Contact Information'!$Q$2:$Q$200,P147)="","",INDEX('Input Contact Information'!$Q$2:$Q$200,P147))))</f>
        <v/>
      </c>
      <c r="K147" s="14" t="str">
        <f t="shared" ca="1" si="31"/>
        <v/>
      </c>
      <c r="L147" s="1" t="str">
        <f t="shared" si="32"/>
        <v/>
      </c>
      <c r="M147" s="1" t="str">
        <f t="shared" si="33"/>
        <v/>
      </c>
      <c r="N147" s="15">
        <f t="shared" ca="1" si="34"/>
        <v>46296</v>
      </c>
      <c r="O147" s="1" t="str">
        <f>IF($C147="","",IF(P147="","",IF(INDEX('Input Contact Information'!$R$2:$R$200,P147)="","",INDEX('Input Contact Information'!$R$2:$R$200,P147))))</f>
        <v/>
      </c>
      <c r="P147" s="1" t="str">
        <f>IF(C147="","",IFERROR(MATCH(C147&amp;"|"&amp;D147,'Input Contact Information'!$W$2:$W$200,0),""))</f>
        <v/>
      </c>
      <c r="Q147" s="1" t="str">
        <f>IF($C147="","",IF((IF(P147="","",IF(INDEX('Input Contact Information'!$N$2:$N$200,P147)="","",INDEX('Input Contact Information'!$N$2:$N$200,P147))))&lt;&gt;"",IF(P147="","",IF(INDEX('Input Contact Information'!$N$2:$N$200,P147)="","",INDEX('Input Contact Information'!$N$2:$N$200,P147))),IF(P147="","",IF(INDEX('Input Contact Information'!$M$2:$M$200,P147)="","",INDEX('Input Contact Information'!$M$2:$M$200,P147)))))</f>
        <v/>
      </c>
      <c r="R147" s="1" t="str">
        <f>IF(D147="","",IFERROR(MATCH(D147,'Accounts Overview'!$B$2:$B$100,0),""))</f>
        <v/>
      </c>
    </row>
    <row r="148" spans="1:18" ht="15" customHeight="1" x14ac:dyDescent="0.35">
      <c r="A148" s="13" t="str">
        <f t="shared" si="28"/>
        <v/>
      </c>
      <c r="B148" s="13" t="str">
        <f t="shared" si="29"/>
        <v/>
      </c>
      <c r="C148" s="1" t="str">
        <f>IFERROR(INDEX('Input Contact Information'!$C$2:$C$200,MATCH(ROW()-1,'Input Contact Information'!$V$2:$V$200,0)),"")</f>
        <v/>
      </c>
      <c r="D148" s="1" t="str">
        <f>IFERROR(INDEX('Input Contact Information'!$B$2:$B$200,MATCH(ROW()-1,'Input Contact Information'!$V$2:$V$200,0)),"")</f>
        <v/>
      </c>
      <c r="E148" s="1" t="str">
        <f>IF($C148="","",IF(R148="","",IF(INDEX('Accounts Overview'!$A$2:$A$100,R148)="","",INDEX('Accounts Overview'!$A$2:$A$100,R148))))</f>
        <v/>
      </c>
      <c r="F148" s="1" t="str">
        <f>IF($C148="","",IF(P148="","",IF(INDEX('Input Contact Information'!$D$2:$D$200,P148)="","",INDEX('Input Contact Information'!$D$2:$D$200,P148))))</f>
        <v/>
      </c>
      <c r="G148" s="1" t="str">
        <f>IF($C148="","",IF(P148="","",IF(INDEX('Input Contact Information'!$A$2:$A$200,P148)="","",INDEX('Input Contact Information'!$A$2:$A$200,P148))))</f>
        <v/>
      </c>
      <c r="H148" s="1" t="str">
        <f>IF($C148="","",IF(R148="","",IF(INDEX('Accounts Overview'!$I$2:$I$100,R148)="","",INDEX('Accounts Overview'!$I$2:$I$100,R148))))</f>
        <v/>
      </c>
      <c r="I148" s="1" t="str">
        <f t="shared" ca="1" si="30"/>
        <v/>
      </c>
      <c r="J148" s="12" t="str">
        <f>IF($C148="","",IF(P148="","",IF(INDEX('Input Contact Information'!$Q$2:$Q$200,P148)="","",INDEX('Input Contact Information'!$Q$2:$Q$200,P148))))</f>
        <v/>
      </c>
      <c r="K148" s="14" t="str">
        <f t="shared" ca="1" si="31"/>
        <v/>
      </c>
      <c r="L148" s="1" t="str">
        <f t="shared" si="32"/>
        <v/>
      </c>
      <c r="M148" s="1" t="str">
        <f t="shared" si="33"/>
        <v/>
      </c>
      <c r="N148" s="15">
        <f t="shared" ca="1" si="34"/>
        <v>46296</v>
      </c>
      <c r="O148" s="1" t="str">
        <f>IF($C148="","",IF(P148="","",IF(INDEX('Input Contact Information'!$R$2:$R$200,P148)="","",INDEX('Input Contact Information'!$R$2:$R$200,P148))))</f>
        <v/>
      </c>
      <c r="P148" s="1" t="str">
        <f>IF(C148="","",IFERROR(MATCH(C148&amp;"|"&amp;D148,'Input Contact Information'!$W$2:$W$200,0),""))</f>
        <v/>
      </c>
      <c r="Q148" s="1" t="str">
        <f>IF($C148="","",IF((IF(P148="","",IF(INDEX('Input Contact Information'!$N$2:$N$200,P148)="","",INDEX('Input Contact Information'!$N$2:$N$200,P148))))&lt;&gt;"",IF(P148="","",IF(INDEX('Input Contact Information'!$N$2:$N$200,P148)="","",INDEX('Input Contact Information'!$N$2:$N$200,P148))),IF(P148="","",IF(INDEX('Input Contact Information'!$M$2:$M$200,P148)="","",INDEX('Input Contact Information'!$M$2:$M$200,P148)))))</f>
        <v/>
      </c>
      <c r="R148" s="1" t="str">
        <f>IF(D148="","",IFERROR(MATCH(D148,'Accounts Overview'!$B$2:$B$100,0),""))</f>
        <v/>
      </c>
    </row>
    <row r="149" spans="1:18" ht="15" customHeight="1" x14ac:dyDescent="0.35">
      <c r="A149" s="13" t="str">
        <f t="shared" si="28"/>
        <v/>
      </c>
      <c r="B149" s="13" t="str">
        <f t="shared" si="29"/>
        <v/>
      </c>
      <c r="C149" s="1" t="str">
        <f>IFERROR(INDEX('Input Contact Information'!$C$2:$C$200,MATCH(ROW()-1,'Input Contact Information'!$V$2:$V$200,0)),"")</f>
        <v/>
      </c>
      <c r="D149" s="1" t="str">
        <f>IFERROR(INDEX('Input Contact Information'!$B$2:$B$200,MATCH(ROW()-1,'Input Contact Information'!$V$2:$V$200,0)),"")</f>
        <v/>
      </c>
      <c r="E149" s="1" t="str">
        <f>IF($C149="","",IF(R149="","",IF(INDEX('Accounts Overview'!$A$2:$A$100,R149)="","",INDEX('Accounts Overview'!$A$2:$A$100,R149))))</f>
        <v/>
      </c>
      <c r="F149" s="1" t="str">
        <f>IF($C149="","",IF(P149="","",IF(INDEX('Input Contact Information'!$D$2:$D$200,P149)="","",INDEX('Input Contact Information'!$D$2:$D$200,P149))))</f>
        <v/>
      </c>
      <c r="G149" s="1" t="str">
        <f>IF($C149="","",IF(P149="","",IF(INDEX('Input Contact Information'!$A$2:$A$200,P149)="","",INDEX('Input Contact Information'!$A$2:$A$200,P149))))</f>
        <v/>
      </c>
      <c r="H149" s="1" t="str">
        <f>IF($C149="","",IF(R149="","",IF(INDEX('Accounts Overview'!$I$2:$I$100,R149)="","",INDEX('Accounts Overview'!$I$2:$I$100,R149))))</f>
        <v/>
      </c>
      <c r="I149" s="1" t="str">
        <f t="shared" ca="1" si="30"/>
        <v/>
      </c>
      <c r="J149" s="12" t="str">
        <f>IF($C149="","",IF(P149="","",IF(INDEX('Input Contact Information'!$Q$2:$Q$200,P149)="","",INDEX('Input Contact Information'!$Q$2:$Q$200,P149))))</f>
        <v/>
      </c>
      <c r="K149" s="14" t="str">
        <f t="shared" ca="1" si="31"/>
        <v/>
      </c>
      <c r="L149" s="1" t="str">
        <f t="shared" si="32"/>
        <v/>
      </c>
      <c r="M149" s="1" t="str">
        <f t="shared" si="33"/>
        <v/>
      </c>
      <c r="N149" s="15">
        <f t="shared" ca="1" si="34"/>
        <v>46296</v>
      </c>
      <c r="O149" s="1" t="str">
        <f>IF($C149="","",IF(P149="","",IF(INDEX('Input Contact Information'!$R$2:$R$200,P149)="","",INDEX('Input Contact Information'!$R$2:$R$200,P149))))</f>
        <v/>
      </c>
      <c r="P149" s="1" t="str">
        <f>IF(C149="","",IFERROR(MATCH(C149&amp;"|"&amp;D149,'Input Contact Information'!$W$2:$W$200,0),""))</f>
        <v/>
      </c>
      <c r="Q149" s="1" t="str">
        <f>IF($C149="","",IF((IF(P149="","",IF(INDEX('Input Contact Information'!$N$2:$N$200,P149)="","",INDEX('Input Contact Information'!$N$2:$N$200,P149))))&lt;&gt;"",IF(P149="","",IF(INDEX('Input Contact Information'!$N$2:$N$200,P149)="","",INDEX('Input Contact Information'!$N$2:$N$200,P149))),IF(P149="","",IF(INDEX('Input Contact Information'!$M$2:$M$200,P149)="","",INDEX('Input Contact Information'!$M$2:$M$200,P149)))))</f>
        <v/>
      </c>
      <c r="R149" s="1" t="str">
        <f>IF(D149="","",IFERROR(MATCH(D149,'Accounts Overview'!$B$2:$B$100,0),""))</f>
        <v/>
      </c>
    </row>
    <row r="150" spans="1:18" ht="15" customHeight="1" x14ac:dyDescent="0.35">
      <c r="A150" s="13" t="str">
        <f t="shared" si="28"/>
        <v/>
      </c>
      <c r="B150" s="13" t="str">
        <f t="shared" si="29"/>
        <v/>
      </c>
      <c r="C150" s="1" t="str">
        <f>IFERROR(INDEX('Input Contact Information'!$C$2:$C$200,MATCH(ROW()-1,'Input Contact Information'!$V$2:$V$200,0)),"")</f>
        <v/>
      </c>
      <c r="D150" s="1" t="str">
        <f>IFERROR(INDEX('Input Contact Information'!$B$2:$B$200,MATCH(ROW()-1,'Input Contact Information'!$V$2:$V$200,0)),"")</f>
        <v/>
      </c>
      <c r="E150" s="1" t="str">
        <f>IF($C150="","",IF(R150="","",IF(INDEX('Accounts Overview'!$A$2:$A$100,R150)="","",INDEX('Accounts Overview'!$A$2:$A$100,R150))))</f>
        <v/>
      </c>
      <c r="F150" s="1" t="str">
        <f>IF($C150="","",IF(P150="","",IF(INDEX('Input Contact Information'!$D$2:$D$200,P150)="","",INDEX('Input Contact Information'!$D$2:$D$200,P150))))</f>
        <v/>
      </c>
      <c r="G150" s="1" t="str">
        <f>IF($C150="","",IF(P150="","",IF(INDEX('Input Contact Information'!$A$2:$A$200,P150)="","",INDEX('Input Contact Information'!$A$2:$A$200,P150))))</f>
        <v/>
      </c>
      <c r="H150" s="1" t="str">
        <f>IF($C150="","",IF(R150="","",IF(INDEX('Accounts Overview'!$I$2:$I$100,R150)="","",INDEX('Accounts Overview'!$I$2:$I$100,R150))))</f>
        <v/>
      </c>
      <c r="I150" s="1" t="str">
        <f t="shared" ca="1" si="30"/>
        <v/>
      </c>
      <c r="J150" s="12" t="str">
        <f>IF($C150="","",IF(P150="","",IF(INDEX('Input Contact Information'!$Q$2:$Q$200,P150)="","",INDEX('Input Contact Information'!$Q$2:$Q$200,P150))))</f>
        <v/>
      </c>
      <c r="K150" s="14" t="str">
        <f t="shared" ca="1" si="31"/>
        <v/>
      </c>
      <c r="L150" s="1" t="str">
        <f t="shared" si="32"/>
        <v/>
      </c>
      <c r="M150" s="1" t="str">
        <f t="shared" si="33"/>
        <v/>
      </c>
      <c r="N150" s="15">
        <f t="shared" ca="1" si="34"/>
        <v>46296</v>
      </c>
      <c r="O150" s="1" t="str">
        <f>IF($C150="","",IF(P150="","",IF(INDEX('Input Contact Information'!$R$2:$R$200,P150)="","",INDEX('Input Contact Information'!$R$2:$R$200,P150))))</f>
        <v/>
      </c>
      <c r="P150" s="1" t="str">
        <f>IF(C150="","",IFERROR(MATCH(C150&amp;"|"&amp;D150,'Input Contact Information'!$W$2:$W$200,0),""))</f>
        <v/>
      </c>
      <c r="Q150" s="1" t="str">
        <f>IF($C150="","",IF((IF(P150="","",IF(INDEX('Input Contact Information'!$N$2:$N$200,P150)="","",INDEX('Input Contact Information'!$N$2:$N$200,P150))))&lt;&gt;"",IF(P150="","",IF(INDEX('Input Contact Information'!$N$2:$N$200,P150)="","",INDEX('Input Contact Information'!$N$2:$N$200,P150))),IF(P150="","",IF(INDEX('Input Contact Information'!$M$2:$M$200,P150)="","",INDEX('Input Contact Information'!$M$2:$M$200,P150)))))</f>
        <v/>
      </c>
      <c r="R150" s="1" t="str">
        <f>IF(D150="","",IFERROR(MATCH(D150,'Accounts Overview'!$B$2:$B$100,0),""))</f>
        <v/>
      </c>
    </row>
    <row r="151" spans="1:18" ht="15" customHeight="1" x14ac:dyDescent="0.35">
      <c r="A151" s="13" t="str">
        <f t="shared" si="28"/>
        <v/>
      </c>
      <c r="B151" s="13" t="str">
        <f t="shared" si="29"/>
        <v/>
      </c>
      <c r="C151" s="1" t="str">
        <f>IFERROR(INDEX('Input Contact Information'!$C$2:$C$200,MATCH(ROW()-1,'Input Contact Information'!$V$2:$V$200,0)),"")</f>
        <v/>
      </c>
      <c r="D151" s="1" t="str">
        <f>IFERROR(INDEX('Input Contact Information'!$B$2:$B$200,MATCH(ROW()-1,'Input Contact Information'!$V$2:$V$200,0)),"")</f>
        <v/>
      </c>
      <c r="E151" s="1" t="str">
        <f>IF($C151="","",IF(R151="","",IF(INDEX('Accounts Overview'!$A$2:$A$100,R151)="","",INDEX('Accounts Overview'!$A$2:$A$100,R151))))</f>
        <v/>
      </c>
      <c r="F151" s="1" t="str">
        <f>IF($C151="","",IF(P151="","",IF(INDEX('Input Contact Information'!$D$2:$D$200,P151)="","",INDEX('Input Contact Information'!$D$2:$D$200,P151))))</f>
        <v/>
      </c>
      <c r="G151" s="1" t="str">
        <f>IF($C151="","",IF(P151="","",IF(INDEX('Input Contact Information'!$A$2:$A$200,P151)="","",INDEX('Input Contact Information'!$A$2:$A$200,P151))))</f>
        <v/>
      </c>
      <c r="H151" s="1" t="str">
        <f>IF($C151="","",IF(R151="","",IF(INDEX('Accounts Overview'!$I$2:$I$100,R151)="","",INDEX('Accounts Overview'!$I$2:$I$100,R151))))</f>
        <v/>
      </c>
      <c r="I151" s="1" t="str">
        <f t="shared" ca="1" si="30"/>
        <v/>
      </c>
      <c r="J151" s="12" t="str">
        <f>IF($C151="","",IF(P151="","",IF(INDEX('Input Contact Information'!$Q$2:$Q$200,P151)="","",INDEX('Input Contact Information'!$Q$2:$Q$200,P151))))</f>
        <v/>
      </c>
      <c r="K151" s="14" t="str">
        <f t="shared" ca="1" si="31"/>
        <v/>
      </c>
      <c r="L151" s="1" t="str">
        <f t="shared" si="32"/>
        <v/>
      </c>
      <c r="M151" s="1" t="str">
        <f t="shared" si="33"/>
        <v/>
      </c>
      <c r="N151" s="15">
        <f t="shared" ca="1" si="34"/>
        <v>46296</v>
      </c>
      <c r="O151" s="1" t="str">
        <f>IF($C151="","",IF(P151="","",IF(INDEX('Input Contact Information'!$R$2:$R$200,P151)="","",INDEX('Input Contact Information'!$R$2:$R$200,P151))))</f>
        <v/>
      </c>
      <c r="P151" s="1" t="str">
        <f>IF(C151="","",IFERROR(MATCH(C151&amp;"|"&amp;D151,'Input Contact Information'!$W$2:$W$200,0),""))</f>
        <v/>
      </c>
      <c r="Q151" s="1" t="str">
        <f>IF($C151="","",IF((IF(P151="","",IF(INDEX('Input Contact Information'!$N$2:$N$200,P151)="","",INDEX('Input Contact Information'!$N$2:$N$200,P151))))&lt;&gt;"",IF(P151="","",IF(INDEX('Input Contact Information'!$N$2:$N$200,P151)="","",INDEX('Input Contact Information'!$N$2:$N$200,P151))),IF(P151="","",IF(INDEX('Input Contact Information'!$M$2:$M$200,P151)="","",INDEX('Input Contact Information'!$M$2:$M$200,P151)))))</f>
        <v/>
      </c>
      <c r="R151" s="1" t="str">
        <f>IF(D151="","",IFERROR(MATCH(D151,'Accounts Overview'!$B$2:$B$100,0),""))</f>
        <v/>
      </c>
    </row>
    <row r="152" spans="1:18" ht="15" customHeight="1" x14ac:dyDescent="0.35">
      <c r="A152" s="13" t="str">
        <f t="shared" si="28"/>
        <v/>
      </c>
      <c r="B152" s="13" t="str">
        <f t="shared" si="29"/>
        <v/>
      </c>
      <c r="C152" s="1" t="str">
        <f>IFERROR(INDEX('Input Contact Information'!$C$2:$C$200,MATCH(ROW()-1,'Input Contact Information'!$V$2:$V$200,0)),"")</f>
        <v/>
      </c>
      <c r="D152" s="1" t="str">
        <f>IFERROR(INDEX('Input Contact Information'!$B$2:$B$200,MATCH(ROW()-1,'Input Contact Information'!$V$2:$V$200,0)),"")</f>
        <v/>
      </c>
      <c r="E152" s="1" t="str">
        <f>IF($C152="","",IF(R152="","",IF(INDEX('Accounts Overview'!$A$2:$A$100,R152)="","",INDEX('Accounts Overview'!$A$2:$A$100,R152))))</f>
        <v/>
      </c>
      <c r="F152" s="1" t="str">
        <f>IF($C152="","",IF(P152="","",IF(INDEX('Input Contact Information'!$D$2:$D$200,P152)="","",INDEX('Input Contact Information'!$D$2:$D$200,P152))))</f>
        <v/>
      </c>
      <c r="G152" s="1" t="str">
        <f>IF($C152="","",IF(P152="","",IF(INDEX('Input Contact Information'!$A$2:$A$200,P152)="","",INDEX('Input Contact Information'!$A$2:$A$200,P152))))</f>
        <v/>
      </c>
      <c r="H152" s="1" t="str">
        <f>IF($C152="","",IF(R152="","",IF(INDEX('Accounts Overview'!$I$2:$I$100,R152)="","",INDEX('Accounts Overview'!$I$2:$I$100,R152))))</f>
        <v/>
      </c>
      <c r="I152" s="1" t="str">
        <f t="shared" ca="1" si="30"/>
        <v/>
      </c>
      <c r="J152" s="12" t="str">
        <f>IF($C152="","",IF(P152="","",IF(INDEX('Input Contact Information'!$Q$2:$Q$200,P152)="","",INDEX('Input Contact Information'!$Q$2:$Q$200,P152))))</f>
        <v/>
      </c>
      <c r="K152" s="14" t="str">
        <f t="shared" ca="1" si="31"/>
        <v/>
      </c>
      <c r="L152" s="1" t="str">
        <f t="shared" si="32"/>
        <v/>
      </c>
      <c r="M152" s="1" t="str">
        <f t="shared" si="33"/>
        <v/>
      </c>
      <c r="N152" s="15">
        <f t="shared" ca="1" si="34"/>
        <v>46296</v>
      </c>
      <c r="O152" s="1" t="str">
        <f>IF($C152="","",IF(P152="","",IF(INDEX('Input Contact Information'!$R$2:$R$200,P152)="","",INDEX('Input Contact Information'!$R$2:$R$200,P152))))</f>
        <v/>
      </c>
      <c r="P152" s="1" t="str">
        <f>IF(C152="","",IFERROR(MATCH(C152&amp;"|"&amp;D152,'Input Contact Information'!$W$2:$W$200,0),""))</f>
        <v/>
      </c>
      <c r="Q152" s="1" t="str">
        <f>IF($C152="","",IF((IF(P152="","",IF(INDEX('Input Contact Information'!$N$2:$N$200,P152)="","",INDEX('Input Contact Information'!$N$2:$N$200,P152))))&lt;&gt;"",IF(P152="","",IF(INDEX('Input Contact Information'!$N$2:$N$200,P152)="","",INDEX('Input Contact Information'!$N$2:$N$200,P152))),IF(P152="","",IF(INDEX('Input Contact Information'!$M$2:$M$200,P152)="","",INDEX('Input Contact Information'!$M$2:$M$200,P152)))))</f>
        <v/>
      </c>
      <c r="R152" s="1" t="str">
        <f>IF(D152="","",IFERROR(MATCH(D152,'Accounts Overview'!$B$2:$B$100,0),""))</f>
        <v/>
      </c>
    </row>
    <row r="153" spans="1:18" ht="15" customHeight="1" x14ac:dyDescent="0.35">
      <c r="A153" s="13" t="str">
        <f t="shared" si="28"/>
        <v/>
      </c>
      <c r="B153" s="13" t="str">
        <f t="shared" si="29"/>
        <v/>
      </c>
      <c r="C153" s="1" t="str">
        <f>IFERROR(INDEX('Input Contact Information'!$C$2:$C$200,MATCH(ROW()-1,'Input Contact Information'!$V$2:$V$200,0)),"")</f>
        <v/>
      </c>
      <c r="D153" s="1" t="str">
        <f>IFERROR(INDEX('Input Contact Information'!$B$2:$B$200,MATCH(ROW()-1,'Input Contact Information'!$V$2:$V$200,0)),"")</f>
        <v/>
      </c>
      <c r="E153" s="1" t="str">
        <f>IF($C153="","",IF(R153="","",IF(INDEX('Accounts Overview'!$A$2:$A$100,R153)="","",INDEX('Accounts Overview'!$A$2:$A$100,R153))))</f>
        <v/>
      </c>
      <c r="F153" s="1" t="str">
        <f>IF($C153="","",IF(P153="","",IF(INDEX('Input Contact Information'!$D$2:$D$200,P153)="","",INDEX('Input Contact Information'!$D$2:$D$200,P153))))</f>
        <v/>
      </c>
      <c r="G153" s="1" t="str">
        <f>IF($C153="","",IF(P153="","",IF(INDEX('Input Contact Information'!$A$2:$A$200,P153)="","",INDEX('Input Contact Information'!$A$2:$A$200,P153))))</f>
        <v/>
      </c>
      <c r="H153" s="1" t="str">
        <f>IF($C153="","",IF(R153="","",IF(INDEX('Accounts Overview'!$I$2:$I$100,R153)="","",INDEX('Accounts Overview'!$I$2:$I$100,R153))))</f>
        <v/>
      </c>
      <c r="I153" s="1" t="str">
        <f t="shared" ca="1" si="30"/>
        <v/>
      </c>
      <c r="J153" s="12" t="str">
        <f>IF($C153="","",IF(P153="","",IF(INDEX('Input Contact Information'!$Q$2:$Q$200,P153)="","",INDEX('Input Contact Information'!$Q$2:$Q$200,P153))))</f>
        <v/>
      </c>
      <c r="K153" s="14" t="str">
        <f t="shared" ca="1" si="31"/>
        <v/>
      </c>
      <c r="L153" s="1" t="str">
        <f t="shared" si="32"/>
        <v/>
      </c>
      <c r="M153" s="1" t="str">
        <f t="shared" si="33"/>
        <v/>
      </c>
      <c r="N153" s="15">
        <f t="shared" ca="1" si="34"/>
        <v>46296</v>
      </c>
      <c r="O153" s="1" t="str">
        <f>IF($C153="","",IF(P153="","",IF(INDEX('Input Contact Information'!$R$2:$R$200,P153)="","",INDEX('Input Contact Information'!$R$2:$R$200,P153))))</f>
        <v/>
      </c>
      <c r="P153" s="1" t="str">
        <f>IF(C153="","",IFERROR(MATCH(C153&amp;"|"&amp;D153,'Input Contact Information'!$W$2:$W$200,0),""))</f>
        <v/>
      </c>
      <c r="Q153" s="1" t="str">
        <f>IF($C153="","",IF((IF(P153="","",IF(INDEX('Input Contact Information'!$N$2:$N$200,P153)="","",INDEX('Input Contact Information'!$N$2:$N$200,P153))))&lt;&gt;"",IF(P153="","",IF(INDEX('Input Contact Information'!$N$2:$N$200,P153)="","",INDEX('Input Contact Information'!$N$2:$N$200,P153))),IF(P153="","",IF(INDEX('Input Contact Information'!$M$2:$M$200,P153)="","",INDEX('Input Contact Information'!$M$2:$M$200,P153)))))</f>
        <v/>
      </c>
      <c r="R153" s="1" t="str">
        <f>IF(D153="","",IFERROR(MATCH(D153,'Accounts Overview'!$B$2:$B$100,0),""))</f>
        <v/>
      </c>
    </row>
    <row r="154" spans="1:18" ht="15" customHeight="1" x14ac:dyDescent="0.35">
      <c r="A154" s="13" t="str">
        <f t="shared" si="28"/>
        <v/>
      </c>
      <c r="B154" s="13" t="str">
        <f t="shared" si="29"/>
        <v/>
      </c>
      <c r="C154" s="1" t="str">
        <f>IFERROR(INDEX('Input Contact Information'!$C$2:$C$200,MATCH(ROW()-1,'Input Contact Information'!$V$2:$V$200,0)),"")</f>
        <v/>
      </c>
      <c r="D154" s="1" t="str">
        <f>IFERROR(INDEX('Input Contact Information'!$B$2:$B$200,MATCH(ROW()-1,'Input Contact Information'!$V$2:$V$200,0)),"")</f>
        <v/>
      </c>
      <c r="E154" s="1" t="str">
        <f>IF($C154="","",IF(R154="","",IF(INDEX('Accounts Overview'!$A$2:$A$100,R154)="","",INDEX('Accounts Overview'!$A$2:$A$100,R154))))</f>
        <v/>
      </c>
      <c r="F154" s="1" t="str">
        <f>IF($C154="","",IF(P154="","",IF(INDEX('Input Contact Information'!$D$2:$D$200,P154)="","",INDEX('Input Contact Information'!$D$2:$D$200,P154))))</f>
        <v/>
      </c>
      <c r="G154" s="1" t="str">
        <f>IF($C154="","",IF(P154="","",IF(INDEX('Input Contact Information'!$A$2:$A$200,P154)="","",INDEX('Input Contact Information'!$A$2:$A$200,P154))))</f>
        <v/>
      </c>
      <c r="H154" s="1" t="str">
        <f>IF($C154="","",IF(R154="","",IF(INDEX('Accounts Overview'!$I$2:$I$100,R154)="","",INDEX('Accounts Overview'!$I$2:$I$100,R154))))</f>
        <v/>
      </c>
      <c r="I154" s="1" t="str">
        <f t="shared" ca="1" si="30"/>
        <v/>
      </c>
      <c r="J154" s="12" t="str">
        <f>IF($C154="","",IF(P154="","",IF(INDEX('Input Contact Information'!$Q$2:$Q$200,P154)="","",INDEX('Input Contact Information'!$Q$2:$Q$200,P154))))</f>
        <v/>
      </c>
      <c r="K154" s="14" t="str">
        <f t="shared" ca="1" si="31"/>
        <v/>
      </c>
      <c r="L154" s="1" t="str">
        <f t="shared" si="32"/>
        <v/>
      </c>
      <c r="M154" s="1" t="str">
        <f t="shared" si="33"/>
        <v/>
      </c>
      <c r="N154" s="15">
        <f t="shared" ca="1" si="34"/>
        <v>46296</v>
      </c>
      <c r="O154" s="1" t="str">
        <f>IF($C154="","",IF(P154="","",IF(INDEX('Input Contact Information'!$R$2:$R$200,P154)="","",INDEX('Input Contact Information'!$R$2:$R$200,P154))))</f>
        <v/>
      </c>
      <c r="P154" s="1" t="str">
        <f>IF(C154="","",IFERROR(MATCH(C154&amp;"|"&amp;D154,'Input Contact Information'!$W$2:$W$200,0),""))</f>
        <v/>
      </c>
      <c r="Q154" s="1" t="str">
        <f>IF($C154="","",IF((IF(P154="","",IF(INDEX('Input Contact Information'!$N$2:$N$200,P154)="","",INDEX('Input Contact Information'!$N$2:$N$200,P154))))&lt;&gt;"",IF(P154="","",IF(INDEX('Input Contact Information'!$N$2:$N$200,P154)="","",INDEX('Input Contact Information'!$N$2:$N$200,P154))),IF(P154="","",IF(INDEX('Input Contact Information'!$M$2:$M$200,P154)="","",INDEX('Input Contact Information'!$M$2:$M$200,P154)))))</f>
        <v/>
      </c>
      <c r="R154" s="1" t="str">
        <f>IF(D154="","",IFERROR(MATCH(D154,'Accounts Overview'!$B$2:$B$100,0),""))</f>
        <v/>
      </c>
    </row>
    <row r="155" spans="1:18" ht="15" customHeight="1" x14ac:dyDescent="0.35">
      <c r="A155" s="13" t="str">
        <f t="shared" si="28"/>
        <v/>
      </c>
      <c r="B155" s="13" t="str">
        <f t="shared" si="29"/>
        <v/>
      </c>
      <c r="C155" s="1" t="str">
        <f>IFERROR(INDEX('Input Contact Information'!$C$2:$C$200,MATCH(ROW()-1,'Input Contact Information'!$V$2:$V$200,0)),"")</f>
        <v/>
      </c>
      <c r="D155" s="1" t="str">
        <f>IFERROR(INDEX('Input Contact Information'!$B$2:$B$200,MATCH(ROW()-1,'Input Contact Information'!$V$2:$V$200,0)),"")</f>
        <v/>
      </c>
      <c r="E155" s="1" t="str">
        <f>IF($C155="","",IF(R155="","",IF(INDEX('Accounts Overview'!$A$2:$A$100,R155)="","",INDEX('Accounts Overview'!$A$2:$A$100,R155))))</f>
        <v/>
      </c>
      <c r="F155" s="1" t="str">
        <f>IF($C155="","",IF(P155="","",IF(INDEX('Input Contact Information'!$D$2:$D$200,P155)="","",INDEX('Input Contact Information'!$D$2:$D$200,P155))))</f>
        <v/>
      </c>
      <c r="G155" s="1" t="str">
        <f>IF($C155="","",IF(P155="","",IF(INDEX('Input Contact Information'!$A$2:$A$200,P155)="","",INDEX('Input Contact Information'!$A$2:$A$200,P155))))</f>
        <v/>
      </c>
      <c r="H155" s="1" t="str">
        <f>IF($C155="","",IF(R155="","",IF(INDEX('Accounts Overview'!$I$2:$I$100,R155)="","",INDEX('Accounts Overview'!$I$2:$I$100,R155))))</f>
        <v/>
      </c>
      <c r="I155" s="1" t="str">
        <f t="shared" ca="1" si="30"/>
        <v/>
      </c>
      <c r="J155" s="12" t="str">
        <f>IF($C155="","",IF(P155="","",IF(INDEX('Input Contact Information'!$Q$2:$Q$200,P155)="","",INDEX('Input Contact Information'!$Q$2:$Q$200,P155))))</f>
        <v/>
      </c>
      <c r="K155" s="14" t="str">
        <f t="shared" ca="1" si="31"/>
        <v/>
      </c>
      <c r="L155" s="1" t="str">
        <f t="shared" si="32"/>
        <v/>
      </c>
      <c r="M155" s="1" t="str">
        <f t="shared" si="33"/>
        <v/>
      </c>
      <c r="N155" s="15">
        <f t="shared" ca="1" si="34"/>
        <v>46296</v>
      </c>
      <c r="O155" s="1" t="str">
        <f>IF($C155="","",IF(P155="","",IF(INDEX('Input Contact Information'!$R$2:$R$200,P155)="","",INDEX('Input Contact Information'!$R$2:$R$200,P155))))</f>
        <v/>
      </c>
      <c r="P155" s="1" t="str">
        <f>IF(C155="","",IFERROR(MATCH(C155&amp;"|"&amp;D155,'Input Contact Information'!$W$2:$W$200,0),""))</f>
        <v/>
      </c>
      <c r="Q155" s="1" t="str">
        <f>IF($C155="","",IF((IF(P155="","",IF(INDEX('Input Contact Information'!$N$2:$N$200,P155)="","",INDEX('Input Contact Information'!$N$2:$N$200,P155))))&lt;&gt;"",IF(P155="","",IF(INDEX('Input Contact Information'!$N$2:$N$200,P155)="","",INDEX('Input Contact Information'!$N$2:$N$200,P155))),IF(P155="","",IF(INDEX('Input Contact Information'!$M$2:$M$200,P155)="","",INDEX('Input Contact Information'!$M$2:$M$200,P155)))))</f>
        <v/>
      </c>
      <c r="R155" s="1" t="str">
        <f>IF(D155="","",IFERROR(MATCH(D155,'Accounts Overview'!$B$2:$B$100,0),""))</f>
        <v/>
      </c>
    </row>
    <row r="156" spans="1:18" ht="15" customHeight="1" x14ac:dyDescent="0.35">
      <c r="A156" s="13" t="str">
        <f t="shared" si="28"/>
        <v/>
      </c>
      <c r="B156" s="13" t="str">
        <f t="shared" si="29"/>
        <v/>
      </c>
      <c r="C156" s="1" t="str">
        <f>IFERROR(INDEX('Input Contact Information'!$C$2:$C$200,MATCH(ROW()-1,'Input Contact Information'!$V$2:$V$200,0)),"")</f>
        <v/>
      </c>
      <c r="D156" s="1" t="str">
        <f>IFERROR(INDEX('Input Contact Information'!$B$2:$B$200,MATCH(ROW()-1,'Input Contact Information'!$V$2:$V$200,0)),"")</f>
        <v/>
      </c>
      <c r="E156" s="1" t="str">
        <f>IF($C156="","",IF(R156="","",IF(INDEX('Accounts Overview'!$A$2:$A$100,R156)="","",INDEX('Accounts Overview'!$A$2:$A$100,R156))))</f>
        <v/>
      </c>
      <c r="F156" s="1" t="str">
        <f>IF($C156="","",IF(P156="","",IF(INDEX('Input Contact Information'!$D$2:$D$200,P156)="","",INDEX('Input Contact Information'!$D$2:$D$200,P156))))</f>
        <v/>
      </c>
      <c r="G156" s="1" t="str">
        <f>IF($C156="","",IF(P156="","",IF(INDEX('Input Contact Information'!$A$2:$A$200,P156)="","",INDEX('Input Contact Information'!$A$2:$A$200,P156))))</f>
        <v/>
      </c>
      <c r="H156" s="1" t="str">
        <f>IF($C156="","",IF(R156="","",IF(INDEX('Accounts Overview'!$I$2:$I$100,R156)="","",INDEX('Accounts Overview'!$I$2:$I$100,R156))))</f>
        <v/>
      </c>
      <c r="I156" s="1" t="str">
        <f t="shared" ca="1" si="30"/>
        <v/>
      </c>
      <c r="J156" s="12" t="str">
        <f>IF($C156="","",IF(P156="","",IF(INDEX('Input Contact Information'!$Q$2:$Q$200,P156)="","",INDEX('Input Contact Information'!$Q$2:$Q$200,P156))))</f>
        <v/>
      </c>
      <c r="K156" s="14" t="str">
        <f t="shared" ca="1" si="31"/>
        <v/>
      </c>
      <c r="L156" s="1" t="str">
        <f t="shared" si="32"/>
        <v/>
      </c>
      <c r="M156" s="1" t="str">
        <f t="shared" si="33"/>
        <v/>
      </c>
      <c r="N156" s="15">
        <f t="shared" ca="1" si="34"/>
        <v>46296</v>
      </c>
      <c r="O156" s="1" t="str">
        <f>IF($C156="","",IF(P156="","",IF(INDEX('Input Contact Information'!$R$2:$R$200,P156)="","",INDEX('Input Contact Information'!$R$2:$R$200,P156))))</f>
        <v/>
      </c>
      <c r="P156" s="1" t="str">
        <f>IF(C156="","",IFERROR(MATCH(C156&amp;"|"&amp;D156,'Input Contact Information'!$W$2:$W$200,0),""))</f>
        <v/>
      </c>
      <c r="Q156" s="1" t="str">
        <f>IF($C156="","",IF((IF(P156="","",IF(INDEX('Input Contact Information'!$N$2:$N$200,P156)="","",INDEX('Input Contact Information'!$N$2:$N$200,P156))))&lt;&gt;"",IF(P156="","",IF(INDEX('Input Contact Information'!$N$2:$N$200,P156)="","",INDEX('Input Contact Information'!$N$2:$N$200,P156))),IF(P156="","",IF(INDEX('Input Contact Information'!$M$2:$M$200,P156)="","",INDEX('Input Contact Information'!$M$2:$M$200,P156)))))</f>
        <v/>
      </c>
      <c r="R156" s="1" t="str">
        <f>IF(D156="","",IFERROR(MATCH(D156,'Accounts Overview'!$B$2:$B$100,0),""))</f>
        <v/>
      </c>
    </row>
    <row r="157" spans="1:18" ht="15" customHeight="1" x14ac:dyDescent="0.35">
      <c r="A157" s="13" t="str">
        <f t="shared" si="28"/>
        <v/>
      </c>
      <c r="B157" s="13" t="str">
        <f t="shared" si="29"/>
        <v/>
      </c>
      <c r="C157" s="1" t="str">
        <f>IFERROR(INDEX('Input Contact Information'!$C$2:$C$200,MATCH(ROW()-1,'Input Contact Information'!$V$2:$V$200,0)),"")</f>
        <v/>
      </c>
      <c r="D157" s="1" t="str">
        <f>IFERROR(INDEX('Input Contact Information'!$B$2:$B$200,MATCH(ROW()-1,'Input Contact Information'!$V$2:$V$200,0)),"")</f>
        <v/>
      </c>
      <c r="E157" s="1" t="str">
        <f>IF($C157="","",IF(R157="","",IF(INDEX('Accounts Overview'!$A$2:$A$100,R157)="","",INDEX('Accounts Overview'!$A$2:$A$100,R157))))</f>
        <v/>
      </c>
      <c r="F157" s="1" t="str">
        <f>IF($C157="","",IF(P157="","",IF(INDEX('Input Contact Information'!$D$2:$D$200,P157)="","",INDEX('Input Contact Information'!$D$2:$D$200,P157))))</f>
        <v/>
      </c>
      <c r="G157" s="1" t="str">
        <f>IF($C157="","",IF(P157="","",IF(INDEX('Input Contact Information'!$A$2:$A$200,P157)="","",INDEX('Input Contact Information'!$A$2:$A$200,P157))))</f>
        <v/>
      </c>
      <c r="H157" s="1" t="str">
        <f>IF($C157="","",IF(R157="","",IF(INDEX('Accounts Overview'!$I$2:$I$100,R157)="","",INDEX('Accounts Overview'!$I$2:$I$100,R157))))</f>
        <v/>
      </c>
      <c r="I157" s="1" t="str">
        <f t="shared" ca="1" si="30"/>
        <v/>
      </c>
      <c r="J157" s="12" t="str">
        <f>IF($C157="","",IF(P157="","",IF(INDEX('Input Contact Information'!$Q$2:$Q$200,P157)="","",INDEX('Input Contact Information'!$Q$2:$Q$200,P157))))</f>
        <v/>
      </c>
      <c r="K157" s="14" t="str">
        <f t="shared" ca="1" si="31"/>
        <v/>
      </c>
      <c r="L157" s="1" t="str">
        <f t="shared" si="32"/>
        <v/>
      </c>
      <c r="M157" s="1" t="str">
        <f t="shared" si="33"/>
        <v/>
      </c>
      <c r="N157" s="15">
        <f t="shared" ca="1" si="34"/>
        <v>46296</v>
      </c>
      <c r="O157" s="1" t="str">
        <f>IF($C157="","",IF(P157="","",IF(INDEX('Input Contact Information'!$R$2:$R$200,P157)="","",INDEX('Input Contact Information'!$R$2:$R$200,P157))))</f>
        <v/>
      </c>
      <c r="P157" s="1" t="str">
        <f>IF(C157="","",IFERROR(MATCH(C157&amp;"|"&amp;D157,'Input Contact Information'!$W$2:$W$200,0),""))</f>
        <v/>
      </c>
      <c r="Q157" s="1" t="str">
        <f>IF($C157="","",IF((IF(P157="","",IF(INDEX('Input Contact Information'!$N$2:$N$200,P157)="","",INDEX('Input Contact Information'!$N$2:$N$200,P157))))&lt;&gt;"",IF(P157="","",IF(INDEX('Input Contact Information'!$N$2:$N$200,P157)="","",INDEX('Input Contact Information'!$N$2:$N$200,P157))),IF(P157="","",IF(INDEX('Input Contact Information'!$M$2:$M$200,P157)="","",INDEX('Input Contact Information'!$M$2:$M$200,P157)))))</f>
        <v/>
      </c>
      <c r="R157" s="1" t="str">
        <f>IF(D157="","",IFERROR(MATCH(D157,'Accounts Overview'!$B$2:$B$100,0),""))</f>
        <v/>
      </c>
    </row>
    <row r="158" spans="1:18" ht="15" customHeight="1" x14ac:dyDescent="0.35">
      <c r="A158" s="13" t="str">
        <f t="shared" si="28"/>
        <v/>
      </c>
      <c r="B158" s="13" t="str">
        <f t="shared" si="29"/>
        <v/>
      </c>
      <c r="C158" s="1" t="str">
        <f>IFERROR(INDEX('Input Contact Information'!$C$2:$C$200,MATCH(ROW()-1,'Input Contact Information'!$V$2:$V$200,0)),"")</f>
        <v/>
      </c>
      <c r="D158" s="1" t="str">
        <f>IFERROR(INDEX('Input Contact Information'!$B$2:$B$200,MATCH(ROW()-1,'Input Contact Information'!$V$2:$V$200,0)),"")</f>
        <v/>
      </c>
      <c r="E158" s="1" t="str">
        <f>IF($C158="","",IF(R158="","",IF(INDEX('Accounts Overview'!$A$2:$A$100,R158)="","",INDEX('Accounts Overview'!$A$2:$A$100,R158))))</f>
        <v/>
      </c>
      <c r="F158" s="1" t="str">
        <f>IF($C158="","",IF(P158="","",IF(INDEX('Input Contact Information'!$D$2:$D$200,P158)="","",INDEX('Input Contact Information'!$D$2:$D$200,P158))))</f>
        <v/>
      </c>
      <c r="G158" s="1" t="str">
        <f>IF($C158="","",IF(P158="","",IF(INDEX('Input Contact Information'!$A$2:$A$200,P158)="","",INDEX('Input Contact Information'!$A$2:$A$200,P158))))</f>
        <v/>
      </c>
      <c r="H158" s="1" t="str">
        <f>IF($C158="","",IF(R158="","",IF(INDEX('Accounts Overview'!$I$2:$I$100,R158)="","",INDEX('Accounts Overview'!$I$2:$I$100,R158))))</f>
        <v/>
      </c>
      <c r="I158" s="1" t="str">
        <f t="shared" ca="1" si="30"/>
        <v/>
      </c>
      <c r="J158" s="12" t="str">
        <f>IF($C158="","",IF(P158="","",IF(INDEX('Input Contact Information'!$Q$2:$Q$200,P158)="","",INDEX('Input Contact Information'!$Q$2:$Q$200,P158))))</f>
        <v/>
      </c>
      <c r="K158" s="14" t="str">
        <f t="shared" ca="1" si="31"/>
        <v/>
      </c>
      <c r="L158" s="1" t="str">
        <f t="shared" si="32"/>
        <v/>
      </c>
      <c r="M158" s="1" t="str">
        <f t="shared" si="33"/>
        <v/>
      </c>
      <c r="N158" s="15">
        <f t="shared" ca="1" si="34"/>
        <v>46296</v>
      </c>
      <c r="O158" s="1" t="str">
        <f>IF($C158="","",IF(P158="","",IF(INDEX('Input Contact Information'!$R$2:$R$200,P158)="","",INDEX('Input Contact Information'!$R$2:$R$200,P158))))</f>
        <v/>
      </c>
      <c r="P158" s="1" t="str">
        <f>IF(C158="","",IFERROR(MATCH(C158&amp;"|"&amp;D158,'Input Contact Information'!$W$2:$W$200,0),""))</f>
        <v/>
      </c>
      <c r="Q158" s="1" t="str">
        <f>IF($C158="","",IF((IF(P158="","",IF(INDEX('Input Contact Information'!$N$2:$N$200,P158)="","",INDEX('Input Contact Information'!$N$2:$N$200,P158))))&lt;&gt;"",IF(P158="","",IF(INDEX('Input Contact Information'!$N$2:$N$200,P158)="","",INDEX('Input Contact Information'!$N$2:$N$200,P158))),IF(P158="","",IF(INDEX('Input Contact Information'!$M$2:$M$200,P158)="","",INDEX('Input Contact Information'!$M$2:$M$200,P158)))))</f>
        <v/>
      </c>
      <c r="R158" s="1" t="str">
        <f>IF(D158="","",IFERROR(MATCH(D158,'Accounts Overview'!$B$2:$B$100,0),""))</f>
        <v/>
      </c>
    </row>
    <row r="159" spans="1:18" ht="15" customHeight="1" x14ac:dyDescent="0.35">
      <c r="A159" s="13" t="str">
        <f t="shared" si="28"/>
        <v/>
      </c>
      <c r="B159" s="13" t="str">
        <f t="shared" si="29"/>
        <v/>
      </c>
      <c r="C159" s="1" t="str">
        <f>IFERROR(INDEX('Input Contact Information'!$C$2:$C$200,MATCH(ROW()-1,'Input Contact Information'!$V$2:$V$200,0)),"")</f>
        <v/>
      </c>
      <c r="D159" s="1" t="str">
        <f>IFERROR(INDEX('Input Contact Information'!$B$2:$B$200,MATCH(ROW()-1,'Input Contact Information'!$V$2:$V$200,0)),"")</f>
        <v/>
      </c>
      <c r="E159" s="1" t="str">
        <f>IF($C159="","",IF(R159="","",IF(INDEX('Accounts Overview'!$A$2:$A$100,R159)="","",INDEX('Accounts Overview'!$A$2:$A$100,R159))))</f>
        <v/>
      </c>
      <c r="F159" s="1" t="str">
        <f>IF($C159="","",IF(P159="","",IF(INDEX('Input Contact Information'!$D$2:$D$200,P159)="","",INDEX('Input Contact Information'!$D$2:$D$200,P159))))</f>
        <v/>
      </c>
      <c r="G159" s="1" t="str">
        <f>IF($C159="","",IF(P159="","",IF(INDEX('Input Contact Information'!$A$2:$A$200,P159)="","",INDEX('Input Contact Information'!$A$2:$A$200,P159))))</f>
        <v/>
      </c>
      <c r="H159" s="1" t="str">
        <f>IF($C159="","",IF(R159="","",IF(INDEX('Accounts Overview'!$I$2:$I$100,R159)="","",INDEX('Accounts Overview'!$I$2:$I$100,R159))))</f>
        <v/>
      </c>
      <c r="I159" s="1" t="str">
        <f t="shared" ca="1" si="30"/>
        <v/>
      </c>
      <c r="J159" s="12" t="str">
        <f>IF($C159="","",IF(P159="","",IF(INDEX('Input Contact Information'!$Q$2:$Q$200,P159)="","",INDEX('Input Contact Information'!$Q$2:$Q$200,P159))))</f>
        <v/>
      </c>
      <c r="K159" s="14" t="str">
        <f t="shared" ca="1" si="31"/>
        <v/>
      </c>
      <c r="L159" s="1" t="str">
        <f t="shared" si="32"/>
        <v/>
      </c>
      <c r="M159" s="1" t="str">
        <f t="shared" si="33"/>
        <v/>
      </c>
      <c r="N159" s="15">
        <f t="shared" ca="1" si="34"/>
        <v>46296</v>
      </c>
      <c r="O159" s="1" t="str">
        <f>IF($C159="","",IF(P159="","",IF(INDEX('Input Contact Information'!$R$2:$R$200,P159)="","",INDEX('Input Contact Information'!$R$2:$R$200,P159))))</f>
        <v/>
      </c>
      <c r="P159" s="1" t="str">
        <f>IF(C159="","",IFERROR(MATCH(C159&amp;"|"&amp;D159,'Input Contact Information'!$W$2:$W$200,0),""))</f>
        <v/>
      </c>
      <c r="Q159" s="1" t="str">
        <f>IF($C159="","",IF((IF(P159="","",IF(INDEX('Input Contact Information'!$N$2:$N$200,P159)="","",INDEX('Input Contact Information'!$N$2:$N$200,P159))))&lt;&gt;"",IF(P159="","",IF(INDEX('Input Contact Information'!$N$2:$N$200,P159)="","",INDEX('Input Contact Information'!$N$2:$N$200,P159))),IF(P159="","",IF(INDEX('Input Contact Information'!$M$2:$M$200,P159)="","",INDEX('Input Contact Information'!$M$2:$M$200,P159)))))</f>
        <v/>
      </c>
      <c r="R159" s="1" t="str">
        <f>IF(D159="","",IFERROR(MATCH(D159,'Accounts Overview'!$B$2:$B$100,0),""))</f>
        <v/>
      </c>
    </row>
    <row r="160" spans="1:18" ht="15" customHeight="1" x14ac:dyDescent="0.35">
      <c r="A160" s="13" t="str">
        <f t="shared" si="28"/>
        <v/>
      </c>
      <c r="B160" s="13" t="str">
        <f t="shared" si="29"/>
        <v/>
      </c>
      <c r="C160" s="1" t="str">
        <f>IFERROR(INDEX('Input Contact Information'!$C$2:$C$200,MATCH(ROW()-1,'Input Contact Information'!$V$2:$V$200,0)),"")</f>
        <v/>
      </c>
      <c r="D160" s="1" t="str">
        <f>IFERROR(INDEX('Input Contact Information'!$B$2:$B$200,MATCH(ROW()-1,'Input Contact Information'!$V$2:$V$200,0)),"")</f>
        <v/>
      </c>
      <c r="E160" s="1" t="str">
        <f>IF($C160="","",IF(R160="","",IF(INDEX('Accounts Overview'!$A$2:$A$100,R160)="","",INDEX('Accounts Overview'!$A$2:$A$100,R160))))</f>
        <v/>
      </c>
      <c r="F160" s="1" t="str">
        <f>IF($C160="","",IF(P160="","",IF(INDEX('Input Contact Information'!$D$2:$D$200,P160)="","",INDEX('Input Contact Information'!$D$2:$D$200,P160))))</f>
        <v/>
      </c>
      <c r="G160" s="1" t="str">
        <f>IF($C160="","",IF(P160="","",IF(INDEX('Input Contact Information'!$A$2:$A$200,P160)="","",INDEX('Input Contact Information'!$A$2:$A$200,P160))))</f>
        <v/>
      </c>
      <c r="H160" s="1" t="str">
        <f>IF($C160="","",IF(R160="","",IF(INDEX('Accounts Overview'!$I$2:$I$100,R160)="","",INDEX('Accounts Overview'!$I$2:$I$100,R160))))</f>
        <v/>
      </c>
      <c r="I160" s="1" t="str">
        <f t="shared" ca="1" si="30"/>
        <v/>
      </c>
      <c r="J160" s="12" t="str">
        <f>IF($C160="","",IF(P160="","",IF(INDEX('Input Contact Information'!$Q$2:$Q$200,P160)="","",INDEX('Input Contact Information'!$Q$2:$Q$200,P160))))</f>
        <v/>
      </c>
      <c r="K160" s="14" t="str">
        <f t="shared" ca="1" si="31"/>
        <v/>
      </c>
      <c r="L160" s="1" t="str">
        <f t="shared" si="32"/>
        <v/>
      </c>
      <c r="M160" s="1" t="str">
        <f t="shared" si="33"/>
        <v/>
      </c>
      <c r="N160" s="15">
        <f t="shared" ca="1" si="34"/>
        <v>46296</v>
      </c>
      <c r="O160" s="1" t="str">
        <f>IF($C160="","",IF(P160="","",IF(INDEX('Input Contact Information'!$R$2:$R$200,P160)="","",INDEX('Input Contact Information'!$R$2:$R$200,P160))))</f>
        <v/>
      </c>
      <c r="P160" s="1" t="str">
        <f>IF(C160="","",IFERROR(MATCH(C160&amp;"|"&amp;D160,'Input Contact Information'!$W$2:$W$200,0),""))</f>
        <v/>
      </c>
      <c r="Q160" s="1" t="str">
        <f>IF($C160="","",IF((IF(P160="","",IF(INDEX('Input Contact Information'!$N$2:$N$200,P160)="","",INDEX('Input Contact Information'!$N$2:$N$200,P160))))&lt;&gt;"",IF(P160="","",IF(INDEX('Input Contact Information'!$N$2:$N$200,P160)="","",INDEX('Input Contact Information'!$N$2:$N$200,P160))),IF(P160="","",IF(INDEX('Input Contact Information'!$M$2:$M$200,P160)="","",INDEX('Input Contact Information'!$M$2:$M$200,P160)))))</f>
        <v/>
      </c>
      <c r="R160" s="1" t="str">
        <f>IF(D160="","",IFERROR(MATCH(D160,'Accounts Overview'!$B$2:$B$100,0),""))</f>
        <v/>
      </c>
    </row>
    <row r="161" spans="1:18" ht="15" customHeight="1" x14ac:dyDescent="0.35">
      <c r="A161" s="13" t="str">
        <f t="shared" si="28"/>
        <v/>
      </c>
      <c r="B161" s="13" t="str">
        <f t="shared" si="29"/>
        <v/>
      </c>
      <c r="C161" s="1" t="str">
        <f>IFERROR(INDEX('Input Contact Information'!$C$2:$C$200,MATCH(ROW()-1,'Input Contact Information'!$V$2:$V$200,0)),"")</f>
        <v/>
      </c>
      <c r="D161" s="1" t="str">
        <f>IFERROR(INDEX('Input Contact Information'!$B$2:$B$200,MATCH(ROW()-1,'Input Contact Information'!$V$2:$V$200,0)),"")</f>
        <v/>
      </c>
      <c r="E161" s="1" t="str">
        <f>IF($C161="","",IF(R161="","",IF(INDEX('Accounts Overview'!$A$2:$A$100,R161)="","",INDEX('Accounts Overview'!$A$2:$A$100,R161))))</f>
        <v/>
      </c>
      <c r="F161" s="1" t="str">
        <f>IF($C161="","",IF(P161="","",IF(INDEX('Input Contact Information'!$D$2:$D$200,P161)="","",INDEX('Input Contact Information'!$D$2:$D$200,P161))))</f>
        <v/>
      </c>
      <c r="G161" s="1" t="str">
        <f>IF($C161="","",IF(P161="","",IF(INDEX('Input Contact Information'!$A$2:$A$200,P161)="","",INDEX('Input Contact Information'!$A$2:$A$200,P161))))</f>
        <v/>
      </c>
      <c r="H161" s="1" t="str">
        <f>IF($C161="","",IF(R161="","",IF(INDEX('Accounts Overview'!$I$2:$I$100,R161)="","",INDEX('Accounts Overview'!$I$2:$I$100,R161))))</f>
        <v/>
      </c>
      <c r="I161" s="1" t="str">
        <f t="shared" ca="1" si="30"/>
        <v/>
      </c>
      <c r="J161" s="12" t="str">
        <f>IF($C161="","",IF(P161="","",IF(INDEX('Input Contact Information'!$Q$2:$Q$200,P161)="","",INDEX('Input Contact Information'!$Q$2:$Q$200,P161))))</f>
        <v/>
      </c>
      <c r="K161" s="14" t="str">
        <f t="shared" ca="1" si="31"/>
        <v/>
      </c>
      <c r="L161" s="1" t="str">
        <f t="shared" si="32"/>
        <v/>
      </c>
      <c r="M161" s="1" t="str">
        <f t="shared" si="33"/>
        <v/>
      </c>
      <c r="N161" s="15">
        <f t="shared" ca="1" si="34"/>
        <v>46296</v>
      </c>
      <c r="O161" s="1" t="str">
        <f>IF($C161="","",IF(P161="","",IF(INDEX('Input Contact Information'!$R$2:$R$200,P161)="","",INDEX('Input Contact Information'!$R$2:$R$200,P161))))</f>
        <v/>
      </c>
      <c r="P161" s="1" t="str">
        <f>IF(C161="","",IFERROR(MATCH(C161&amp;"|"&amp;D161,'Input Contact Information'!$W$2:$W$200,0),""))</f>
        <v/>
      </c>
      <c r="Q161" s="1" t="str">
        <f>IF($C161="","",IF((IF(P161="","",IF(INDEX('Input Contact Information'!$N$2:$N$200,P161)="","",INDEX('Input Contact Information'!$N$2:$N$200,P161))))&lt;&gt;"",IF(P161="","",IF(INDEX('Input Contact Information'!$N$2:$N$200,P161)="","",INDEX('Input Contact Information'!$N$2:$N$200,P161))),IF(P161="","",IF(INDEX('Input Contact Information'!$M$2:$M$200,P161)="","",INDEX('Input Contact Information'!$M$2:$M$200,P161)))))</f>
        <v/>
      </c>
      <c r="R161" s="1" t="str">
        <f>IF(D161="","",IFERROR(MATCH(D161,'Accounts Overview'!$B$2:$B$100,0),""))</f>
        <v/>
      </c>
    </row>
    <row r="162" spans="1:18" ht="15" customHeight="1" x14ac:dyDescent="0.35">
      <c r="A162" s="13" t="str">
        <f t="shared" ref="A162:A193" si="35">IF(C162="","","ENG"&amp;TEXT(ROW()-1,"0000"))</f>
        <v/>
      </c>
      <c r="B162" s="13" t="str">
        <f t="shared" ref="B162:B193" si="36">IF(C162="","","CON"&amp;TEXT(ROW()-1,"0000"))</f>
        <v/>
      </c>
      <c r="C162" s="1" t="str">
        <f>IFERROR(INDEX('Input Contact Information'!$C$2:$C$200,MATCH(ROW()-1,'Input Contact Information'!$V$2:$V$200,0)),"")</f>
        <v/>
      </c>
      <c r="D162" s="1" t="str">
        <f>IFERROR(INDEX('Input Contact Information'!$B$2:$B$200,MATCH(ROW()-1,'Input Contact Information'!$V$2:$V$200,0)),"")</f>
        <v/>
      </c>
      <c r="E162" s="1" t="str">
        <f>IF($C162="","",IF(R162="","",IF(INDEX('Accounts Overview'!$A$2:$A$100,R162)="","",INDEX('Accounts Overview'!$A$2:$A$100,R162))))</f>
        <v/>
      </c>
      <c r="F162" s="1" t="str">
        <f>IF($C162="","",IF(P162="","",IF(INDEX('Input Contact Information'!$D$2:$D$200,P162)="","",INDEX('Input Contact Information'!$D$2:$D$200,P162))))</f>
        <v/>
      </c>
      <c r="G162" s="1" t="str">
        <f>IF($C162="","",IF(P162="","",IF(INDEX('Input Contact Information'!$A$2:$A$200,P162)="","",INDEX('Input Contact Information'!$A$2:$A$200,P162))))</f>
        <v/>
      </c>
      <c r="H162" s="1" t="str">
        <f>IF($C162="","",IF(R162="","",IF(INDEX('Accounts Overview'!$I$2:$I$100,R162)="","",INDEX('Accounts Overview'!$I$2:$I$100,R162))))</f>
        <v/>
      </c>
      <c r="I162" s="1" t="str">
        <f t="shared" ref="I162:I193" ca="1" si="37">IF($C162="","",IF(J162="","No Task",IF((TODAY()-J162)&gt;=M162,"Overdue",IF((TODAY()-J162)&gt;=L162,"For Review","On Track"))))</f>
        <v/>
      </c>
      <c r="J162" s="12" t="str">
        <f>IF($C162="","",IF(P162="","",IF(INDEX('Input Contact Information'!$Q$2:$Q$200,P162)="","",INDEX('Input Contact Information'!$Q$2:$Q$200,P162))))</f>
        <v/>
      </c>
      <c r="K162" s="14" t="str">
        <f t="shared" ref="K162:K193" ca="1" si="38">IF($C162="","",IF(J162="","",TODAY()-J162))</f>
        <v/>
      </c>
      <c r="L162" s="1" t="str">
        <f t="shared" ref="L162:L193" si="39">IF($C162="","",IF(Q162="","",IF(Q162="Tier 1",31,IF(Q162="Tier 2",91,181))))</f>
        <v/>
      </c>
      <c r="M162" s="1" t="str">
        <f t="shared" ref="M162:M193" si="40">IF($C162="","",IF(Q162="","",IF(Q162="Tier 1",61,IF(Q162="Tier 2",181,366))))</f>
        <v/>
      </c>
      <c r="N162" s="15">
        <f t="shared" ref="N162:N193" ca="1" si="41">TODAY()</f>
        <v>46296</v>
      </c>
      <c r="O162" s="1" t="str">
        <f>IF($C162="","",IF(P162="","",IF(INDEX('Input Contact Information'!$R$2:$R$200,P162)="","",INDEX('Input Contact Information'!$R$2:$R$200,P162))))</f>
        <v/>
      </c>
      <c r="P162" s="1" t="str">
        <f>IF(C162="","",IFERROR(MATCH(C162&amp;"|"&amp;D162,'Input Contact Information'!$W$2:$W$200,0),""))</f>
        <v/>
      </c>
      <c r="Q162" s="1" t="str">
        <f>IF($C162="","",IF((IF(P162="","",IF(INDEX('Input Contact Information'!$N$2:$N$200,P162)="","",INDEX('Input Contact Information'!$N$2:$N$200,P162))))&lt;&gt;"",IF(P162="","",IF(INDEX('Input Contact Information'!$N$2:$N$200,P162)="","",INDEX('Input Contact Information'!$N$2:$N$200,P162))),IF(P162="","",IF(INDEX('Input Contact Information'!$M$2:$M$200,P162)="","",INDEX('Input Contact Information'!$M$2:$M$200,P162)))))</f>
        <v/>
      </c>
      <c r="R162" s="1" t="str">
        <f>IF(D162="","",IFERROR(MATCH(D162,'Accounts Overview'!$B$2:$B$100,0),""))</f>
        <v/>
      </c>
    </row>
    <row r="163" spans="1:18" ht="15" customHeight="1" x14ac:dyDescent="0.35">
      <c r="A163" s="13" t="str">
        <f t="shared" si="35"/>
        <v/>
      </c>
      <c r="B163" s="13" t="str">
        <f t="shared" si="36"/>
        <v/>
      </c>
      <c r="C163" s="1" t="str">
        <f>IFERROR(INDEX('Input Contact Information'!$C$2:$C$200,MATCH(ROW()-1,'Input Contact Information'!$V$2:$V$200,0)),"")</f>
        <v/>
      </c>
      <c r="D163" s="1" t="str">
        <f>IFERROR(INDEX('Input Contact Information'!$B$2:$B$200,MATCH(ROW()-1,'Input Contact Information'!$V$2:$V$200,0)),"")</f>
        <v/>
      </c>
      <c r="E163" s="1" t="str">
        <f>IF($C163="","",IF(R163="","",IF(INDEX('Accounts Overview'!$A$2:$A$100,R163)="","",INDEX('Accounts Overview'!$A$2:$A$100,R163))))</f>
        <v/>
      </c>
      <c r="F163" s="1" t="str">
        <f>IF($C163="","",IF(P163="","",IF(INDEX('Input Contact Information'!$D$2:$D$200,P163)="","",INDEX('Input Contact Information'!$D$2:$D$200,P163))))</f>
        <v/>
      </c>
      <c r="G163" s="1" t="str">
        <f>IF($C163="","",IF(P163="","",IF(INDEX('Input Contact Information'!$A$2:$A$200,P163)="","",INDEX('Input Contact Information'!$A$2:$A$200,P163))))</f>
        <v/>
      </c>
      <c r="H163" s="1" t="str">
        <f>IF($C163="","",IF(R163="","",IF(INDEX('Accounts Overview'!$I$2:$I$100,R163)="","",INDEX('Accounts Overview'!$I$2:$I$100,R163))))</f>
        <v/>
      </c>
      <c r="I163" s="1" t="str">
        <f t="shared" ca="1" si="37"/>
        <v/>
      </c>
      <c r="J163" s="12" t="str">
        <f>IF($C163="","",IF(P163="","",IF(INDEX('Input Contact Information'!$Q$2:$Q$200,P163)="","",INDEX('Input Contact Information'!$Q$2:$Q$200,P163))))</f>
        <v/>
      </c>
      <c r="K163" s="14" t="str">
        <f t="shared" ca="1" si="38"/>
        <v/>
      </c>
      <c r="L163" s="1" t="str">
        <f t="shared" si="39"/>
        <v/>
      </c>
      <c r="M163" s="1" t="str">
        <f t="shared" si="40"/>
        <v/>
      </c>
      <c r="N163" s="15">
        <f t="shared" ca="1" si="41"/>
        <v>46296</v>
      </c>
      <c r="O163" s="1" t="str">
        <f>IF($C163="","",IF(P163="","",IF(INDEX('Input Contact Information'!$R$2:$R$200,P163)="","",INDEX('Input Contact Information'!$R$2:$R$200,P163))))</f>
        <v/>
      </c>
      <c r="P163" s="1" t="str">
        <f>IF(C163="","",IFERROR(MATCH(C163&amp;"|"&amp;D163,'Input Contact Information'!$W$2:$W$200,0),""))</f>
        <v/>
      </c>
      <c r="Q163" s="1" t="str">
        <f>IF($C163="","",IF((IF(P163="","",IF(INDEX('Input Contact Information'!$N$2:$N$200,P163)="","",INDEX('Input Contact Information'!$N$2:$N$200,P163))))&lt;&gt;"",IF(P163="","",IF(INDEX('Input Contact Information'!$N$2:$N$200,P163)="","",INDEX('Input Contact Information'!$N$2:$N$200,P163))),IF(P163="","",IF(INDEX('Input Contact Information'!$M$2:$M$200,P163)="","",INDEX('Input Contact Information'!$M$2:$M$200,P163)))))</f>
        <v/>
      </c>
      <c r="R163" s="1" t="str">
        <f>IF(D163="","",IFERROR(MATCH(D163,'Accounts Overview'!$B$2:$B$100,0),""))</f>
        <v/>
      </c>
    </row>
    <row r="164" spans="1:18" ht="15" customHeight="1" x14ac:dyDescent="0.35">
      <c r="A164" s="13" t="str">
        <f t="shared" si="35"/>
        <v/>
      </c>
      <c r="B164" s="13" t="str">
        <f t="shared" si="36"/>
        <v/>
      </c>
      <c r="C164" s="1" t="str">
        <f>IFERROR(INDEX('Input Contact Information'!$C$2:$C$200,MATCH(ROW()-1,'Input Contact Information'!$V$2:$V$200,0)),"")</f>
        <v/>
      </c>
      <c r="D164" s="1" t="str">
        <f>IFERROR(INDEX('Input Contact Information'!$B$2:$B$200,MATCH(ROW()-1,'Input Contact Information'!$V$2:$V$200,0)),"")</f>
        <v/>
      </c>
      <c r="E164" s="1" t="str">
        <f>IF($C164="","",IF(R164="","",IF(INDEX('Accounts Overview'!$A$2:$A$100,R164)="","",INDEX('Accounts Overview'!$A$2:$A$100,R164))))</f>
        <v/>
      </c>
      <c r="F164" s="1" t="str">
        <f>IF($C164="","",IF(P164="","",IF(INDEX('Input Contact Information'!$D$2:$D$200,P164)="","",INDEX('Input Contact Information'!$D$2:$D$200,P164))))</f>
        <v/>
      </c>
      <c r="G164" s="1" t="str">
        <f>IF($C164="","",IF(P164="","",IF(INDEX('Input Contact Information'!$A$2:$A$200,P164)="","",INDEX('Input Contact Information'!$A$2:$A$200,P164))))</f>
        <v/>
      </c>
      <c r="H164" s="1" t="str">
        <f>IF($C164="","",IF(R164="","",IF(INDEX('Accounts Overview'!$I$2:$I$100,R164)="","",INDEX('Accounts Overview'!$I$2:$I$100,R164))))</f>
        <v/>
      </c>
      <c r="I164" s="1" t="str">
        <f t="shared" ca="1" si="37"/>
        <v/>
      </c>
      <c r="J164" s="12" t="str">
        <f>IF($C164="","",IF(P164="","",IF(INDEX('Input Contact Information'!$Q$2:$Q$200,P164)="","",INDEX('Input Contact Information'!$Q$2:$Q$200,P164))))</f>
        <v/>
      </c>
      <c r="K164" s="14" t="str">
        <f t="shared" ca="1" si="38"/>
        <v/>
      </c>
      <c r="L164" s="1" t="str">
        <f t="shared" si="39"/>
        <v/>
      </c>
      <c r="M164" s="1" t="str">
        <f t="shared" si="40"/>
        <v/>
      </c>
      <c r="N164" s="15">
        <f t="shared" ca="1" si="41"/>
        <v>46296</v>
      </c>
      <c r="O164" s="1" t="str">
        <f>IF($C164="","",IF(P164="","",IF(INDEX('Input Contact Information'!$R$2:$R$200,P164)="","",INDEX('Input Contact Information'!$R$2:$R$200,P164))))</f>
        <v/>
      </c>
      <c r="P164" s="1" t="str">
        <f>IF(C164="","",IFERROR(MATCH(C164&amp;"|"&amp;D164,'Input Contact Information'!$W$2:$W$200,0),""))</f>
        <v/>
      </c>
      <c r="Q164" s="1" t="str">
        <f>IF($C164="","",IF((IF(P164="","",IF(INDEX('Input Contact Information'!$N$2:$N$200,P164)="","",INDEX('Input Contact Information'!$N$2:$N$200,P164))))&lt;&gt;"",IF(P164="","",IF(INDEX('Input Contact Information'!$N$2:$N$200,P164)="","",INDEX('Input Contact Information'!$N$2:$N$200,P164))),IF(P164="","",IF(INDEX('Input Contact Information'!$M$2:$M$200,P164)="","",INDEX('Input Contact Information'!$M$2:$M$200,P164)))))</f>
        <v/>
      </c>
      <c r="R164" s="1" t="str">
        <f>IF(D164="","",IFERROR(MATCH(D164,'Accounts Overview'!$B$2:$B$100,0),""))</f>
        <v/>
      </c>
    </row>
    <row r="165" spans="1:18" ht="15" customHeight="1" x14ac:dyDescent="0.35">
      <c r="A165" s="13" t="str">
        <f t="shared" si="35"/>
        <v/>
      </c>
      <c r="B165" s="13" t="str">
        <f t="shared" si="36"/>
        <v/>
      </c>
      <c r="C165" s="1" t="str">
        <f>IFERROR(INDEX('Input Contact Information'!$C$2:$C$200,MATCH(ROW()-1,'Input Contact Information'!$V$2:$V$200,0)),"")</f>
        <v/>
      </c>
      <c r="D165" s="1" t="str">
        <f>IFERROR(INDEX('Input Contact Information'!$B$2:$B$200,MATCH(ROW()-1,'Input Contact Information'!$V$2:$V$200,0)),"")</f>
        <v/>
      </c>
      <c r="E165" s="1" t="str">
        <f>IF($C165="","",IF(R165="","",IF(INDEX('Accounts Overview'!$A$2:$A$100,R165)="","",INDEX('Accounts Overview'!$A$2:$A$100,R165))))</f>
        <v/>
      </c>
      <c r="F165" s="1" t="str">
        <f>IF($C165="","",IF(P165="","",IF(INDEX('Input Contact Information'!$D$2:$D$200,P165)="","",INDEX('Input Contact Information'!$D$2:$D$200,P165))))</f>
        <v/>
      </c>
      <c r="G165" s="1" t="str">
        <f>IF($C165="","",IF(P165="","",IF(INDEX('Input Contact Information'!$A$2:$A$200,P165)="","",INDEX('Input Contact Information'!$A$2:$A$200,P165))))</f>
        <v/>
      </c>
      <c r="H165" s="1" t="str">
        <f>IF($C165="","",IF(R165="","",IF(INDEX('Accounts Overview'!$I$2:$I$100,R165)="","",INDEX('Accounts Overview'!$I$2:$I$100,R165))))</f>
        <v/>
      </c>
      <c r="I165" s="1" t="str">
        <f t="shared" ca="1" si="37"/>
        <v/>
      </c>
      <c r="J165" s="12" t="str">
        <f>IF($C165="","",IF(P165="","",IF(INDEX('Input Contact Information'!$Q$2:$Q$200,P165)="","",INDEX('Input Contact Information'!$Q$2:$Q$200,P165))))</f>
        <v/>
      </c>
      <c r="K165" s="14" t="str">
        <f t="shared" ca="1" si="38"/>
        <v/>
      </c>
      <c r="L165" s="1" t="str">
        <f t="shared" si="39"/>
        <v/>
      </c>
      <c r="M165" s="1" t="str">
        <f t="shared" si="40"/>
        <v/>
      </c>
      <c r="N165" s="15">
        <f t="shared" ca="1" si="41"/>
        <v>46296</v>
      </c>
      <c r="O165" s="1" t="str">
        <f>IF($C165="","",IF(P165="","",IF(INDEX('Input Contact Information'!$R$2:$R$200,P165)="","",INDEX('Input Contact Information'!$R$2:$R$200,P165))))</f>
        <v/>
      </c>
      <c r="P165" s="1" t="str">
        <f>IF(C165="","",IFERROR(MATCH(C165&amp;"|"&amp;D165,'Input Contact Information'!$W$2:$W$200,0),""))</f>
        <v/>
      </c>
      <c r="Q165" s="1" t="str">
        <f>IF($C165="","",IF((IF(P165="","",IF(INDEX('Input Contact Information'!$N$2:$N$200,P165)="","",INDEX('Input Contact Information'!$N$2:$N$200,P165))))&lt;&gt;"",IF(P165="","",IF(INDEX('Input Contact Information'!$N$2:$N$200,P165)="","",INDEX('Input Contact Information'!$N$2:$N$200,P165))),IF(P165="","",IF(INDEX('Input Contact Information'!$M$2:$M$200,P165)="","",INDEX('Input Contact Information'!$M$2:$M$200,P165)))))</f>
        <v/>
      </c>
      <c r="R165" s="1" t="str">
        <f>IF(D165="","",IFERROR(MATCH(D165,'Accounts Overview'!$B$2:$B$100,0),""))</f>
        <v/>
      </c>
    </row>
    <row r="166" spans="1:18" ht="15" customHeight="1" x14ac:dyDescent="0.35">
      <c r="A166" s="13" t="str">
        <f t="shared" si="35"/>
        <v/>
      </c>
      <c r="B166" s="13" t="str">
        <f t="shared" si="36"/>
        <v/>
      </c>
      <c r="C166" s="1" t="str">
        <f>IFERROR(INDEX('Input Contact Information'!$C$2:$C$200,MATCH(ROW()-1,'Input Contact Information'!$V$2:$V$200,0)),"")</f>
        <v/>
      </c>
      <c r="D166" s="1" t="str">
        <f>IFERROR(INDEX('Input Contact Information'!$B$2:$B$200,MATCH(ROW()-1,'Input Contact Information'!$V$2:$V$200,0)),"")</f>
        <v/>
      </c>
      <c r="E166" s="1" t="str">
        <f>IF($C166="","",IF(R166="","",IF(INDEX('Accounts Overview'!$A$2:$A$100,R166)="","",INDEX('Accounts Overview'!$A$2:$A$100,R166))))</f>
        <v/>
      </c>
      <c r="F166" s="1" t="str">
        <f>IF($C166="","",IF(P166="","",IF(INDEX('Input Contact Information'!$D$2:$D$200,P166)="","",INDEX('Input Contact Information'!$D$2:$D$200,P166))))</f>
        <v/>
      </c>
      <c r="G166" s="1" t="str">
        <f>IF($C166="","",IF(P166="","",IF(INDEX('Input Contact Information'!$A$2:$A$200,P166)="","",INDEX('Input Contact Information'!$A$2:$A$200,P166))))</f>
        <v/>
      </c>
      <c r="H166" s="1" t="str">
        <f>IF($C166="","",IF(R166="","",IF(INDEX('Accounts Overview'!$I$2:$I$100,R166)="","",INDEX('Accounts Overview'!$I$2:$I$100,R166))))</f>
        <v/>
      </c>
      <c r="I166" s="1" t="str">
        <f t="shared" ca="1" si="37"/>
        <v/>
      </c>
      <c r="J166" s="12" t="str">
        <f>IF($C166="","",IF(P166="","",IF(INDEX('Input Contact Information'!$Q$2:$Q$200,P166)="","",INDEX('Input Contact Information'!$Q$2:$Q$200,P166))))</f>
        <v/>
      </c>
      <c r="K166" s="14" t="str">
        <f t="shared" ca="1" si="38"/>
        <v/>
      </c>
      <c r="L166" s="1" t="str">
        <f t="shared" si="39"/>
        <v/>
      </c>
      <c r="M166" s="1" t="str">
        <f t="shared" si="40"/>
        <v/>
      </c>
      <c r="N166" s="15">
        <f t="shared" ca="1" si="41"/>
        <v>46296</v>
      </c>
      <c r="O166" s="1" t="str">
        <f>IF($C166="","",IF(P166="","",IF(INDEX('Input Contact Information'!$R$2:$R$200,P166)="","",INDEX('Input Contact Information'!$R$2:$R$200,P166))))</f>
        <v/>
      </c>
      <c r="P166" s="1" t="str">
        <f>IF(C166="","",IFERROR(MATCH(C166&amp;"|"&amp;D166,'Input Contact Information'!$W$2:$W$200,0),""))</f>
        <v/>
      </c>
      <c r="Q166" s="1" t="str">
        <f>IF($C166="","",IF((IF(P166="","",IF(INDEX('Input Contact Information'!$N$2:$N$200,P166)="","",INDEX('Input Contact Information'!$N$2:$N$200,P166))))&lt;&gt;"",IF(P166="","",IF(INDEX('Input Contact Information'!$N$2:$N$200,P166)="","",INDEX('Input Contact Information'!$N$2:$N$200,P166))),IF(P166="","",IF(INDEX('Input Contact Information'!$M$2:$M$200,P166)="","",INDEX('Input Contact Information'!$M$2:$M$200,P166)))))</f>
        <v/>
      </c>
      <c r="R166" s="1" t="str">
        <f>IF(D166="","",IFERROR(MATCH(D166,'Accounts Overview'!$B$2:$B$100,0),""))</f>
        <v/>
      </c>
    </row>
    <row r="167" spans="1:18" ht="15" customHeight="1" x14ac:dyDescent="0.35">
      <c r="A167" s="13" t="str">
        <f t="shared" si="35"/>
        <v/>
      </c>
      <c r="B167" s="13" t="str">
        <f t="shared" si="36"/>
        <v/>
      </c>
      <c r="C167" s="1" t="str">
        <f>IFERROR(INDEX('Input Contact Information'!$C$2:$C$200,MATCH(ROW()-1,'Input Contact Information'!$V$2:$V$200,0)),"")</f>
        <v/>
      </c>
      <c r="D167" s="1" t="str">
        <f>IFERROR(INDEX('Input Contact Information'!$B$2:$B$200,MATCH(ROW()-1,'Input Contact Information'!$V$2:$V$200,0)),"")</f>
        <v/>
      </c>
      <c r="E167" s="1" t="str">
        <f>IF($C167="","",IF(R167="","",IF(INDEX('Accounts Overview'!$A$2:$A$100,R167)="","",INDEX('Accounts Overview'!$A$2:$A$100,R167))))</f>
        <v/>
      </c>
      <c r="F167" s="1" t="str">
        <f>IF($C167="","",IF(P167="","",IF(INDEX('Input Contact Information'!$D$2:$D$200,P167)="","",INDEX('Input Contact Information'!$D$2:$D$200,P167))))</f>
        <v/>
      </c>
      <c r="G167" s="1" t="str">
        <f>IF($C167="","",IF(P167="","",IF(INDEX('Input Contact Information'!$A$2:$A$200,P167)="","",INDEX('Input Contact Information'!$A$2:$A$200,P167))))</f>
        <v/>
      </c>
      <c r="H167" s="1" t="str">
        <f>IF($C167="","",IF(R167="","",IF(INDEX('Accounts Overview'!$I$2:$I$100,R167)="","",INDEX('Accounts Overview'!$I$2:$I$100,R167))))</f>
        <v/>
      </c>
      <c r="I167" s="1" t="str">
        <f t="shared" ca="1" si="37"/>
        <v/>
      </c>
      <c r="J167" s="12" t="str">
        <f>IF($C167="","",IF(P167="","",IF(INDEX('Input Contact Information'!$Q$2:$Q$200,P167)="","",INDEX('Input Contact Information'!$Q$2:$Q$200,P167))))</f>
        <v/>
      </c>
      <c r="K167" s="14" t="str">
        <f t="shared" ca="1" si="38"/>
        <v/>
      </c>
      <c r="L167" s="1" t="str">
        <f t="shared" si="39"/>
        <v/>
      </c>
      <c r="M167" s="1" t="str">
        <f t="shared" si="40"/>
        <v/>
      </c>
      <c r="N167" s="15">
        <f t="shared" ca="1" si="41"/>
        <v>46296</v>
      </c>
      <c r="O167" s="1" t="str">
        <f>IF($C167="","",IF(P167="","",IF(INDEX('Input Contact Information'!$R$2:$R$200,P167)="","",INDEX('Input Contact Information'!$R$2:$R$200,P167))))</f>
        <v/>
      </c>
      <c r="P167" s="1" t="str">
        <f>IF(C167="","",IFERROR(MATCH(C167&amp;"|"&amp;D167,'Input Contact Information'!$W$2:$W$200,0),""))</f>
        <v/>
      </c>
      <c r="Q167" s="1" t="str">
        <f>IF($C167="","",IF((IF(P167="","",IF(INDEX('Input Contact Information'!$N$2:$N$200,P167)="","",INDEX('Input Contact Information'!$N$2:$N$200,P167))))&lt;&gt;"",IF(P167="","",IF(INDEX('Input Contact Information'!$N$2:$N$200,P167)="","",INDEX('Input Contact Information'!$N$2:$N$200,P167))),IF(P167="","",IF(INDEX('Input Contact Information'!$M$2:$M$200,P167)="","",INDEX('Input Contact Information'!$M$2:$M$200,P167)))))</f>
        <v/>
      </c>
      <c r="R167" s="1" t="str">
        <f>IF(D167="","",IFERROR(MATCH(D167,'Accounts Overview'!$B$2:$B$100,0),""))</f>
        <v/>
      </c>
    </row>
    <row r="168" spans="1:18" ht="15" customHeight="1" x14ac:dyDescent="0.35">
      <c r="A168" s="13" t="str">
        <f t="shared" si="35"/>
        <v/>
      </c>
      <c r="B168" s="13" t="str">
        <f t="shared" si="36"/>
        <v/>
      </c>
      <c r="C168" s="1" t="str">
        <f>IFERROR(INDEX('Input Contact Information'!$C$2:$C$200,MATCH(ROW()-1,'Input Contact Information'!$V$2:$V$200,0)),"")</f>
        <v/>
      </c>
      <c r="D168" s="1" t="str">
        <f>IFERROR(INDEX('Input Contact Information'!$B$2:$B$200,MATCH(ROW()-1,'Input Contact Information'!$V$2:$V$200,0)),"")</f>
        <v/>
      </c>
      <c r="E168" s="1" t="str">
        <f>IF($C168="","",IF(R168="","",IF(INDEX('Accounts Overview'!$A$2:$A$100,R168)="","",INDEX('Accounts Overview'!$A$2:$A$100,R168))))</f>
        <v/>
      </c>
      <c r="F168" s="1" t="str">
        <f>IF($C168="","",IF(P168="","",IF(INDEX('Input Contact Information'!$D$2:$D$200,P168)="","",INDEX('Input Contact Information'!$D$2:$D$200,P168))))</f>
        <v/>
      </c>
      <c r="G168" s="1" t="str">
        <f>IF($C168="","",IF(P168="","",IF(INDEX('Input Contact Information'!$A$2:$A$200,P168)="","",INDEX('Input Contact Information'!$A$2:$A$200,P168))))</f>
        <v/>
      </c>
      <c r="H168" s="1" t="str">
        <f>IF($C168="","",IF(R168="","",IF(INDEX('Accounts Overview'!$I$2:$I$100,R168)="","",INDEX('Accounts Overview'!$I$2:$I$100,R168))))</f>
        <v/>
      </c>
      <c r="I168" s="1" t="str">
        <f t="shared" ca="1" si="37"/>
        <v/>
      </c>
      <c r="J168" s="12" t="str">
        <f>IF($C168="","",IF(P168="","",IF(INDEX('Input Contact Information'!$Q$2:$Q$200,P168)="","",INDEX('Input Contact Information'!$Q$2:$Q$200,P168))))</f>
        <v/>
      </c>
      <c r="K168" s="14" t="str">
        <f t="shared" ca="1" si="38"/>
        <v/>
      </c>
      <c r="L168" s="1" t="str">
        <f t="shared" si="39"/>
        <v/>
      </c>
      <c r="M168" s="1" t="str">
        <f t="shared" si="40"/>
        <v/>
      </c>
      <c r="N168" s="15">
        <f t="shared" ca="1" si="41"/>
        <v>46296</v>
      </c>
      <c r="O168" s="1" t="str">
        <f>IF($C168="","",IF(P168="","",IF(INDEX('Input Contact Information'!$R$2:$R$200,P168)="","",INDEX('Input Contact Information'!$R$2:$R$200,P168))))</f>
        <v/>
      </c>
      <c r="P168" s="1" t="str">
        <f>IF(C168="","",IFERROR(MATCH(C168&amp;"|"&amp;D168,'Input Contact Information'!$W$2:$W$200,0),""))</f>
        <v/>
      </c>
      <c r="Q168" s="1" t="str">
        <f>IF($C168="","",IF((IF(P168="","",IF(INDEX('Input Contact Information'!$N$2:$N$200,P168)="","",INDEX('Input Contact Information'!$N$2:$N$200,P168))))&lt;&gt;"",IF(P168="","",IF(INDEX('Input Contact Information'!$N$2:$N$200,P168)="","",INDEX('Input Contact Information'!$N$2:$N$200,P168))),IF(P168="","",IF(INDEX('Input Contact Information'!$M$2:$M$200,P168)="","",INDEX('Input Contact Information'!$M$2:$M$200,P168)))))</f>
        <v/>
      </c>
      <c r="R168" s="1" t="str">
        <f>IF(D168="","",IFERROR(MATCH(D168,'Accounts Overview'!$B$2:$B$100,0),""))</f>
        <v/>
      </c>
    </row>
    <row r="169" spans="1:18" ht="15" customHeight="1" x14ac:dyDescent="0.35">
      <c r="A169" s="13" t="str">
        <f t="shared" si="35"/>
        <v/>
      </c>
      <c r="B169" s="13" t="str">
        <f t="shared" si="36"/>
        <v/>
      </c>
      <c r="C169" s="1" t="str">
        <f>IFERROR(INDEX('Input Contact Information'!$C$2:$C$200,MATCH(ROW()-1,'Input Contact Information'!$V$2:$V$200,0)),"")</f>
        <v/>
      </c>
      <c r="D169" s="1" t="str">
        <f>IFERROR(INDEX('Input Contact Information'!$B$2:$B$200,MATCH(ROW()-1,'Input Contact Information'!$V$2:$V$200,0)),"")</f>
        <v/>
      </c>
      <c r="E169" s="1" t="str">
        <f>IF($C169="","",IF(R169="","",IF(INDEX('Accounts Overview'!$A$2:$A$100,R169)="","",INDEX('Accounts Overview'!$A$2:$A$100,R169))))</f>
        <v/>
      </c>
      <c r="F169" s="1" t="str">
        <f>IF($C169="","",IF(P169="","",IF(INDEX('Input Contact Information'!$D$2:$D$200,P169)="","",INDEX('Input Contact Information'!$D$2:$D$200,P169))))</f>
        <v/>
      </c>
      <c r="G169" s="1" t="str">
        <f>IF($C169="","",IF(P169="","",IF(INDEX('Input Contact Information'!$A$2:$A$200,P169)="","",INDEX('Input Contact Information'!$A$2:$A$200,P169))))</f>
        <v/>
      </c>
      <c r="H169" s="1" t="str">
        <f>IF($C169="","",IF(R169="","",IF(INDEX('Accounts Overview'!$I$2:$I$100,R169)="","",INDEX('Accounts Overview'!$I$2:$I$100,R169))))</f>
        <v/>
      </c>
      <c r="I169" s="1" t="str">
        <f t="shared" ca="1" si="37"/>
        <v/>
      </c>
      <c r="J169" s="12" t="str">
        <f>IF($C169="","",IF(P169="","",IF(INDEX('Input Contact Information'!$Q$2:$Q$200,P169)="","",INDEX('Input Contact Information'!$Q$2:$Q$200,P169))))</f>
        <v/>
      </c>
      <c r="K169" s="14" t="str">
        <f t="shared" ca="1" si="38"/>
        <v/>
      </c>
      <c r="L169" s="1" t="str">
        <f t="shared" si="39"/>
        <v/>
      </c>
      <c r="M169" s="1" t="str">
        <f t="shared" si="40"/>
        <v/>
      </c>
      <c r="N169" s="15">
        <f t="shared" ca="1" si="41"/>
        <v>46296</v>
      </c>
      <c r="O169" s="1" t="str">
        <f>IF($C169="","",IF(P169="","",IF(INDEX('Input Contact Information'!$R$2:$R$200,P169)="","",INDEX('Input Contact Information'!$R$2:$R$200,P169))))</f>
        <v/>
      </c>
      <c r="P169" s="1" t="str">
        <f>IF(C169="","",IFERROR(MATCH(C169&amp;"|"&amp;D169,'Input Contact Information'!$W$2:$W$200,0),""))</f>
        <v/>
      </c>
      <c r="Q169" s="1" t="str">
        <f>IF($C169="","",IF((IF(P169="","",IF(INDEX('Input Contact Information'!$N$2:$N$200,P169)="","",INDEX('Input Contact Information'!$N$2:$N$200,P169))))&lt;&gt;"",IF(P169="","",IF(INDEX('Input Contact Information'!$N$2:$N$200,P169)="","",INDEX('Input Contact Information'!$N$2:$N$200,P169))),IF(P169="","",IF(INDEX('Input Contact Information'!$M$2:$M$200,P169)="","",INDEX('Input Contact Information'!$M$2:$M$200,P169)))))</f>
        <v/>
      </c>
      <c r="R169" s="1" t="str">
        <f>IF(D169="","",IFERROR(MATCH(D169,'Accounts Overview'!$B$2:$B$100,0),""))</f>
        <v/>
      </c>
    </row>
    <row r="170" spans="1:18" ht="15" customHeight="1" x14ac:dyDescent="0.35">
      <c r="A170" s="13" t="str">
        <f t="shared" si="35"/>
        <v/>
      </c>
      <c r="B170" s="13" t="str">
        <f t="shared" si="36"/>
        <v/>
      </c>
      <c r="C170" s="1" t="str">
        <f>IFERROR(INDEX('Input Contact Information'!$C$2:$C$200,MATCH(ROW()-1,'Input Contact Information'!$V$2:$V$200,0)),"")</f>
        <v/>
      </c>
      <c r="D170" s="1" t="str">
        <f>IFERROR(INDEX('Input Contact Information'!$B$2:$B$200,MATCH(ROW()-1,'Input Contact Information'!$V$2:$V$200,0)),"")</f>
        <v/>
      </c>
      <c r="E170" s="1" t="str">
        <f>IF($C170="","",IF(R170="","",IF(INDEX('Accounts Overview'!$A$2:$A$100,R170)="","",INDEX('Accounts Overview'!$A$2:$A$100,R170))))</f>
        <v/>
      </c>
      <c r="F170" s="1" t="str">
        <f>IF($C170="","",IF(P170="","",IF(INDEX('Input Contact Information'!$D$2:$D$200,P170)="","",INDEX('Input Contact Information'!$D$2:$D$200,P170))))</f>
        <v/>
      </c>
      <c r="G170" s="1" t="str">
        <f>IF($C170="","",IF(P170="","",IF(INDEX('Input Contact Information'!$A$2:$A$200,P170)="","",INDEX('Input Contact Information'!$A$2:$A$200,P170))))</f>
        <v/>
      </c>
      <c r="H170" s="1" t="str">
        <f>IF($C170="","",IF(R170="","",IF(INDEX('Accounts Overview'!$I$2:$I$100,R170)="","",INDEX('Accounts Overview'!$I$2:$I$100,R170))))</f>
        <v/>
      </c>
      <c r="I170" s="1" t="str">
        <f t="shared" ca="1" si="37"/>
        <v/>
      </c>
      <c r="J170" s="12" t="str">
        <f>IF($C170="","",IF(P170="","",IF(INDEX('Input Contact Information'!$Q$2:$Q$200,P170)="","",INDEX('Input Contact Information'!$Q$2:$Q$200,P170))))</f>
        <v/>
      </c>
      <c r="K170" s="14" t="str">
        <f t="shared" ca="1" si="38"/>
        <v/>
      </c>
      <c r="L170" s="1" t="str">
        <f t="shared" si="39"/>
        <v/>
      </c>
      <c r="M170" s="1" t="str">
        <f t="shared" si="40"/>
        <v/>
      </c>
      <c r="N170" s="15">
        <f t="shared" ca="1" si="41"/>
        <v>46296</v>
      </c>
      <c r="O170" s="1" t="str">
        <f>IF($C170="","",IF(P170="","",IF(INDEX('Input Contact Information'!$R$2:$R$200,P170)="","",INDEX('Input Contact Information'!$R$2:$R$200,P170))))</f>
        <v/>
      </c>
      <c r="P170" s="1" t="str">
        <f>IF(C170="","",IFERROR(MATCH(C170&amp;"|"&amp;D170,'Input Contact Information'!$W$2:$W$200,0),""))</f>
        <v/>
      </c>
      <c r="Q170" s="1" t="str">
        <f>IF($C170="","",IF((IF(P170="","",IF(INDEX('Input Contact Information'!$N$2:$N$200,P170)="","",INDEX('Input Contact Information'!$N$2:$N$200,P170))))&lt;&gt;"",IF(P170="","",IF(INDEX('Input Contact Information'!$N$2:$N$200,P170)="","",INDEX('Input Contact Information'!$N$2:$N$200,P170))),IF(P170="","",IF(INDEX('Input Contact Information'!$M$2:$M$200,P170)="","",INDEX('Input Contact Information'!$M$2:$M$200,P170)))))</f>
        <v/>
      </c>
      <c r="R170" s="1" t="str">
        <f>IF(D170="","",IFERROR(MATCH(D170,'Accounts Overview'!$B$2:$B$100,0),""))</f>
        <v/>
      </c>
    </row>
    <row r="171" spans="1:18" ht="15" customHeight="1" x14ac:dyDescent="0.35">
      <c r="A171" s="13" t="str">
        <f t="shared" si="35"/>
        <v/>
      </c>
      <c r="B171" s="13" t="str">
        <f t="shared" si="36"/>
        <v/>
      </c>
      <c r="C171" s="1" t="str">
        <f>IFERROR(INDEX('Input Contact Information'!$C$2:$C$200,MATCH(ROW()-1,'Input Contact Information'!$V$2:$V$200,0)),"")</f>
        <v/>
      </c>
      <c r="D171" s="1" t="str">
        <f>IFERROR(INDEX('Input Contact Information'!$B$2:$B$200,MATCH(ROW()-1,'Input Contact Information'!$V$2:$V$200,0)),"")</f>
        <v/>
      </c>
      <c r="E171" s="1" t="str">
        <f>IF($C171="","",IF(R171="","",IF(INDEX('Accounts Overview'!$A$2:$A$100,R171)="","",INDEX('Accounts Overview'!$A$2:$A$100,R171))))</f>
        <v/>
      </c>
      <c r="F171" s="1" t="str">
        <f>IF($C171="","",IF(P171="","",IF(INDEX('Input Contact Information'!$D$2:$D$200,P171)="","",INDEX('Input Contact Information'!$D$2:$D$200,P171))))</f>
        <v/>
      </c>
      <c r="G171" s="1" t="str">
        <f>IF($C171="","",IF(P171="","",IF(INDEX('Input Contact Information'!$A$2:$A$200,P171)="","",INDEX('Input Contact Information'!$A$2:$A$200,P171))))</f>
        <v/>
      </c>
      <c r="H171" s="1" t="str">
        <f>IF($C171="","",IF(R171="","",IF(INDEX('Accounts Overview'!$I$2:$I$100,R171)="","",INDEX('Accounts Overview'!$I$2:$I$100,R171))))</f>
        <v/>
      </c>
      <c r="I171" s="1" t="str">
        <f t="shared" ca="1" si="37"/>
        <v/>
      </c>
      <c r="J171" s="12" t="str">
        <f>IF($C171="","",IF(P171="","",IF(INDEX('Input Contact Information'!$Q$2:$Q$200,P171)="","",INDEX('Input Contact Information'!$Q$2:$Q$200,P171))))</f>
        <v/>
      </c>
      <c r="K171" s="14" t="str">
        <f t="shared" ca="1" si="38"/>
        <v/>
      </c>
      <c r="L171" s="1" t="str">
        <f t="shared" si="39"/>
        <v/>
      </c>
      <c r="M171" s="1" t="str">
        <f t="shared" si="40"/>
        <v/>
      </c>
      <c r="N171" s="15">
        <f t="shared" ca="1" si="41"/>
        <v>46296</v>
      </c>
      <c r="O171" s="1" t="str">
        <f>IF($C171="","",IF(P171="","",IF(INDEX('Input Contact Information'!$R$2:$R$200,P171)="","",INDEX('Input Contact Information'!$R$2:$R$200,P171))))</f>
        <v/>
      </c>
      <c r="P171" s="1" t="str">
        <f>IF(C171="","",IFERROR(MATCH(C171&amp;"|"&amp;D171,'Input Contact Information'!$W$2:$W$200,0),""))</f>
        <v/>
      </c>
      <c r="Q171" s="1" t="str">
        <f>IF($C171="","",IF((IF(P171="","",IF(INDEX('Input Contact Information'!$N$2:$N$200,P171)="","",INDEX('Input Contact Information'!$N$2:$N$200,P171))))&lt;&gt;"",IF(P171="","",IF(INDEX('Input Contact Information'!$N$2:$N$200,P171)="","",INDEX('Input Contact Information'!$N$2:$N$200,P171))),IF(P171="","",IF(INDEX('Input Contact Information'!$M$2:$M$200,P171)="","",INDEX('Input Contact Information'!$M$2:$M$200,P171)))))</f>
        <v/>
      </c>
      <c r="R171" s="1" t="str">
        <f>IF(D171="","",IFERROR(MATCH(D171,'Accounts Overview'!$B$2:$B$100,0),""))</f>
        <v/>
      </c>
    </row>
    <row r="172" spans="1:18" ht="15" customHeight="1" x14ac:dyDescent="0.35">
      <c r="A172" s="13" t="str">
        <f t="shared" si="35"/>
        <v/>
      </c>
      <c r="B172" s="13" t="str">
        <f t="shared" si="36"/>
        <v/>
      </c>
      <c r="C172" s="1" t="str">
        <f>IFERROR(INDEX('Input Contact Information'!$C$2:$C$200,MATCH(ROW()-1,'Input Contact Information'!$V$2:$V$200,0)),"")</f>
        <v/>
      </c>
      <c r="D172" s="1" t="str">
        <f>IFERROR(INDEX('Input Contact Information'!$B$2:$B$200,MATCH(ROW()-1,'Input Contact Information'!$V$2:$V$200,0)),"")</f>
        <v/>
      </c>
      <c r="E172" s="1" t="str">
        <f>IF($C172="","",IF(R172="","",IF(INDEX('Accounts Overview'!$A$2:$A$100,R172)="","",INDEX('Accounts Overview'!$A$2:$A$100,R172))))</f>
        <v/>
      </c>
      <c r="F172" s="1" t="str">
        <f>IF($C172="","",IF(P172="","",IF(INDEX('Input Contact Information'!$D$2:$D$200,P172)="","",INDEX('Input Contact Information'!$D$2:$D$200,P172))))</f>
        <v/>
      </c>
      <c r="G172" s="1" t="str">
        <f>IF($C172="","",IF(P172="","",IF(INDEX('Input Contact Information'!$A$2:$A$200,P172)="","",INDEX('Input Contact Information'!$A$2:$A$200,P172))))</f>
        <v/>
      </c>
      <c r="H172" s="1" t="str">
        <f>IF($C172="","",IF(R172="","",IF(INDEX('Accounts Overview'!$I$2:$I$100,R172)="","",INDEX('Accounts Overview'!$I$2:$I$100,R172))))</f>
        <v/>
      </c>
      <c r="I172" s="1" t="str">
        <f t="shared" ca="1" si="37"/>
        <v/>
      </c>
      <c r="J172" s="12" t="str">
        <f>IF($C172="","",IF(P172="","",IF(INDEX('Input Contact Information'!$Q$2:$Q$200,P172)="","",INDEX('Input Contact Information'!$Q$2:$Q$200,P172))))</f>
        <v/>
      </c>
      <c r="K172" s="14" t="str">
        <f t="shared" ca="1" si="38"/>
        <v/>
      </c>
      <c r="L172" s="1" t="str">
        <f t="shared" si="39"/>
        <v/>
      </c>
      <c r="M172" s="1" t="str">
        <f t="shared" si="40"/>
        <v/>
      </c>
      <c r="N172" s="15">
        <f t="shared" ca="1" si="41"/>
        <v>46296</v>
      </c>
      <c r="O172" s="1" t="str">
        <f>IF($C172="","",IF(P172="","",IF(INDEX('Input Contact Information'!$R$2:$R$200,P172)="","",INDEX('Input Contact Information'!$R$2:$R$200,P172))))</f>
        <v/>
      </c>
      <c r="P172" s="1" t="str">
        <f>IF(C172="","",IFERROR(MATCH(C172&amp;"|"&amp;D172,'Input Contact Information'!$W$2:$W$200,0),""))</f>
        <v/>
      </c>
      <c r="Q172" s="1" t="str">
        <f>IF($C172="","",IF((IF(P172="","",IF(INDEX('Input Contact Information'!$N$2:$N$200,P172)="","",INDEX('Input Contact Information'!$N$2:$N$200,P172))))&lt;&gt;"",IF(P172="","",IF(INDEX('Input Contact Information'!$N$2:$N$200,P172)="","",INDEX('Input Contact Information'!$N$2:$N$200,P172))),IF(P172="","",IF(INDEX('Input Contact Information'!$M$2:$M$200,P172)="","",INDEX('Input Contact Information'!$M$2:$M$200,P172)))))</f>
        <v/>
      </c>
      <c r="R172" s="1" t="str">
        <f>IF(D172="","",IFERROR(MATCH(D172,'Accounts Overview'!$B$2:$B$100,0),""))</f>
        <v/>
      </c>
    </row>
    <row r="173" spans="1:18" ht="15" customHeight="1" x14ac:dyDescent="0.35">
      <c r="A173" s="13" t="str">
        <f t="shared" si="35"/>
        <v/>
      </c>
      <c r="B173" s="13" t="str">
        <f t="shared" si="36"/>
        <v/>
      </c>
      <c r="C173" s="1" t="str">
        <f>IFERROR(INDEX('Input Contact Information'!$C$2:$C$200,MATCH(ROW()-1,'Input Contact Information'!$V$2:$V$200,0)),"")</f>
        <v/>
      </c>
      <c r="D173" s="1" t="str">
        <f>IFERROR(INDEX('Input Contact Information'!$B$2:$B$200,MATCH(ROW()-1,'Input Contact Information'!$V$2:$V$200,0)),"")</f>
        <v/>
      </c>
      <c r="E173" s="1" t="str">
        <f>IF($C173="","",IF(R173="","",IF(INDEX('Accounts Overview'!$A$2:$A$100,R173)="","",INDEX('Accounts Overview'!$A$2:$A$100,R173))))</f>
        <v/>
      </c>
      <c r="F173" s="1" t="str">
        <f>IF($C173="","",IF(P173="","",IF(INDEX('Input Contact Information'!$D$2:$D$200,P173)="","",INDEX('Input Contact Information'!$D$2:$D$200,P173))))</f>
        <v/>
      </c>
      <c r="G173" s="1" t="str">
        <f>IF($C173="","",IF(P173="","",IF(INDEX('Input Contact Information'!$A$2:$A$200,P173)="","",INDEX('Input Contact Information'!$A$2:$A$200,P173))))</f>
        <v/>
      </c>
      <c r="H173" s="1" t="str">
        <f>IF($C173="","",IF(R173="","",IF(INDEX('Accounts Overview'!$I$2:$I$100,R173)="","",INDEX('Accounts Overview'!$I$2:$I$100,R173))))</f>
        <v/>
      </c>
      <c r="I173" s="1" t="str">
        <f t="shared" ca="1" si="37"/>
        <v/>
      </c>
      <c r="J173" s="12" t="str">
        <f>IF($C173="","",IF(P173="","",IF(INDEX('Input Contact Information'!$Q$2:$Q$200,P173)="","",INDEX('Input Contact Information'!$Q$2:$Q$200,P173))))</f>
        <v/>
      </c>
      <c r="K173" s="14" t="str">
        <f t="shared" ca="1" si="38"/>
        <v/>
      </c>
      <c r="L173" s="1" t="str">
        <f t="shared" si="39"/>
        <v/>
      </c>
      <c r="M173" s="1" t="str">
        <f t="shared" si="40"/>
        <v/>
      </c>
      <c r="N173" s="15">
        <f t="shared" ca="1" si="41"/>
        <v>46296</v>
      </c>
      <c r="O173" s="1" t="str">
        <f>IF($C173="","",IF(P173="","",IF(INDEX('Input Contact Information'!$R$2:$R$200,P173)="","",INDEX('Input Contact Information'!$R$2:$R$200,P173))))</f>
        <v/>
      </c>
      <c r="P173" s="1" t="str">
        <f>IF(C173="","",IFERROR(MATCH(C173&amp;"|"&amp;D173,'Input Contact Information'!$W$2:$W$200,0),""))</f>
        <v/>
      </c>
      <c r="Q173" s="1" t="str">
        <f>IF($C173="","",IF((IF(P173="","",IF(INDEX('Input Contact Information'!$N$2:$N$200,P173)="","",INDEX('Input Contact Information'!$N$2:$N$200,P173))))&lt;&gt;"",IF(P173="","",IF(INDEX('Input Contact Information'!$N$2:$N$200,P173)="","",INDEX('Input Contact Information'!$N$2:$N$200,P173))),IF(P173="","",IF(INDEX('Input Contact Information'!$M$2:$M$200,P173)="","",INDEX('Input Contact Information'!$M$2:$M$200,P173)))))</f>
        <v/>
      </c>
      <c r="R173" s="1" t="str">
        <f>IF(D173="","",IFERROR(MATCH(D173,'Accounts Overview'!$B$2:$B$100,0),""))</f>
        <v/>
      </c>
    </row>
    <row r="174" spans="1:18" ht="15" customHeight="1" x14ac:dyDescent="0.35">
      <c r="A174" s="13" t="str">
        <f t="shared" si="35"/>
        <v/>
      </c>
      <c r="B174" s="13" t="str">
        <f t="shared" si="36"/>
        <v/>
      </c>
      <c r="C174" s="1" t="str">
        <f>IFERROR(INDEX('Input Contact Information'!$C$2:$C$200,MATCH(ROW()-1,'Input Contact Information'!$V$2:$V$200,0)),"")</f>
        <v/>
      </c>
      <c r="D174" s="1" t="str">
        <f>IFERROR(INDEX('Input Contact Information'!$B$2:$B$200,MATCH(ROW()-1,'Input Contact Information'!$V$2:$V$200,0)),"")</f>
        <v/>
      </c>
      <c r="E174" s="1" t="str">
        <f>IF($C174="","",IF(R174="","",IF(INDEX('Accounts Overview'!$A$2:$A$100,R174)="","",INDEX('Accounts Overview'!$A$2:$A$100,R174))))</f>
        <v/>
      </c>
      <c r="F174" s="1" t="str">
        <f>IF($C174="","",IF(P174="","",IF(INDEX('Input Contact Information'!$D$2:$D$200,P174)="","",INDEX('Input Contact Information'!$D$2:$D$200,P174))))</f>
        <v/>
      </c>
      <c r="G174" s="1" t="str">
        <f>IF($C174="","",IF(P174="","",IF(INDEX('Input Contact Information'!$A$2:$A$200,P174)="","",INDEX('Input Contact Information'!$A$2:$A$200,P174))))</f>
        <v/>
      </c>
      <c r="H174" s="1" t="str">
        <f>IF($C174="","",IF(R174="","",IF(INDEX('Accounts Overview'!$I$2:$I$100,R174)="","",INDEX('Accounts Overview'!$I$2:$I$100,R174))))</f>
        <v/>
      </c>
      <c r="I174" s="1" t="str">
        <f t="shared" ca="1" si="37"/>
        <v/>
      </c>
      <c r="J174" s="12" t="str">
        <f>IF($C174="","",IF(P174="","",IF(INDEX('Input Contact Information'!$Q$2:$Q$200,P174)="","",INDEX('Input Contact Information'!$Q$2:$Q$200,P174))))</f>
        <v/>
      </c>
      <c r="K174" s="14" t="str">
        <f t="shared" ca="1" si="38"/>
        <v/>
      </c>
      <c r="L174" s="1" t="str">
        <f t="shared" si="39"/>
        <v/>
      </c>
      <c r="M174" s="1" t="str">
        <f t="shared" si="40"/>
        <v/>
      </c>
      <c r="N174" s="15">
        <f t="shared" ca="1" si="41"/>
        <v>46296</v>
      </c>
      <c r="O174" s="1" t="str">
        <f>IF($C174="","",IF(P174="","",IF(INDEX('Input Contact Information'!$R$2:$R$200,P174)="","",INDEX('Input Contact Information'!$R$2:$R$200,P174))))</f>
        <v/>
      </c>
      <c r="P174" s="1" t="str">
        <f>IF(C174="","",IFERROR(MATCH(C174&amp;"|"&amp;D174,'Input Contact Information'!$W$2:$W$200,0),""))</f>
        <v/>
      </c>
      <c r="Q174" s="1" t="str">
        <f>IF($C174="","",IF((IF(P174="","",IF(INDEX('Input Contact Information'!$N$2:$N$200,P174)="","",INDEX('Input Contact Information'!$N$2:$N$200,P174))))&lt;&gt;"",IF(P174="","",IF(INDEX('Input Contact Information'!$N$2:$N$200,P174)="","",INDEX('Input Contact Information'!$N$2:$N$200,P174))),IF(P174="","",IF(INDEX('Input Contact Information'!$M$2:$M$200,P174)="","",INDEX('Input Contact Information'!$M$2:$M$200,P174)))))</f>
        <v/>
      </c>
      <c r="R174" s="1" t="str">
        <f>IF(D174="","",IFERROR(MATCH(D174,'Accounts Overview'!$B$2:$B$100,0),""))</f>
        <v/>
      </c>
    </row>
    <row r="175" spans="1:18" ht="15" customHeight="1" x14ac:dyDescent="0.35">
      <c r="A175" s="13" t="str">
        <f t="shared" si="35"/>
        <v/>
      </c>
      <c r="B175" s="13" t="str">
        <f t="shared" si="36"/>
        <v/>
      </c>
      <c r="C175" s="1" t="str">
        <f>IFERROR(INDEX('Input Contact Information'!$C$2:$C$200,MATCH(ROW()-1,'Input Contact Information'!$V$2:$V$200,0)),"")</f>
        <v/>
      </c>
      <c r="D175" s="1" t="str">
        <f>IFERROR(INDEX('Input Contact Information'!$B$2:$B$200,MATCH(ROW()-1,'Input Contact Information'!$V$2:$V$200,0)),"")</f>
        <v/>
      </c>
      <c r="E175" s="1" t="str">
        <f>IF($C175="","",IF(R175="","",IF(INDEX('Accounts Overview'!$A$2:$A$100,R175)="","",INDEX('Accounts Overview'!$A$2:$A$100,R175))))</f>
        <v/>
      </c>
      <c r="F175" s="1" t="str">
        <f>IF($C175="","",IF(P175="","",IF(INDEX('Input Contact Information'!$D$2:$D$200,P175)="","",INDEX('Input Contact Information'!$D$2:$D$200,P175))))</f>
        <v/>
      </c>
      <c r="G175" s="1" t="str">
        <f>IF($C175="","",IF(P175="","",IF(INDEX('Input Contact Information'!$A$2:$A$200,P175)="","",INDEX('Input Contact Information'!$A$2:$A$200,P175))))</f>
        <v/>
      </c>
      <c r="H175" s="1" t="str">
        <f>IF($C175="","",IF(R175="","",IF(INDEX('Accounts Overview'!$I$2:$I$100,R175)="","",INDEX('Accounts Overview'!$I$2:$I$100,R175))))</f>
        <v/>
      </c>
      <c r="I175" s="1" t="str">
        <f t="shared" ca="1" si="37"/>
        <v/>
      </c>
      <c r="J175" s="12" t="str">
        <f>IF($C175="","",IF(P175="","",IF(INDEX('Input Contact Information'!$Q$2:$Q$200,P175)="","",INDEX('Input Contact Information'!$Q$2:$Q$200,P175))))</f>
        <v/>
      </c>
      <c r="K175" s="14" t="str">
        <f t="shared" ca="1" si="38"/>
        <v/>
      </c>
      <c r="L175" s="1" t="str">
        <f t="shared" si="39"/>
        <v/>
      </c>
      <c r="M175" s="1" t="str">
        <f t="shared" si="40"/>
        <v/>
      </c>
      <c r="N175" s="15">
        <f t="shared" ca="1" si="41"/>
        <v>46296</v>
      </c>
      <c r="O175" s="1" t="str">
        <f>IF($C175="","",IF(P175="","",IF(INDEX('Input Contact Information'!$R$2:$R$200,P175)="","",INDEX('Input Contact Information'!$R$2:$R$200,P175))))</f>
        <v/>
      </c>
      <c r="P175" s="1" t="str">
        <f>IF(C175="","",IFERROR(MATCH(C175&amp;"|"&amp;D175,'Input Contact Information'!$W$2:$W$200,0),""))</f>
        <v/>
      </c>
      <c r="Q175" s="1" t="str">
        <f>IF($C175="","",IF((IF(P175="","",IF(INDEX('Input Contact Information'!$N$2:$N$200,P175)="","",INDEX('Input Contact Information'!$N$2:$N$200,P175))))&lt;&gt;"",IF(P175="","",IF(INDEX('Input Contact Information'!$N$2:$N$200,P175)="","",INDEX('Input Contact Information'!$N$2:$N$200,P175))),IF(P175="","",IF(INDEX('Input Contact Information'!$M$2:$M$200,P175)="","",INDEX('Input Contact Information'!$M$2:$M$200,P175)))))</f>
        <v/>
      </c>
      <c r="R175" s="1" t="str">
        <f>IF(D175="","",IFERROR(MATCH(D175,'Accounts Overview'!$B$2:$B$100,0),""))</f>
        <v/>
      </c>
    </row>
    <row r="176" spans="1:18" ht="15" customHeight="1" x14ac:dyDescent="0.35">
      <c r="A176" s="13" t="str">
        <f t="shared" si="35"/>
        <v/>
      </c>
      <c r="B176" s="13" t="str">
        <f t="shared" si="36"/>
        <v/>
      </c>
      <c r="C176" s="1" t="str">
        <f>IFERROR(INDEX('Input Contact Information'!$C$2:$C$200,MATCH(ROW()-1,'Input Contact Information'!$V$2:$V$200,0)),"")</f>
        <v/>
      </c>
      <c r="D176" s="1" t="str">
        <f>IFERROR(INDEX('Input Contact Information'!$B$2:$B$200,MATCH(ROW()-1,'Input Contact Information'!$V$2:$V$200,0)),"")</f>
        <v/>
      </c>
      <c r="E176" s="1" t="str">
        <f>IF($C176="","",IF(R176="","",IF(INDEX('Accounts Overview'!$A$2:$A$100,R176)="","",INDEX('Accounts Overview'!$A$2:$A$100,R176))))</f>
        <v/>
      </c>
      <c r="F176" s="1" t="str">
        <f>IF($C176="","",IF(P176="","",IF(INDEX('Input Contact Information'!$D$2:$D$200,P176)="","",INDEX('Input Contact Information'!$D$2:$D$200,P176))))</f>
        <v/>
      </c>
      <c r="G176" s="1" t="str">
        <f>IF($C176="","",IF(P176="","",IF(INDEX('Input Contact Information'!$A$2:$A$200,P176)="","",INDEX('Input Contact Information'!$A$2:$A$200,P176))))</f>
        <v/>
      </c>
      <c r="H176" s="1" t="str">
        <f>IF($C176="","",IF(R176="","",IF(INDEX('Accounts Overview'!$I$2:$I$100,R176)="","",INDEX('Accounts Overview'!$I$2:$I$100,R176))))</f>
        <v/>
      </c>
      <c r="I176" s="1" t="str">
        <f t="shared" ca="1" si="37"/>
        <v/>
      </c>
      <c r="J176" s="12" t="str">
        <f>IF($C176="","",IF(P176="","",IF(INDEX('Input Contact Information'!$Q$2:$Q$200,P176)="","",INDEX('Input Contact Information'!$Q$2:$Q$200,P176))))</f>
        <v/>
      </c>
      <c r="K176" s="14" t="str">
        <f t="shared" ca="1" si="38"/>
        <v/>
      </c>
      <c r="L176" s="1" t="str">
        <f t="shared" si="39"/>
        <v/>
      </c>
      <c r="M176" s="1" t="str">
        <f t="shared" si="40"/>
        <v/>
      </c>
      <c r="N176" s="15">
        <f t="shared" ca="1" si="41"/>
        <v>46296</v>
      </c>
      <c r="O176" s="1" t="str">
        <f>IF($C176="","",IF(P176="","",IF(INDEX('Input Contact Information'!$R$2:$R$200,P176)="","",INDEX('Input Contact Information'!$R$2:$R$200,P176))))</f>
        <v/>
      </c>
      <c r="P176" s="1" t="str">
        <f>IF(C176="","",IFERROR(MATCH(C176&amp;"|"&amp;D176,'Input Contact Information'!$W$2:$W$200,0),""))</f>
        <v/>
      </c>
      <c r="Q176" s="1" t="str">
        <f>IF($C176="","",IF((IF(P176="","",IF(INDEX('Input Contact Information'!$N$2:$N$200,P176)="","",INDEX('Input Contact Information'!$N$2:$N$200,P176))))&lt;&gt;"",IF(P176="","",IF(INDEX('Input Contact Information'!$N$2:$N$200,P176)="","",INDEX('Input Contact Information'!$N$2:$N$200,P176))),IF(P176="","",IF(INDEX('Input Contact Information'!$M$2:$M$200,P176)="","",INDEX('Input Contact Information'!$M$2:$M$200,P176)))))</f>
        <v/>
      </c>
      <c r="R176" s="1" t="str">
        <f>IF(D176="","",IFERROR(MATCH(D176,'Accounts Overview'!$B$2:$B$100,0),""))</f>
        <v/>
      </c>
    </row>
    <row r="177" spans="1:18" ht="15" customHeight="1" x14ac:dyDescent="0.35">
      <c r="A177" s="13" t="str">
        <f t="shared" si="35"/>
        <v/>
      </c>
      <c r="B177" s="13" t="str">
        <f t="shared" si="36"/>
        <v/>
      </c>
      <c r="C177" s="1" t="str">
        <f>IFERROR(INDEX('Input Contact Information'!$C$2:$C$200,MATCH(ROW()-1,'Input Contact Information'!$V$2:$V$200,0)),"")</f>
        <v/>
      </c>
      <c r="D177" s="1" t="str">
        <f>IFERROR(INDEX('Input Contact Information'!$B$2:$B$200,MATCH(ROW()-1,'Input Contact Information'!$V$2:$V$200,0)),"")</f>
        <v/>
      </c>
      <c r="E177" s="1" t="str">
        <f>IF($C177="","",IF(R177="","",IF(INDEX('Accounts Overview'!$A$2:$A$100,R177)="","",INDEX('Accounts Overview'!$A$2:$A$100,R177))))</f>
        <v/>
      </c>
      <c r="F177" s="1" t="str">
        <f>IF($C177="","",IF(P177="","",IF(INDEX('Input Contact Information'!$D$2:$D$200,P177)="","",INDEX('Input Contact Information'!$D$2:$D$200,P177))))</f>
        <v/>
      </c>
      <c r="G177" s="1" t="str">
        <f>IF($C177="","",IF(P177="","",IF(INDEX('Input Contact Information'!$A$2:$A$200,P177)="","",INDEX('Input Contact Information'!$A$2:$A$200,P177))))</f>
        <v/>
      </c>
      <c r="H177" s="1" t="str">
        <f>IF($C177="","",IF(R177="","",IF(INDEX('Accounts Overview'!$I$2:$I$100,R177)="","",INDEX('Accounts Overview'!$I$2:$I$100,R177))))</f>
        <v/>
      </c>
      <c r="I177" s="1" t="str">
        <f t="shared" ca="1" si="37"/>
        <v/>
      </c>
      <c r="J177" s="12" t="str">
        <f>IF($C177="","",IF(P177="","",IF(INDEX('Input Contact Information'!$Q$2:$Q$200,P177)="","",INDEX('Input Contact Information'!$Q$2:$Q$200,P177))))</f>
        <v/>
      </c>
      <c r="K177" s="14" t="str">
        <f t="shared" ca="1" si="38"/>
        <v/>
      </c>
      <c r="L177" s="1" t="str">
        <f t="shared" si="39"/>
        <v/>
      </c>
      <c r="M177" s="1" t="str">
        <f t="shared" si="40"/>
        <v/>
      </c>
      <c r="N177" s="15">
        <f t="shared" ca="1" si="41"/>
        <v>46296</v>
      </c>
      <c r="O177" s="1" t="str">
        <f>IF($C177="","",IF(P177="","",IF(INDEX('Input Contact Information'!$R$2:$R$200,P177)="","",INDEX('Input Contact Information'!$R$2:$R$200,P177))))</f>
        <v/>
      </c>
      <c r="P177" s="1" t="str">
        <f>IF(C177="","",IFERROR(MATCH(C177&amp;"|"&amp;D177,'Input Contact Information'!$W$2:$W$200,0),""))</f>
        <v/>
      </c>
      <c r="Q177" s="1" t="str">
        <f>IF($C177="","",IF((IF(P177="","",IF(INDEX('Input Contact Information'!$N$2:$N$200,P177)="","",INDEX('Input Contact Information'!$N$2:$N$200,P177))))&lt;&gt;"",IF(P177="","",IF(INDEX('Input Contact Information'!$N$2:$N$200,P177)="","",INDEX('Input Contact Information'!$N$2:$N$200,P177))),IF(P177="","",IF(INDEX('Input Contact Information'!$M$2:$M$200,P177)="","",INDEX('Input Contact Information'!$M$2:$M$200,P177)))))</f>
        <v/>
      </c>
      <c r="R177" s="1" t="str">
        <f>IF(D177="","",IFERROR(MATCH(D177,'Accounts Overview'!$B$2:$B$100,0),""))</f>
        <v/>
      </c>
    </row>
    <row r="178" spans="1:18" ht="15" customHeight="1" x14ac:dyDescent="0.35">
      <c r="A178" s="13" t="str">
        <f t="shared" si="35"/>
        <v/>
      </c>
      <c r="B178" s="13" t="str">
        <f t="shared" si="36"/>
        <v/>
      </c>
      <c r="C178" s="1" t="str">
        <f>IFERROR(INDEX('Input Contact Information'!$C$2:$C$200,MATCH(ROW()-1,'Input Contact Information'!$V$2:$V$200,0)),"")</f>
        <v/>
      </c>
      <c r="D178" s="1" t="str">
        <f>IFERROR(INDEX('Input Contact Information'!$B$2:$B$200,MATCH(ROW()-1,'Input Contact Information'!$V$2:$V$200,0)),"")</f>
        <v/>
      </c>
      <c r="E178" s="1" t="str">
        <f>IF($C178="","",IF(R178="","",IF(INDEX('Accounts Overview'!$A$2:$A$100,R178)="","",INDEX('Accounts Overview'!$A$2:$A$100,R178))))</f>
        <v/>
      </c>
      <c r="F178" s="1" t="str">
        <f>IF($C178="","",IF(P178="","",IF(INDEX('Input Contact Information'!$D$2:$D$200,P178)="","",INDEX('Input Contact Information'!$D$2:$D$200,P178))))</f>
        <v/>
      </c>
      <c r="G178" s="1" t="str">
        <f>IF($C178="","",IF(P178="","",IF(INDEX('Input Contact Information'!$A$2:$A$200,P178)="","",INDEX('Input Contact Information'!$A$2:$A$200,P178))))</f>
        <v/>
      </c>
      <c r="H178" s="1" t="str">
        <f>IF($C178="","",IF(R178="","",IF(INDEX('Accounts Overview'!$I$2:$I$100,R178)="","",INDEX('Accounts Overview'!$I$2:$I$100,R178))))</f>
        <v/>
      </c>
      <c r="I178" s="1" t="str">
        <f t="shared" ca="1" si="37"/>
        <v/>
      </c>
      <c r="J178" s="12" t="str">
        <f>IF($C178="","",IF(P178="","",IF(INDEX('Input Contact Information'!$Q$2:$Q$200,P178)="","",INDEX('Input Contact Information'!$Q$2:$Q$200,P178))))</f>
        <v/>
      </c>
      <c r="K178" s="14" t="str">
        <f t="shared" ca="1" si="38"/>
        <v/>
      </c>
      <c r="L178" s="1" t="str">
        <f t="shared" si="39"/>
        <v/>
      </c>
      <c r="M178" s="1" t="str">
        <f t="shared" si="40"/>
        <v/>
      </c>
      <c r="N178" s="15">
        <f t="shared" ca="1" si="41"/>
        <v>46296</v>
      </c>
      <c r="O178" s="1" t="str">
        <f>IF($C178="","",IF(P178="","",IF(INDEX('Input Contact Information'!$R$2:$R$200,P178)="","",INDEX('Input Contact Information'!$R$2:$R$200,P178))))</f>
        <v/>
      </c>
      <c r="P178" s="1" t="str">
        <f>IF(C178="","",IFERROR(MATCH(C178&amp;"|"&amp;D178,'Input Contact Information'!$W$2:$W$200,0),""))</f>
        <v/>
      </c>
      <c r="Q178" s="1" t="str">
        <f>IF($C178="","",IF((IF(P178="","",IF(INDEX('Input Contact Information'!$N$2:$N$200,P178)="","",INDEX('Input Contact Information'!$N$2:$N$200,P178))))&lt;&gt;"",IF(P178="","",IF(INDEX('Input Contact Information'!$N$2:$N$200,P178)="","",INDEX('Input Contact Information'!$N$2:$N$200,P178))),IF(P178="","",IF(INDEX('Input Contact Information'!$M$2:$M$200,P178)="","",INDEX('Input Contact Information'!$M$2:$M$200,P178)))))</f>
        <v/>
      </c>
      <c r="R178" s="1" t="str">
        <f>IF(D178="","",IFERROR(MATCH(D178,'Accounts Overview'!$B$2:$B$100,0),""))</f>
        <v/>
      </c>
    </row>
    <row r="179" spans="1:18" ht="15" customHeight="1" x14ac:dyDescent="0.35">
      <c r="A179" s="13" t="str">
        <f t="shared" si="35"/>
        <v/>
      </c>
      <c r="B179" s="13" t="str">
        <f t="shared" si="36"/>
        <v/>
      </c>
      <c r="C179" s="1" t="str">
        <f>IFERROR(INDEX('Input Contact Information'!$C$2:$C$200,MATCH(ROW()-1,'Input Contact Information'!$V$2:$V$200,0)),"")</f>
        <v/>
      </c>
      <c r="D179" s="1" t="str">
        <f>IFERROR(INDEX('Input Contact Information'!$B$2:$B$200,MATCH(ROW()-1,'Input Contact Information'!$V$2:$V$200,0)),"")</f>
        <v/>
      </c>
      <c r="E179" s="1" t="str">
        <f>IF($C179="","",IF(R179="","",IF(INDEX('Accounts Overview'!$A$2:$A$100,R179)="","",INDEX('Accounts Overview'!$A$2:$A$100,R179))))</f>
        <v/>
      </c>
      <c r="F179" s="1" t="str">
        <f>IF($C179="","",IF(P179="","",IF(INDEX('Input Contact Information'!$D$2:$D$200,P179)="","",INDEX('Input Contact Information'!$D$2:$D$200,P179))))</f>
        <v/>
      </c>
      <c r="G179" s="1" t="str">
        <f>IF($C179="","",IF(P179="","",IF(INDEX('Input Contact Information'!$A$2:$A$200,P179)="","",INDEX('Input Contact Information'!$A$2:$A$200,P179))))</f>
        <v/>
      </c>
      <c r="H179" s="1" t="str">
        <f>IF($C179="","",IF(R179="","",IF(INDEX('Accounts Overview'!$I$2:$I$100,R179)="","",INDEX('Accounts Overview'!$I$2:$I$100,R179))))</f>
        <v/>
      </c>
      <c r="I179" s="1" t="str">
        <f t="shared" ca="1" si="37"/>
        <v/>
      </c>
      <c r="J179" s="12" t="str">
        <f>IF($C179="","",IF(P179="","",IF(INDEX('Input Contact Information'!$Q$2:$Q$200,P179)="","",INDEX('Input Contact Information'!$Q$2:$Q$200,P179))))</f>
        <v/>
      </c>
      <c r="K179" s="14" t="str">
        <f t="shared" ca="1" si="38"/>
        <v/>
      </c>
      <c r="L179" s="1" t="str">
        <f t="shared" si="39"/>
        <v/>
      </c>
      <c r="M179" s="1" t="str">
        <f t="shared" si="40"/>
        <v/>
      </c>
      <c r="N179" s="15">
        <f t="shared" ca="1" si="41"/>
        <v>46296</v>
      </c>
      <c r="O179" s="1" t="str">
        <f>IF($C179="","",IF(P179="","",IF(INDEX('Input Contact Information'!$R$2:$R$200,P179)="","",INDEX('Input Contact Information'!$R$2:$R$200,P179))))</f>
        <v/>
      </c>
      <c r="P179" s="1" t="str">
        <f>IF(C179="","",IFERROR(MATCH(C179&amp;"|"&amp;D179,'Input Contact Information'!$W$2:$W$200,0),""))</f>
        <v/>
      </c>
      <c r="Q179" s="1" t="str">
        <f>IF($C179="","",IF((IF(P179="","",IF(INDEX('Input Contact Information'!$N$2:$N$200,P179)="","",INDEX('Input Contact Information'!$N$2:$N$200,P179))))&lt;&gt;"",IF(P179="","",IF(INDEX('Input Contact Information'!$N$2:$N$200,P179)="","",INDEX('Input Contact Information'!$N$2:$N$200,P179))),IF(P179="","",IF(INDEX('Input Contact Information'!$M$2:$M$200,P179)="","",INDEX('Input Contact Information'!$M$2:$M$200,P179)))))</f>
        <v/>
      </c>
      <c r="R179" s="1" t="str">
        <f>IF(D179="","",IFERROR(MATCH(D179,'Accounts Overview'!$B$2:$B$100,0),""))</f>
        <v/>
      </c>
    </row>
    <row r="180" spans="1:18" ht="15" customHeight="1" x14ac:dyDescent="0.35">
      <c r="A180" s="13" t="str">
        <f t="shared" si="35"/>
        <v/>
      </c>
      <c r="B180" s="13" t="str">
        <f t="shared" si="36"/>
        <v/>
      </c>
      <c r="C180" s="1" t="str">
        <f>IFERROR(INDEX('Input Contact Information'!$C$2:$C$200,MATCH(ROW()-1,'Input Contact Information'!$V$2:$V$200,0)),"")</f>
        <v/>
      </c>
      <c r="D180" s="1" t="str">
        <f>IFERROR(INDEX('Input Contact Information'!$B$2:$B$200,MATCH(ROW()-1,'Input Contact Information'!$V$2:$V$200,0)),"")</f>
        <v/>
      </c>
      <c r="E180" s="1" t="str">
        <f>IF($C180="","",IF(R180="","",IF(INDEX('Accounts Overview'!$A$2:$A$100,R180)="","",INDEX('Accounts Overview'!$A$2:$A$100,R180))))</f>
        <v/>
      </c>
      <c r="F180" s="1" t="str">
        <f>IF($C180="","",IF(P180="","",IF(INDEX('Input Contact Information'!$D$2:$D$200,P180)="","",INDEX('Input Contact Information'!$D$2:$D$200,P180))))</f>
        <v/>
      </c>
      <c r="G180" s="1" t="str">
        <f>IF($C180="","",IF(P180="","",IF(INDEX('Input Contact Information'!$A$2:$A$200,P180)="","",INDEX('Input Contact Information'!$A$2:$A$200,P180))))</f>
        <v/>
      </c>
      <c r="H180" s="1" t="str">
        <f>IF($C180="","",IF(R180="","",IF(INDEX('Accounts Overview'!$I$2:$I$100,R180)="","",INDEX('Accounts Overview'!$I$2:$I$100,R180))))</f>
        <v/>
      </c>
      <c r="I180" s="1" t="str">
        <f t="shared" ca="1" si="37"/>
        <v/>
      </c>
      <c r="J180" s="12" t="str">
        <f>IF($C180="","",IF(P180="","",IF(INDEX('Input Contact Information'!$Q$2:$Q$200,P180)="","",INDEX('Input Contact Information'!$Q$2:$Q$200,P180))))</f>
        <v/>
      </c>
      <c r="K180" s="14" t="str">
        <f t="shared" ca="1" si="38"/>
        <v/>
      </c>
      <c r="L180" s="1" t="str">
        <f t="shared" si="39"/>
        <v/>
      </c>
      <c r="M180" s="1" t="str">
        <f t="shared" si="40"/>
        <v/>
      </c>
      <c r="N180" s="15">
        <f t="shared" ca="1" si="41"/>
        <v>46296</v>
      </c>
      <c r="O180" s="1" t="str">
        <f>IF($C180="","",IF(P180="","",IF(INDEX('Input Contact Information'!$R$2:$R$200,P180)="","",INDEX('Input Contact Information'!$R$2:$R$200,P180))))</f>
        <v/>
      </c>
      <c r="P180" s="1" t="str">
        <f>IF(C180="","",IFERROR(MATCH(C180&amp;"|"&amp;D180,'Input Contact Information'!$W$2:$W$200,0),""))</f>
        <v/>
      </c>
      <c r="Q180" s="1" t="str">
        <f>IF($C180="","",IF((IF(P180="","",IF(INDEX('Input Contact Information'!$N$2:$N$200,P180)="","",INDEX('Input Contact Information'!$N$2:$N$200,P180))))&lt;&gt;"",IF(P180="","",IF(INDEX('Input Contact Information'!$N$2:$N$200,P180)="","",INDEX('Input Contact Information'!$N$2:$N$200,P180))),IF(P180="","",IF(INDEX('Input Contact Information'!$M$2:$M$200,P180)="","",INDEX('Input Contact Information'!$M$2:$M$200,P180)))))</f>
        <v/>
      </c>
      <c r="R180" s="1" t="str">
        <f>IF(D180="","",IFERROR(MATCH(D180,'Accounts Overview'!$B$2:$B$100,0),""))</f>
        <v/>
      </c>
    </row>
    <row r="181" spans="1:18" ht="15" customHeight="1" x14ac:dyDescent="0.35">
      <c r="A181" s="13" t="str">
        <f t="shared" si="35"/>
        <v/>
      </c>
      <c r="B181" s="13" t="str">
        <f t="shared" si="36"/>
        <v/>
      </c>
      <c r="C181" s="1" t="str">
        <f>IFERROR(INDEX('Input Contact Information'!$C$2:$C$200,MATCH(ROW()-1,'Input Contact Information'!$V$2:$V$200,0)),"")</f>
        <v/>
      </c>
      <c r="D181" s="1" t="str">
        <f>IFERROR(INDEX('Input Contact Information'!$B$2:$B$200,MATCH(ROW()-1,'Input Contact Information'!$V$2:$V$200,0)),"")</f>
        <v/>
      </c>
      <c r="E181" s="1" t="str">
        <f>IF($C181="","",IF(R181="","",IF(INDEX('Accounts Overview'!$A$2:$A$100,R181)="","",INDEX('Accounts Overview'!$A$2:$A$100,R181))))</f>
        <v/>
      </c>
      <c r="F181" s="1" t="str">
        <f>IF($C181="","",IF(P181="","",IF(INDEX('Input Contact Information'!$D$2:$D$200,P181)="","",INDEX('Input Contact Information'!$D$2:$D$200,P181))))</f>
        <v/>
      </c>
      <c r="G181" s="1" t="str">
        <f>IF($C181="","",IF(P181="","",IF(INDEX('Input Contact Information'!$A$2:$A$200,P181)="","",INDEX('Input Contact Information'!$A$2:$A$200,P181))))</f>
        <v/>
      </c>
      <c r="H181" s="1" t="str">
        <f>IF($C181="","",IF(R181="","",IF(INDEX('Accounts Overview'!$I$2:$I$100,R181)="","",INDEX('Accounts Overview'!$I$2:$I$100,R181))))</f>
        <v/>
      </c>
      <c r="I181" s="1" t="str">
        <f t="shared" ca="1" si="37"/>
        <v/>
      </c>
      <c r="J181" s="12" t="str">
        <f>IF($C181="","",IF(P181="","",IF(INDEX('Input Contact Information'!$Q$2:$Q$200,P181)="","",INDEX('Input Contact Information'!$Q$2:$Q$200,P181))))</f>
        <v/>
      </c>
      <c r="K181" s="14" t="str">
        <f t="shared" ca="1" si="38"/>
        <v/>
      </c>
      <c r="L181" s="1" t="str">
        <f t="shared" si="39"/>
        <v/>
      </c>
      <c r="M181" s="1" t="str">
        <f t="shared" si="40"/>
        <v/>
      </c>
      <c r="N181" s="15">
        <f t="shared" ca="1" si="41"/>
        <v>46296</v>
      </c>
      <c r="O181" s="1" t="str">
        <f>IF($C181="","",IF(P181="","",IF(INDEX('Input Contact Information'!$R$2:$R$200,P181)="","",INDEX('Input Contact Information'!$R$2:$R$200,P181))))</f>
        <v/>
      </c>
      <c r="P181" s="1" t="str">
        <f>IF(C181="","",IFERROR(MATCH(C181&amp;"|"&amp;D181,'Input Contact Information'!$W$2:$W$200,0),""))</f>
        <v/>
      </c>
      <c r="Q181" s="1" t="str">
        <f>IF($C181="","",IF((IF(P181="","",IF(INDEX('Input Contact Information'!$N$2:$N$200,P181)="","",INDEX('Input Contact Information'!$N$2:$N$200,P181))))&lt;&gt;"",IF(P181="","",IF(INDEX('Input Contact Information'!$N$2:$N$200,P181)="","",INDEX('Input Contact Information'!$N$2:$N$200,P181))),IF(P181="","",IF(INDEX('Input Contact Information'!$M$2:$M$200,P181)="","",INDEX('Input Contact Information'!$M$2:$M$200,P181)))))</f>
        <v/>
      </c>
      <c r="R181" s="1" t="str">
        <f>IF(D181="","",IFERROR(MATCH(D181,'Accounts Overview'!$B$2:$B$100,0),""))</f>
        <v/>
      </c>
    </row>
    <row r="182" spans="1:18" ht="15" customHeight="1" x14ac:dyDescent="0.35">
      <c r="A182" s="13" t="str">
        <f t="shared" si="35"/>
        <v/>
      </c>
      <c r="B182" s="13" t="str">
        <f t="shared" si="36"/>
        <v/>
      </c>
      <c r="C182" s="1" t="str">
        <f>IFERROR(INDEX('Input Contact Information'!$C$2:$C$200,MATCH(ROW()-1,'Input Contact Information'!$V$2:$V$200,0)),"")</f>
        <v/>
      </c>
      <c r="D182" s="1" t="str">
        <f>IFERROR(INDEX('Input Contact Information'!$B$2:$B$200,MATCH(ROW()-1,'Input Contact Information'!$V$2:$V$200,0)),"")</f>
        <v/>
      </c>
      <c r="E182" s="1" t="str">
        <f>IF($C182="","",IF(R182="","",IF(INDEX('Accounts Overview'!$A$2:$A$100,R182)="","",INDEX('Accounts Overview'!$A$2:$A$100,R182))))</f>
        <v/>
      </c>
      <c r="F182" s="1" t="str">
        <f>IF($C182="","",IF(P182="","",IF(INDEX('Input Contact Information'!$D$2:$D$200,P182)="","",INDEX('Input Contact Information'!$D$2:$D$200,P182))))</f>
        <v/>
      </c>
      <c r="G182" s="1" t="str">
        <f>IF($C182="","",IF(P182="","",IF(INDEX('Input Contact Information'!$A$2:$A$200,P182)="","",INDEX('Input Contact Information'!$A$2:$A$200,P182))))</f>
        <v/>
      </c>
      <c r="H182" s="1" t="str">
        <f>IF($C182="","",IF(R182="","",IF(INDEX('Accounts Overview'!$I$2:$I$100,R182)="","",INDEX('Accounts Overview'!$I$2:$I$100,R182))))</f>
        <v/>
      </c>
      <c r="I182" s="1" t="str">
        <f t="shared" ca="1" si="37"/>
        <v/>
      </c>
      <c r="J182" s="12" t="str">
        <f>IF($C182="","",IF(P182="","",IF(INDEX('Input Contact Information'!$Q$2:$Q$200,P182)="","",INDEX('Input Contact Information'!$Q$2:$Q$200,P182))))</f>
        <v/>
      </c>
      <c r="K182" s="14" t="str">
        <f t="shared" ca="1" si="38"/>
        <v/>
      </c>
      <c r="L182" s="1" t="str">
        <f t="shared" si="39"/>
        <v/>
      </c>
      <c r="M182" s="1" t="str">
        <f t="shared" si="40"/>
        <v/>
      </c>
      <c r="N182" s="15">
        <f t="shared" ca="1" si="41"/>
        <v>46296</v>
      </c>
      <c r="O182" s="1" t="str">
        <f>IF($C182="","",IF(P182="","",IF(INDEX('Input Contact Information'!$R$2:$R$200,P182)="","",INDEX('Input Contact Information'!$R$2:$R$200,P182))))</f>
        <v/>
      </c>
      <c r="P182" s="1" t="str">
        <f>IF(C182="","",IFERROR(MATCH(C182&amp;"|"&amp;D182,'Input Contact Information'!$W$2:$W$200,0),""))</f>
        <v/>
      </c>
      <c r="Q182" s="1" t="str">
        <f>IF($C182="","",IF((IF(P182="","",IF(INDEX('Input Contact Information'!$N$2:$N$200,P182)="","",INDEX('Input Contact Information'!$N$2:$N$200,P182))))&lt;&gt;"",IF(P182="","",IF(INDEX('Input Contact Information'!$N$2:$N$200,P182)="","",INDEX('Input Contact Information'!$N$2:$N$200,P182))),IF(P182="","",IF(INDEX('Input Contact Information'!$M$2:$M$200,P182)="","",INDEX('Input Contact Information'!$M$2:$M$200,P182)))))</f>
        <v/>
      </c>
      <c r="R182" s="1" t="str">
        <f>IF(D182="","",IFERROR(MATCH(D182,'Accounts Overview'!$B$2:$B$100,0),""))</f>
        <v/>
      </c>
    </row>
    <row r="183" spans="1:18" ht="15" customHeight="1" x14ac:dyDescent="0.35">
      <c r="A183" s="13" t="str">
        <f t="shared" si="35"/>
        <v/>
      </c>
      <c r="B183" s="13" t="str">
        <f t="shared" si="36"/>
        <v/>
      </c>
      <c r="C183" s="1" t="str">
        <f>IFERROR(INDEX('Input Contact Information'!$C$2:$C$200,MATCH(ROW()-1,'Input Contact Information'!$V$2:$V$200,0)),"")</f>
        <v/>
      </c>
      <c r="D183" s="1" t="str">
        <f>IFERROR(INDEX('Input Contact Information'!$B$2:$B$200,MATCH(ROW()-1,'Input Contact Information'!$V$2:$V$200,0)),"")</f>
        <v/>
      </c>
      <c r="E183" s="1" t="str">
        <f>IF($C183="","",IF(R183="","",IF(INDEX('Accounts Overview'!$A$2:$A$100,R183)="","",INDEX('Accounts Overview'!$A$2:$A$100,R183))))</f>
        <v/>
      </c>
      <c r="F183" s="1" t="str">
        <f>IF($C183="","",IF(P183="","",IF(INDEX('Input Contact Information'!$D$2:$D$200,P183)="","",INDEX('Input Contact Information'!$D$2:$D$200,P183))))</f>
        <v/>
      </c>
      <c r="G183" s="1" t="str">
        <f>IF($C183="","",IF(P183="","",IF(INDEX('Input Contact Information'!$A$2:$A$200,P183)="","",INDEX('Input Contact Information'!$A$2:$A$200,P183))))</f>
        <v/>
      </c>
      <c r="H183" s="1" t="str">
        <f>IF($C183="","",IF(R183="","",IF(INDEX('Accounts Overview'!$I$2:$I$100,R183)="","",INDEX('Accounts Overview'!$I$2:$I$100,R183))))</f>
        <v/>
      </c>
      <c r="I183" s="1" t="str">
        <f t="shared" ca="1" si="37"/>
        <v/>
      </c>
      <c r="J183" s="12" t="str">
        <f>IF($C183="","",IF(P183="","",IF(INDEX('Input Contact Information'!$Q$2:$Q$200,P183)="","",INDEX('Input Contact Information'!$Q$2:$Q$200,P183))))</f>
        <v/>
      </c>
      <c r="K183" s="14" t="str">
        <f t="shared" ca="1" si="38"/>
        <v/>
      </c>
      <c r="L183" s="1" t="str">
        <f t="shared" si="39"/>
        <v/>
      </c>
      <c r="M183" s="1" t="str">
        <f t="shared" si="40"/>
        <v/>
      </c>
      <c r="N183" s="15">
        <f t="shared" ca="1" si="41"/>
        <v>46296</v>
      </c>
      <c r="O183" s="1" t="str">
        <f>IF($C183="","",IF(P183="","",IF(INDEX('Input Contact Information'!$R$2:$R$200,P183)="","",INDEX('Input Contact Information'!$R$2:$R$200,P183))))</f>
        <v/>
      </c>
      <c r="P183" s="1" t="str">
        <f>IF(C183="","",IFERROR(MATCH(C183&amp;"|"&amp;D183,'Input Contact Information'!$W$2:$W$200,0),""))</f>
        <v/>
      </c>
      <c r="Q183" s="1" t="str">
        <f>IF($C183="","",IF((IF(P183="","",IF(INDEX('Input Contact Information'!$N$2:$N$200,P183)="","",INDEX('Input Contact Information'!$N$2:$N$200,P183))))&lt;&gt;"",IF(P183="","",IF(INDEX('Input Contact Information'!$N$2:$N$200,P183)="","",INDEX('Input Contact Information'!$N$2:$N$200,P183))),IF(P183="","",IF(INDEX('Input Contact Information'!$M$2:$M$200,P183)="","",INDEX('Input Contact Information'!$M$2:$M$200,P183)))))</f>
        <v/>
      </c>
      <c r="R183" s="1" t="str">
        <f>IF(D183="","",IFERROR(MATCH(D183,'Accounts Overview'!$B$2:$B$100,0),""))</f>
        <v/>
      </c>
    </row>
    <row r="184" spans="1:18" ht="15" customHeight="1" x14ac:dyDescent="0.35">
      <c r="A184" s="13" t="str">
        <f t="shared" si="35"/>
        <v/>
      </c>
      <c r="B184" s="13" t="str">
        <f t="shared" si="36"/>
        <v/>
      </c>
      <c r="C184" s="1" t="str">
        <f>IFERROR(INDEX('Input Contact Information'!$C$2:$C$200,MATCH(ROW()-1,'Input Contact Information'!$V$2:$V$200,0)),"")</f>
        <v/>
      </c>
      <c r="D184" s="1" t="str">
        <f>IFERROR(INDEX('Input Contact Information'!$B$2:$B$200,MATCH(ROW()-1,'Input Contact Information'!$V$2:$V$200,0)),"")</f>
        <v/>
      </c>
      <c r="E184" s="1" t="str">
        <f>IF($C184="","",IF(R184="","",IF(INDEX('Accounts Overview'!$A$2:$A$100,R184)="","",INDEX('Accounts Overview'!$A$2:$A$100,R184))))</f>
        <v/>
      </c>
      <c r="F184" s="1" t="str">
        <f>IF($C184="","",IF(P184="","",IF(INDEX('Input Contact Information'!$D$2:$D$200,P184)="","",INDEX('Input Contact Information'!$D$2:$D$200,P184))))</f>
        <v/>
      </c>
      <c r="G184" s="1" t="str">
        <f>IF($C184="","",IF(P184="","",IF(INDEX('Input Contact Information'!$A$2:$A$200,P184)="","",INDEX('Input Contact Information'!$A$2:$A$200,P184))))</f>
        <v/>
      </c>
      <c r="H184" s="1" t="str">
        <f>IF($C184="","",IF(R184="","",IF(INDEX('Accounts Overview'!$I$2:$I$100,R184)="","",INDEX('Accounts Overview'!$I$2:$I$100,R184))))</f>
        <v/>
      </c>
      <c r="I184" s="1" t="str">
        <f t="shared" ca="1" si="37"/>
        <v/>
      </c>
      <c r="J184" s="12" t="str">
        <f>IF($C184="","",IF(P184="","",IF(INDEX('Input Contact Information'!$Q$2:$Q$200,P184)="","",INDEX('Input Contact Information'!$Q$2:$Q$200,P184))))</f>
        <v/>
      </c>
      <c r="K184" s="14" t="str">
        <f t="shared" ca="1" si="38"/>
        <v/>
      </c>
      <c r="L184" s="1" t="str">
        <f t="shared" si="39"/>
        <v/>
      </c>
      <c r="M184" s="1" t="str">
        <f t="shared" si="40"/>
        <v/>
      </c>
      <c r="N184" s="15">
        <f t="shared" ca="1" si="41"/>
        <v>46296</v>
      </c>
      <c r="O184" s="1" t="str">
        <f>IF($C184="","",IF(P184="","",IF(INDEX('Input Contact Information'!$R$2:$R$200,P184)="","",INDEX('Input Contact Information'!$R$2:$R$200,P184))))</f>
        <v/>
      </c>
      <c r="P184" s="1" t="str">
        <f>IF(C184="","",IFERROR(MATCH(C184&amp;"|"&amp;D184,'Input Contact Information'!$W$2:$W$200,0),""))</f>
        <v/>
      </c>
      <c r="Q184" s="1" t="str">
        <f>IF($C184="","",IF((IF(P184="","",IF(INDEX('Input Contact Information'!$N$2:$N$200,P184)="","",INDEX('Input Contact Information'!$N$2:$N$200,P184))))&lt;&gt;"",IF(P184="","",IF(INDEX('Input Contact Information'!$N$2:$N$200,P184)="","",INDEX('Input Contact Information'!$N$2:$N$200,P184))),IF(P184="","",IF(INDEX('Input Contact Information'!$M$2:$M$200,P184)="","",INDEX('Input Contact Information'!$M$2:$M$200,P184)))))</f>
        <v/>
      </c>
      <c r="R184" s="1" t="str">
        <f>IF(D184="","",IFERROR(MATCH(D184,'Accounts Overview'!$B$2:$B$100,0),""))</f>
        <v/>
      </c>
    </row>
    <row r="185" spans="1:18" ht="15" customHeight="1" x14ac:dyDescent="0.35">
      <c r="A185" s="13" t="str">
        <f t="shared" si="35"/>
        <v/>
      </c>
      <c r="B185" s="13" t="str">
        <f t="shared" si="36"/>
        <v/>
      </c>
      <c r="C185" s="1" t="str">
        <f>IFERROR(INDEX('Input Contact Information'!$C$2:$C$200,MATCH(ROW()-1,'Input Contact Information'!$V$2:$V$200,0)),"")</f>
        <v/>
      </c>
      <c r="D185" s="1" t="str">
        <f>IFERROR(INDEX('Input Contact Information'!$B$2:$B$200,MATCH(ROW()-1,'Input Contact Information'!$V$2:$V$200,0)),"")</f>
        <v/>
      </c>
      <c r="E185" s="1" t="str">
        <f>IF($C185="","",IF(R185="","",IF(INDEX('Accounts Overview'!$A$2:$A$100,R185)="","",INDEX('Accounts Overview'!$A$2:$A$100,R185))))</f>
        <v/>
      </c>
      <c r="F185" s="1" t="str">
        <f>IF($C185="","",IF(P185="","",IF(INDEX('Input Contact Information'!$D$2:$D$200,P185)="","",INDEX('Input Contact Information'!$D$2:$D$200,P185))))</f>
        <v/>
      </c>
      <c r="G185" s="1" t="str">
        <f>IF($C185="","",IF(P185="","",IF(INDEX('Input Contact Information'!$A$2:$A$200,P185)="","",INDEX('Input Contact Information'!$A$2:$A$200,P185))))</f>
        <v/>
      </c>
      <c r="H185" s="1" t="str">
        <f>IF($C185="","",IF(R185="","",IF(INDEX('Accounts Overview'!$I$2:$I$100,R185)="","",INDEX('Accounts Overview'!$I$2:$I$100,R185))))</f>
        <v/>
      </c>
      <c r="I185" s="1" t="str">
        <f t="shared" ca="1" si="37"/>
        <v/>
      </c>
      <c r="J185" s="12" t="str">
        <f>IF($C185="","",IF(P185="","",IF(INDEX('Input Contact Information'!$Q$2:$Q$200,P185)="","",INDEX('Input Contact Information'!$Q$2:$Q$200,P185))))</f>
        <v/>
      </c>
      <c r="K185" s="14" t="str">
        <f t="shared" ca="1" si="38"/>
        <v/>
      </c>
      <c r="L185" s="1" t="str">
        <f t="shared" si="39"/>
        <v/>
      </c>
      <c r="M185" s="1" t="str">
        <f t="shared" si="40"/>
        <v/>
      </c>
      <c r="N185" s="15">
        <f t="shared" ca="1" si="41"/>
        <v>46296</v>
      </c>
      <c r="O185" s="1" t="str">
        <f>IF($C185="","",IF(P185="","",IF(INDEX('Input Contact Information'!$R$2:$R$200,P185)="","",INDEX('Input Contact Information'!$R$2:$R$200,P185))))</f>
        <v/>
      </c>
      <c r="P185" s="1" t="str">
        <f>IF(C185="","",IFERROR(MATCH(C185&amp;"|"&amp;D185,'Input Contact Information'!$W$2:$W$200,0),""))</f>
        <v/>
      </c>
      <c r="Q185" s="1" t="str">
        <f>IF($C185="","",IF((IF(P185="","",IF(INDEX('Input Contact Information'!$N$2:$N$200,P185)="","",INDEX('Input Contact Information'!$N$2:$N$200,P185))))&lt;&gt;"",IF(P185="","",IF(INDEX('Input Contact Information'!$N$2:$N$200,P185)="","",INDEX('Input Contact Information'!$N$2:$N$200,P185))),IF(P185="","",IF(INDEX('Input Contact Information'!$M$2:$M$200,P185)="","",INDEX('Input Contact Information'!$M$2:$M$200,P185)))))</f>
        <v/>
      </c>
      <c r="R185" s="1" t="str">
        <f>IF(D185="","",IFERROR(MATCH(D185,'Accounts Overview'!$B$2:$B$100,0),""))</f>
        <v/>
      </c>
    </row>
    <row r="186" spans="1:18" ht="15" customHeight="1" x14ac:dyDescent="0.35">
      <c r="A186" s="13" t="str">
        <f t="shared" si="35"/>
        <v/>
      </c>
      <c r="B186" s="13" t="str">
        <f t="shared" si="36"/>
        <v/>
      </c>
      <c r="C186" s="1" t="str">
        <f>IFERROR(INDEX('Input Contact Information'!$C$2:$C$200,MATCH(ROW()-1,'Input Contact Information'!$V$2:$V$200,0)),"")</f>
        <v/>
      </c>
      <c r="D186" s="1" t="str">
        <f>IFERROR(INDEX('Input Contact Information'!$B$2:$B$200,MATCH(ROW()-1,'Input Contact Information'!$V$2:$V$200,0)),"")</f>
        <v/>
      </c>
      <c r="E186" s="1" t="str">
        <f>IF($C186="","",IF(R186="","",IF(INDEX('Accounts Overview'!$A$2:$A$100,R186)="","",INDEX('Accounts Overview'!$A$2:$A$100,R186))))</f>
        <v/>
      </c>
      <c r="F186" s="1" t="str">
        <f>IF($C186="","",IF(P186="","",IF(INDEX('Input Contact Information'!$D$2:$D$200,P186)="","",INDEX('Input Contact Information'!$D$2:$D$200,P186))))</f>
        <v/>
      </c>
      <c r="G186" s="1" t="str">
        <f>IF($C186="","",IF(P186="","",IF(INDEX('Input Contact Information'!$A$2:$A$200,P186)="","",INDEX('Input Contact Information'!$A$2:$A$200,P186))))</f>
        <v/>
      </c>
      <c r="H186" s="1" t="str">
        <f>IF($C186="","",IF(R186="","",IF(INDEX('Accounts Overview'!$I$2:$I$100,R186)="","",INDEX('Accounts Overview'!$I$2:$I$100,R186))))</f>
        <v/>
      </c>
      <c r="I186" s="1" t="str">
        <f t="shared" ca="1" si="37"/>
        <v/>
      </c>
      <c r="J186" s="12" t="str">
        <f>IF($C186="","",IF(P186="","",IF(INDEX('Input Contact Information'!$Q$2:$Q$200,P186)="","",INDEX('Input Contact Information'!$Q$2:$Q$200,P186))))</f>
        <v/>
      </c>
      <c r="K186" s="14" t="str">
        <f t="shared" ca="1" si="38"/>
        <v/>
      </c>
      <c r="L186" s="1" t="str">
        <f t="shared" si="39"/>
        <v/>
      </c>
      <c r="M186" s="1" t="str">
        <f t="shared" si="40"/>
        <v/>
      </c>
      <c r="N186" s="15">
        <f t="shared" ca="1" si="41"/>
        <v>46296</v>
      </c>
      <c r="O186" s="1" t="str">
        <f>IF($C186="","",IF(P186="","",IF(INDEX('Input Contact Information'!$R$2:$R$200,P186)="","",INDEX('Input Contact Information'!$R$2:$R$200,P186))))</f>
        <v/>
      </c>
      <c r="P186" s="1" t="str">
        <f>IF(C186="","",IFERROR(MATCH(C186&amp;"|"&amp;D186,'Input Contact Information'!$W$2:$W$200,0),""))</f>
        <v/>
      </c>
      <c r="Q186" s="1" t="str">
        <f>IF($C186="","",IF((IF(P186="","",IF(INDEX('Input Contact Information'!$N$2:$N$200,P186)="","",INDEX('Input Contact Information'!$N$2:$N$200,P186))))&lt;&gt;"",IF(P186="","",IF(INDEX('Input Contact Information'!$N$2:$N$200,P186)="","",INDEX('Input Contact Information'!$N$2:$N$200,P186))),IF(P186="","",IF(INDEX('Input Contact Information'!$M$2:$M$200,P186)="","",INDEX('Input Contact Information'!$M$2:$M$200,P186)))))</f>
        <v/>
      </c>
      <c r="R186" s="1" t="str">
        <f>IF(D186="","",IFERROR(MATCH(D186,'Accounts Overview'!$B$2:$B$100,0),""))</f>
        <v/>
      </c>
    </row>
    <row r="187" spans="1:18" ht="15" customHeight="1" x14ac:dyDescent="0.35">
      <c r="A187" s="13" t="str">
        <f t="shared" si="35"/>
        <v/>
      </c>
      <c r="B187" s="13" t="str">
        <f t="shared" si="36"/>
        <v/>
      </c>
      <c r="C187" s="1" t="str">
        <f>IFERROR(INDEX('Input Contact Information'!$C$2:$C$200,MATCH(ROW()-1,'Input Contact Information'!$V$2:$V$200,0)),"")</f>
        <v/>
      </c>
      <c r="D187" s="1" t="str">
        <f>IFERROR(INDEX('Input Contact Information'!$B$2:$B$200,MATCH(ROW()-1,'Input Contact Information'!$V$2:$V$200,0)),"")</f>
        <v/>
      </c>
      <c r="E187" s="1" t="str">
        <f>IF($C187="","",IF(R187="","",IF(INDEX('Accounts Overview'!$A$2:$A$100,R187)="","",INDEX('Accounts Overview'!$A$2:$A$100,R187))))</f>
        <v/>
      </c>
      <c r="F187" s="1" t="str">
        <f>IF($C187="","",IF(P187="","",IF(INDEX('Input Contact Information'!$D$2:$D$200,P187)="","",INDEX('Input Contact Information'!$D$2:$D$200,P187))))</f>
        <v/>
      </c>
      <c r="G187" s="1" t="str">
        <f>IF($C187="","",IF(P187="","",IF(INDEX('Input Contact Information'!$A$2:$A$200,P187)="","",INDEX('Input Contact Information'!$A$2:$A$200,P187))))</f>
        <v/>
      </c>
      <c r="H187" s="1" t="str">
        <f>IF($C187="","",IF(R187="","",IF(INDEX('Accounts Overview'!$I$2:$I$100,R187)="","",INDEX('Accounts Overview'!$I$2:$I$100,R187))))</f>
        <v/>
      </c>
      <c r="I187" s="1" t="str">
        <f t="shared" ca="1" si="37"/>
        <v/>
      </c>
      <c r="J187" s="12" t="str">
        <f>IF($C187="","",IF(P187="","",IF(INDEX('Input Contact Information'!$Q$2:$Q$200,P187)="","",INDEX('Input Contact Information'!$Q$2:$Q$200,P187))))</f>
        <v/>
      </c>
      <c r="K187" s="14" t="str">
        <f t="shared" ca="1" si="38"/>
        <v/>
      </c>
      <c r="L187" s="1" t="str">
        <f t="shared" si="39"/>
        <v/>
      </c>
      <c r="M187" s="1" t="str">
        <f t="shared" si="40"/>
        <v/>
      </c>
      <c r="N187" s="15">
        <f t="shared" ca="1" si="41"/>
        <v>46296</v>
      </c>
      <c r="O187" s="1" t="str">
        <f>IF($C187="","",IF(P187="","",IF(INDEX('Input Contact Information'!$R$2:$R$200,P187)="","",INDEX('Input Contact Information'!$R$2:$R$200,P187))))</f>
        <v/>
      </c>
      <c r="P187" s="1" t="str">
        <f>IF(C187="","",IFERROR(MATCH(C187&amp;"|"&amp;D187,'Input Contact Information'!$W$2:$W$200,0),""))</f>
        <v/>
      </c>
      <c r="Q187" s="1" t="str">
        <f>IF($C187="","",IF((IF(P187="","",IF(INDEX('Input Contact Information'!$N$2:$N$200,P187)="","",INDEX('Input Contact Information'!$N$2:$N$200,P187))))&lt;&gt;"",IF(P187="","",IF(INDEX('Input Contact Information'!$N$2:$N$200,P187)="","",INDEX('Input Contact Information'!$N$2:$N$200,P187))),IF(P187="","",IF(INDEX('Input Contact Information'!$M$2:$M$200,P187)="","",INDEX('Input Contact Information'!$M$2:$M$200,P187)))))</f>
        <v/>
      </c>
      <c r="R187" s="1" t="str">
        <f>IF(D187="","",IFERROR(MATCH(D187,'Accounts Overview'!$B$2:$B$100,0),""))</f>
        <v/>
      </c>
    </row>
    <row r="188" spans="1:18" ht="15" customHeight="1" x14ac:dyDescent="0.35">
      <c r="A188" s="13" t="str">
        <f t="shared" si="35"/>
        <v/>
      </c>
      <c r="B188" s="13" t="str">
        <f t="shared" si="36"/>
        <v/>
      </c>
      <c r="C188" s="1" t="str">
        <f>IFERROR(INDEX('Input Contact Information'!$C$2:$C$200,MATCH(ROW()-1,'Input Contact Information'!$V$2:$V$200,0)),"")</f>
        <v/>
      </c>
      <c r="D188" s="1" t="str">
        <f>IFERROR(INDEX('Input Contact Information'!$B$2:$B$200,MATCH(ROW()-1,'Input Contact Information'!$V$2:$V$200,0)),"")</f>
        <v/>
      </c>
      <c r="E188" s="1" t="str">
        <f>IF($C188="","",IF(R188="","",IF(INDEX('Accounts Overview'!$A$2:$A$100,R188)="","",INDEX('Accounts Overview'!$A$2:$A$100,R188))))</f>
        <v/>
      </c>
      <c r="F188" s="1" t="str">
        <f>IF($C188="","",IF(P188="","",IF(INDEX('Input Contact Information'!$D$2:$D$200,P188)="","",INDEX('Input Contact Information'!$D$2:$D$200,P188))))</f>
        <v/>
      </c>
      <c r="G188" s="1" t="str">
        <f>IF($C188="","",IF(P188="","",IF(INDEX('Input Contact Information'!$A$2:$A$200,P188)="","",INDEX('Input Contact Information'!$A$2:$A$200,P188))))</f>
        <v/>
      </c>
      <c r="H188" s="1" t="str">
        <f>IF($C188="","",IF(R188="","",IF(INDEX('Accounts Overview'!$I$2:$I$100,R188)="","",INDEX('Accounts Overview'!$I$2:$I$100,R188))))</f>
        <v/>
      </c>
      <c r="I188" s="1" t="str">
        <f t="shared" ca="1" si="37"/>
        <v/>
      </c>
      <c r="J188" s="12" t="str">
        <f>IF($C188="","",IF(P188="","",IF(INDEX('Input Contact Information'!$Q$2:$Q$200,P188)="","",INDEX('Input Contact Information'!$Q$2:$Q$200,P188))))</f>
        <v/>
      </c>
      <c r="K188" s="14" t="str">
        <f t="shared" ca="1" si="38"/>
        <v/>
      </c>
      <c r="L188" s="1" t="str">
        <f t="shared" si="39"/>
        <v/>
      </c>
      <c r="M188" s="1" t="str">
        <f t="shared" si="40"/>
        <v/>
      </c>
      <c r="N188" s="15">
        <f t="shared" ca="1" si="41"/>
        <v>46296</v>
      </c>
      <c r="O188" s="1" t="str">
        <f>IF($C188="","",IF(P188="","",IF(INDEX('Input Contact Information'!$R$2:$R$200,P188)="","",INDEX('Input Contact Information'!$R$2:$R$200,P188))))</f>
        <v/>
      </c>
      <c r="P188" s="1" t="str">
        <f>IF(C188="","",IFERROR(MATCH(C188&amp;"|"&amp;D188,'Input Contact Information'!$W$2:$W$200,0),""))</f>
        <v/>
      </c>
      <c r="Q188" s="1" t="str">
        <f>IF($C188="","",IF((IF(P188="","",IF(INDEX('Input Contact Information'!$N$2:$N$200,P188)="","",INDEX('Input Contact Information'!$N$2:$N$200,P188))))&lt;&gt;"",IF(P188="","",IF(INDEX('Input Contact Information'!$N$2:$N$200,P188)="","",INDEX('Input Contact Information'!$N$2:$N$200,P188))),IF(P188="","",IF(INDEX('Input Contact Information'!$M$2:$M$200,P188)="","",INDEX('Input Contact Information'!$M$2:$M$200,P188)))))</f>
        <v/>
      </c>
      <c r="R188" s="1" t="str">
        <f>IF(D188="","",IFERROR(MATCH(D188,'Accounts Overview'!$B$2:$B$100,0),""))</f>
        <v/>
      </c>
    </row>
    <row r="189" spans="1:18" ht="15" customHeight="1" x14ac:dyDescent="0.35">
      <c r="A189" s="13" t="str">
        <f t="shared" si="35"/>
        <v/>
      </c>
      <c r="B189" s="13" t="str">
        <f t="shared" si="36"/>
        <v/>
      </c>
      <c r="C189" s="1" t="str">
        <f>IFERROR(INDEX('Input Contact Information'!$C$2:$C$200,MATCH(ROW()-1,'Input Contact Information'!$V$2:$V$200,0)),"")</f>
        <v/>
      </c>
      <c r="D189" s="1" t="str">
        <f>IFERROR(INDEX('Input Contact Information'!$B$2:$B$200,MATCH(ROW()-1,'Input Contact Information'!$V$2:$V$200,0)),"")</f>
        <v/>
      </c>
      <c r="E189" s="1" t="str">
        <f>IF($C189="","",IF(R189="","",IF(INDEX('Accounts Overview'!$A$2:$A$100,R189)="","",INDEX('Accounts Overview'!$A$2:$A$100,R189))))</f>
        <v/>
      </c>
      <c r="F189" s="1" t="str">
        <f>IF($C189="","",IF(P189="","",IF(INDEX('Input Contact Information'!$D$2:$D$200,P189)="","",INDEX('Input Contact Information'!$D$2:$D$200,P189))))</f>
        <v/>
      </c>
      <c r="G189" s="1" t="str">
        <f>IF($C189="","",IF(P189="","",IF(INDEX('Input Contact Information'!$A$2:$A$200,P189)="","",INDEX('Input Contact Information'!$A$2:$A$200,P189))))</f>
        <v/>
      </c>
      <c r="H189" s="1" t="str">
        <f>IF($C189="","",IF(R189="","",IF(INDEX('Accounts Overview'!$I$2:$I$100,R189)="","",INDEX('Accounts Overview'!$I$2:$I$100,R189))))</f>
        <v/>
      </c>
      <c r="I189" s="1" t="str">
        <f t="shared" ca="1" si="37"/>
        <v/>
      </c>
      <c r="J189" s="12" t="str">
        <f>IF($C189="","",IF(P189="","",IF(INDEX('Input Contact Information'!$Q$2:$Q$200,P189)="","",INDEX('Input Contact Information'!$Q$2:$Q$200,P189))))</f>
        <v/>
      </c>
      <c r="K189" s="14" t="str">
        <f t="shared" ca="1" si="38"/>
        <v/>
      </c>
      <c r="L189" s="1" t="str">
        <f t="shared" si="39"/>
        <v/>
      </c>
      <c r="M189" s="1" t="str">
        <f t="shared" si="40"/>
        <v/>
      </c>
      <c r="N189" s="15">
        <f t="shared" ca="1" si="41"/>
        <v>46296</v>
      </c>
      <c r="O189" s="1" t="str">
        <f>IF($C189="","",IF(P189="","",IF(INDEX('Input Contact Information'!$R$2:$R$200,P189)="","",INDEX('Input Contact Information'!$R$2:$R$200,P189))))</f>
        <v/>
      </c>
      <c r="P189" s="1" t="str">
        <f>IF(C189="","",IFERROR(MATCH(C189&amp;"|"&amp;D189,'Input Contact Information'!$W$2:$W$200,0),""))</f>
        <v/>
      </c>
      <c r="Q189" s="1" t="str">
        <f>IF($C189="","",IF((IF(P189="","",IF(INDEX('Input Contact Information'!$N$2:$N$200,P189)="","",INDEX('Input Contact Information'!$N$2:$N$200,P189))))&lt;&gt;"",IF(P189="","",IF(INDEX('Input Contact Information'!$N$2:$N$200,P189)="","",INDEX('Input Contact Information'!$N$2:$N$200,P189))),IF(P189="","",IF(INDEX('Input Contact Information'!$M$2:$M$200,P189)="","",INDEX('Input Contact Information'!$M$2:$M$200,P189)))))</f>
        <v/>
      </c>
      <c r="R189" s="1" t="str">
        <f>IF(D189="","",IFERROR(MATCH(D189,'Accounts Overview'!$B$2:$B$100,0),""))</f>
        <v/>
      </c>
    </row>
    <row r="190" spans="1:18" ht="15" customHeight="1" x14ac:dyDescent="0.35">
      <c r="A190" s="13" t="str">
        <f t="shared" si="35"/>
        <v/>
      </c>
      <c r="B190" s="13" t="str">
        <f t="shared" si="36"/>
        <v/>
      </c>
      <c r="C190" s="1" t="str">
        <f>IFERROR(INDEX('Input Contact Information'!$C$2:$C$200,MATCH(ROW()-1,'Input Contact Information'!$V$2:$V$200,0)),"")</f>
        <v/>
      </c>
      <c r="D190" s="1" t="str">
        <f>IFERROR(INDEX('Input Contact Information'!$B$2:$B$200,MATCH(ROW()-1,'Input Contact Information'!$V$2:$V$200,0)),"")</f>
        <v/>
      </c>
      <c r="E190" s="1" t="str">
        <f>IF($C190="","",IF(R190="","",IF(INDEX('Accounts Overview'!$A$2:$A$100,R190)="","",INDEX('Accounts Overview'!$A$2:$A$100,R190))))</f>
        <v/>
      </c>
      <c r="F190" s="1" t="str">
        <f>IF($C190="","",IF(P190="","",IF(INDEX('Input Contact Information'!$D$2:$D$200,P190)="","",INDEX('Input Contact Information'!$D$2:$D$200,P190))))</f>
        <v/>
      </c>
      <c r="G190" s="1" t="str">
        <f>IF($C190="","",IF(P190="","",IF(INDEX('Input Contact Information'!$A$2:$A$200,P190)="","",INDEX('Input Contact Information'!$A$2:$A$200,P190))))</f>
        <v/>
      </c>
      <c r="H190" s="1" t="str">
        <f>IF($C190="","",IF(R190="","",IF(INDEX('Accounts Overview'!$I$2:$I$100,R190)="","",INDEX('Accounts Overview'!$I$2:$I$100,R190))))</f>
        <v/>
      </c>
      <c r="I190" s="1" t="str">
        <f t="shared" ca="1" si="37"/>
        <v/>
      </c>
      <c r="J190" s="12" t="str">
        <f>IF($C190="","",IF(P190="","",IF(INDEX('Input Contact Information'!$Q$2:$Q$200,P190)="","",INDEX('Input Contact Information'!$Q$2:$Q$200,P190))))</f>
        <v/>
      </c>
      <c r="K190" s="14" t="str">
        <f t="shared" ca="1" si="38"/>
        <v/>
      </c>
      <c r="L190" s="1" t="str">
        <f t="shared" si="39"/>
        <v/>
      </c>
      <c r="M190" s="1" t="str">
        <f t="shared" si="40"/>
        <v/>
      </c>
      <c r="N190" s="15">
        <f t="shared" ca="1" si="41"/>
        <v>46296</v>
      </c>
      <c r="O190" s="1" t="str">
        <f>IF($C190="","",IF(P190="","",IF(INDEX('Input Contact Information'!$R$2:$R$200,P190)="","",INDEX('Input Contact Information'!$R$2:$R$200,P190))))</f>
        <v/>
      </c>
      <c r="P190" s="1" t="str">
        <f>IF(C190="","",IFERROR(MATCH(C190&amp;"|"&amp;D190,'Input Contact Information'!$W$2:$W$200,0),""))</f>
        <v/>
      </c>
      <c r="Q190" s="1" t="str">
        <f>IF($C190="","",IF((IF(P190="","",IF(INDEX('Input Contact Information'!$N$2:$N$200,P190)="","",INDEX('Input Contact Information'!$N$2:$N$200,P190))))&lt;&gt;"",IF(P190="","",IF(INDEX('Input Contact Information'!$N$2:$N$200,P190)="","",INDEX('Input Contact Information'!$N$2:$N$200,P190))),IF(P190="","",IF(INDEX('Input Contact Information'!$M$2:$M$200,P190)="","",INDEX('Input Contact Information'!$M$2:$M$200,P190)))))</f>
        <v/>
      </c>
      <c r="R190" s="1" t="str">
        <f>IF(D190="","",IFERROR(MATCH(D190,'Accounts Overview'!$B$2:$B$100,0),""))</f>
        <v/>
      </c>
    </row>
    <row r="191" spans="1:18" ht="15" customHeight="1" x14ac:dyDescent="0.35">
      <c r="A191" s="13" t="str">
        <f t="shared" si="35"/>
        <v/>
      </c>
      <c r="B191" s="13" t="str">
        <f t="shared" si="36"/>
        <v/>
      </c>
      <c r="C191" s="1" t="str">
        <f>IFERROR(INDEX('Input Contact Information'!$C$2:$C$200,MATCH(ROW()-1,'Input Contact Information'!$V$2:$V$200,0)),"")</f>
        <v/>
      </c>
      <c r="D191" s="1" t="str">
        <f>IFERROR(INDEX('Input Contact Information'!$B$2:$B$200,MATCH(ROW()-1,'Input Contact Information'!$V$2:$V$200,0)),"")</f>
        <v/>
      </c>
      <c r="E191" s="1" t="str">
        <f>IF($C191="","",IF(R191="","",IF(INDEX('Accounts Overview'!$A$2:$A$100,R191)="","",INDEX('Accounts Overview'!$A$2:$A$100,R191))))</f>
        <v/>
      </c>
      <c r="F191" s="1" t="str">
        <f>IF($C191="","",IF(P191="","",IF(INDEX('Input Contact Information'!$D$2:$D$200,P191)="","",INDEX('Input Contact Information'!$D$2:$D$200,P191))))</f>
        <v/>
      </c>
      <c r="G191" s="1" t="str">
        <f>IF($C191="","",IF(P191="","",IF(INDEX('Input Contact Information'!$A$2:$A$200,P191)="","",INDEX('Input Contact Information'!$A$2:$A$200,P191))))</f>
        <v/>
      </c>
      <c r="H191" s="1" t="str">
        <f>IF($C191="","",IF(R191="","",IF(INDEX('Accounts Overview'!$I$2:$I$100,R191)="","",INDEX('Accounts Overview'!$I$2:$I$100,R191))))</f>
        <v/>
      </c>
      <c r="I191" s="1" t="str">
        <f t="shared" ca="1" si="37"/>
        <v/>
      </c>
      <c r="J191" s="12" t="str">
        <f>IF($C191="","",IF(P191="","",IF(INDEX('Input Contact Information'!$Q$2:$Q$200,P191)="","",INDEX('Input Contact Information'!$Q$2:$Q$200,P191))))</f>
        <v/>
      </c>
      <c r="K191" s="14" t="str">
        <f t="shared" ca="1" si="38"/>
        <v/>
      </c>
      <c r="L191" s="1" t="str">
        <f t="shared" si="39"/>
        <v/>
      </c>
      <c r="M191" s="1" t="str">
        <f t="shared" si="40"/>
        <v/>
      </c>
      <c r="N191" s="15">
        <f t="shared" ca="1" si="41"/>
        <v>46296</v>
      </c>
      <c r="O191" s="1" t="str">
        <f>IF($C191="","",IF(P191="","",IF(INDEX('Input Contact Information'!$R$2:$R$200,P191)="","",INDEX('Input Contact Information'!$R$2:$R$200,P191))))</f>
        <v/>
      </c>
      <c r="P191" s="1" t="str">
        <f>IF(C191="","",IFERROR(MATCH(C191&amp;"|"&amp;D191,'Input Contact Information'!$W$2:$W$200,0),""))</f>
        <v/>
      </c>
      <c r="Q191" s="1" t="str">
        <f>IF($C191="","",IF((IF(P191="","",IF(INDEX('Input Contact Information'!$N$2:$N$200,P191)="","",INDEX('Input Contact Information'!$N$2:$N$200,P191))))&lt;&gt;"",IF(P191="","",IF(INDEX('Input Contact Information'!$N$2:$N$200,P191)="","",INDEX('Input Contact Information'!$N$2:$N$200,P191))),IF(P191="","",IF(INDEX('Input Contact Information'!$M$2:$M$200,P191)="","",INDEX('Input Contact Information'!$M$2:$M$200,P191)))))</f>
        <v/>
      </c>
      <c r="R191" s="1" t="str">
        <f>IF(D191="","",IFERROR(MATCH(D191,'Accounts Overview'!$B$2:$B$100,0),""))</f>
        <v/>
      </c>
    </row>
    <row r="192" spans="1:18" ht="15" customHeight="1" x14ac:dyDescent="0.35">
      <c r="A192" s="13" t="str">
        <f t="shared" si="35"/>
        <v/>
      </c>
      <c r="B192" s="13" t="str">
        <f t="shared" si="36"/>
        <v/>
      </c>
      <c r="C192" s="1" t="str">
        <f>IFERROR(INDEX('Input Contact Information'!$C$2:$C$200,MATCH(ROW()-1,'Input Contact Information'!$V$2:$V$200,0)),"")</f>
        <v/>
      </c>
      <c r="D192" s="1" t="str">
        <f>IFERROR(INDEX('Input Contact Information'!$B$2:$B$200,MATCH(ROW()-1,'Input Contact Information'!$V$2:$V$200,0)),"")</f>
        <v/>
      </c>
      <c r="E192" s="1" t="str">
        <f>IF($C192="","",IF(R192="","",IF(INDEX('Accounts Overview'!$A$2:$A$100,R192)="","",INDEX('Accounts Overview'!$A$2:$A$100,R192))))</f>
        <v/>
      </c>
      <c r="F192" s="1" t="str">
        <f>IF($C192="","",IF(P192="","",IF(INDEX('Input Contact Information'!$D$2:$D$200,P192)="","",INDEX('Input Contact Information'!$D$2:$D$200,P192))))</f>
        <v/>
      </c>
      <c r="G192" s="1" t="str">
        <f>IF($C192="","",IF(P192="","",IF(INDEX('Input Contact Information'!$A$2:$A$200,P192)="","",INDEX('Input Contact Information'!$A$2:$A$200,P192))))</f>
        <v/>
      </c>
      <c r="H192" s="1" t="str">
        <f>IF($C192="","",IF(R192="","",IF(INDEX('Accounts Overview'!$I$2:$I$100,R192)="","",INDEX('Accounts Overview'!$I$2:$I$100,R192))))</f>
        <v/>
      </c>
      <c r="I192" s="1" t="str">
        <f t="shared" ca="1" si="37"/>
        <v/>
      </c>
      <c r="J192" s="12" t="str">
        <f>IF($C192="","",IF(P192="","",IF(INDEX('Input Contact Information'!$Q$2:$Q$200,P192)="","",INDEX('Input Contact Information'!$Q$2:$Q$200,P192))))</f>
        <v/>
      </c>
      <c r="K192" s="14" t="str">
        <f t="shared" ca="1" si="38"/>
        <v/>
      </c>
      <c r="L192" s="1" t="str">
        <f t="shared" si="39"/>
        <v/>
      </c>
      <c r="M192" s="1" t="str">
        <f t="shared" si="40"/>
        <v/>
      </c>
      <c r="N192" s="15">
        <f t="shared" ca="1" si="41"/>
        <v>46296</v>
      </c>
      <c r="O192" s="1" t="str">
        <f>IF($C192="","",IF(P192="","",IF(INDEX('Input Contact Information'!$R$2:$R$200,P192)="","",INDEX('Input Contact Information'!$R$2:$R$200,P192))))</f>
        <v/>
      </c>
      <c r="P192" s="1" t="str">
        <f>IF(C192="","",IFERROR(MATCH(C192&amp;"|"&amp;D192,'Input Contact Information'!$W$2:$W$200,0),""))</f>
        <v/>
      </c>
      <c r="Q192" s="1" t="str">
        <f>IF($C192="","",IF((IF(P192="","",IF(INDEX('Input Contact Information'!$N$2:$N$200,P192)="","",INDEX('Input Contact Information'!$N$2:$N$200,P192))))&lt;&gt;"",IF(P192="","",IF(INDEX('Input Contact Information'!$N$2:$N$200,P192)="","",INDEX('Input Contact Information'!$N$2:$N$200,P192))),IF(P192="","",IF(INDEX('Input Contact Information'!$M$2:$M$200,P192)="","",INDEX('Input Contact Information'!$M$2:$M$200,P192)))))</f>
        <v/>
      </c>
      <c r="R192" s="1" t="str">
        <f>IF(D192="","",IFERROR(MATCH(D192,'Accounts Overview'!$B$2:$B$100,0),""))</f>
        <v/>
      </c>
    </row>
    <row r="193" spans="1:18" ht="15" customHeight="1" x14ac:dyDescent="0.35">
      <c r="A193" s="13" t="str">
        <f t="shared" si="35"/>
        <v/>
      </c>
      <c r="B193" s="13" t="str">
        <f t="shared" si="36"/>
        <v/>
      </c>
      <c r="C193" s="1" t="str">
        <f>IFERROR(INDEX('Input Contact Information'!$C$2:$C$200,MATCH(ROW()-1,'Input Contact Information'!$V$2:$V$200,0)),"")</f>
        <v/>
      </c>
      <c r="D193" s="1" t="str">
        <f>IFERROR(INDEX('Input Contact Information'!$B$2:$B$200,MATCH(ROW()-1,'Input Contact Information'!$V$2:$V$200,0)),"")</f>
        <v/>
      </c>
      <c r="E193" s="1" t="str">
        <f>IF($C193="","",IF(R193="","",IF(INDEX('Accounts Overview'!$A$2:$A$100,R193)="","",INDEX('Accounts Overview'!$A$2:$A$100,R193))))</f>
        <v/>
      </c>
      <c r="F193" s="1" t="str">
        <f>IF($C193="","",IF(P193="","",IF(INDEX('Input Contact Information'!$D$2:$D$200,P193)="","",INDEX('Input Contact Information'!$D$2:$D$200,P193))))</f>
        <v/>
      </c>
      <c r="G193" s="1" t="str">
        <f>IF($C193="","",IF(P193="","",IF(INDEX('Input Contact Information'!$A$2:$A$200,P193)="","",INDEX('Input Contact Information'!$A$2:$A$200,P193))))</f>
        <v/>
      </c>
      <c r="H193" s="1" t="str">
        <f>IF($C193="","",IF(R193="","",IF(INDEX('Accounts Overview'!$I$2:$I$100,R193)="","",INDEX('Accounts Overview'!$I$2:$I$100,R193))))</f>
        <v/>
      </c>
      <c r="I193" s="1" t="str">
        <f t="shared" ca="1" si="37"/>
        <v/>
      </c>
      <c r="J193" s="12" t="str">
        <f>IF($C193="","",IF(P193="","",IF(INDEX('Input Contact Information'!$Q$2:$Q$200,P193)="","",INDEX('Input Contact Information'!$Q$2:$Q$200,P193))))</f>
        <v/>
      </c>
      <c r="K193" s="14" t="str">
        <f t="shared" ca="1" si="38"/>
        <v/>
      </c>
      <c r="L193" s="1" t="str">
        <f t="shared" si="39"/>
        <v/>
      </c>
      <c r="M193" s="1" t="str">
        <f t="shared" si="40"/>
        <v/>
      </c>
      <c r="N193" s="15">
        <f t="shared" ca="1" si="41"/>
        <v>46296</v>
      </c>
      <c r="O193" s="1" t="str">
        <f>IF($C193="","",IF(P193="","",IF(INDEX('Input Contact Information'!$R$2:$R$200,P193)="","",INDEX('Input Contact Information'!$R$2:$R$200,P193))))</f>
        <v/>
      </c>
      <c r="P193" s="1" t="str">
        <f>IF(C193="","",IFERROR(MATCH(C193&amp;"|"&amp;D193,'Input Contact Information'!$W$2:$W$200,0),""))</f>
        <v/>
      </c>
      <c r="Q193" s="1" t="str">
        <f>IF($C193="","",IF((IF(P193="","",IF(INDEX('Input Contact Information'!$N$2:$N$200,P193)="","",INDEX('Input Contact Information'!$N$2:$N$200,P193))))&lt;&gt;"",IF(P193="","",IF(INDEX('Input Contact Information'!$N$2:$N$200,P193)="","",INDEX('Input Contact Information'!$N$2:$N$200,P193))),IF(P193="","",IF(INDEX('Input Contact Information'!$M$2:$M$200,P193)="","",INDEX('Input Contact Information'!$M$2:$M$200,P193)))))</f>
        <v/>
      </c>
      <c r="R193" s="1" t="str">
        <f>IF(D193="","",IFERROR(MATCH(D193,'Accounts Overview'!$B$2:$B$100,0),""))</f>
        <v/>
      </c>
    </row>
    <row r="194" spans="1:18" ht="15" customHeight="1" x14ac:dyDescent="0.35">
      <c r="A194" s="13" t="str">
        <f t="shared" ref="A194:A200" si="42">IF(C194="","","ENG"&amp;TEXT(ROW()-1,"0000"))</f>
        <v/>
      </c>
      <c r="B194" s="13" t="str">
        <f t="shared" ref="B194:B200" si="43">IF(C194="","","CON"&amp;TEXT(ROW()-1,"0000"))</f>
        <v/>
      </c>
      <c r="C194" s="1" t="str">
        <f>IFERROR(INDEX('Input Contact Information'!$C$2:$C$200,MATCH(ROW()-1,'Input Contact Information'!$V$2:$V$200,0)),"")</f>
        <v/>
      </c>
      <c r="D194" s="1" t="str">
        <f>IFERROR(INDEX('Input Contact Information'!$B$2:$B$200,MATCH(ROW()-1,'Input Contact Information'!$V$2:$V$200,0)),"")</f>
        <v/>
      </c>
      <c r="E194" s="1" t="str">
        <f>IF($C194="","",IF(R194="","",IF(INDEX('Accounts Overview'!$A$2:$A$100,R194)="","",INDEX('Accounts Overview'!$A$2:$A$100,R194))))</f>
        <v/>
      </c>
      <c r="F194" s="1" t="str">
        <f>IF($C194="","",IF(P194="","",IF(INDEX('Input Contact Information'!$D$2:$D$200,P194)="","",INDEX('Input Contact Information'!$D$2:$D$200,P194))))</f>
        <v/>
      </c>
      <c r="G194" s="1" t="str">
        <f>IF($C194="","",IF(P194="","",IF(INDEX('Input Contact Information'!$A$2:$A$200,P194)="","",INDEX('Input Contact Information'!$A$2:$A$200,P194))))</f>
        <v/>
      </c>
      <c r="H194" s="1" t="str">
        <f>IF($C194="","",IF(R194="","",IF(INDEX('Accounts Overview'!$I$2:$I$100,R194)="","",INDEX('Accounts Overview'!$I$2:$I$100,R194))))</f>
        <v/>
      </c>
      <c r="I194" s="1" t="str">
        <f t="shared" ref="I194:I200" ca="1" si="44">IF($C194="","",IF(J194="","No Task",IF((TODAY()-J194)&gt;=M194,"Overdue",IF((TODAY()-J194)&gt;=L194,"For Review","On Track"))))</f>
        <v/>
      </c>
      <c r="J194" s="12" t="str">
        <f>IF($C194="","",IF(P194="","",IF(INDEX('Input Contact Information'!$Q$2:$Q$200,P194)="","",INDEX('Input Contact Information'!$Q$2:$Q$200,P194))))</f>
        <v/>
      </c>
      <c r="K194" s="14" t="str">
        <f t="shared" ref="K194:K200" ca="1" si="45">IF($C194="","",IF(J194="","",TODAY()-J194))</f>
        <v/>
      </c>
      <c r="L194" s="1" t="str">
        <f t="shared" ref="L194:L200" si="46">IF($C194="","",IF(Q194="","",IF(Q194="Tier 1",31,IF(Q194="Tier 2",91,181))))</f>
        <v/>
      </c>
      <c r="M194" s="1" t="str">
        <f t="shared" ref="M194:M200" si="47">IF($C194="","",IF(Q194="","",IF(Q194="Tier 1",61,IF(Q194="Tier 2",181,366))))</f>
        <v/>
      </c>
      <c r="N194" s="15">
        <f t="shared" ref="N194:N200" ca="1" si="48">TODAY()</f>
        <v>46296</v>
      </c>
      <c r="O194" s="1" t="str">
        <f>IF($C194="","",IF(P194="","",IF(INDEX('Input Contact Information'!$R$2:$R$200,P194)="","",INDEX('Input Contact Information'!$R$2:$R$200,P194))))</f>
        <v/>
      </c>
      <c r="P194" s="1" t="str">
        <f>IF(C194="","",IFERROR(MATCH(C194&amp;"|"&amp;D194,'Input Contact Information'!$W$2:$W$200,0),""))</f>
        <v/>
      </c>
      <c r="Q194" s="1" t="str">
        <f>IF($C194="","",IF((IF(P194="","",IF(INDEX('Input Contact Information'!$N$2:$N$200,P194)="","",INDEX('Input Contact Information'!$N$2:$N$200,P194))))&lt;&gt;"",IF(P194="","",IF(INDEX('Input Contact Information'!$N$2:$N$200,P194)="","",INDEX('Input Contact Information'!$N$2:$N$200,P194))),IF(P194="","",IF(INDEX('Input Contact Information'!$M$2:$M$200,P194)="","",INDEX('Input Contact Information'!$M$2:$M$200,P194)))))</f>
        <v/>
      </c>
      <c r="R194" s="1" t="str">
        <f>IF(D194="","",IFERROR(MATCH(D194,'Accounts Overview'!$B$2:$B$100,0),""))</f>
        <v/>
      </c>
    </row>
    <row r="195" spans="1:18" ht="15" customHeight="1" x14ac:dyDescent="0.35">
      <c r="A195" s="13" t="str">
        <f t="shared" si="42"/>
        <v/>
      </c>
      <c r="B195" s="13" t="str">
        <f t="shared" si="43"/>
        <v/>
      </c>
      <c r="C195" s="1" t="str">
        <f>IFERROR(INDEX('Input Contact Information'!$C$2:$C$200,MATCH(ROW()-1,'Input Contact Information'!$V$2:$V$200,0)),"")</f>
        <v/>
      </c>
      <c r="D195" s="1" t="str">
        <f>IFERROR(INDEX('Input Contact Information'!$B$2:$B$200,MATCH(ROW()-1,'Input Contact Information'!$V$2:$V$200,0)),"")</f>
        <v/>
      </c>
      <c r="E195" s="1" t="str">
        <f>IF($C195="","",IF(R195="","",IF(INDEX('Accounts Overview'!$A$2:$A$100,R195)="","",INDEX('Accounts Overview'!$A$2:$A$100,R195))))</f>
        <v/>
      </c>
      <c r="F195" s="1" t="str">
        <f>IF($C195="","",IF(P195="","",IF(INDEX('Input Contact Information'!$D$2:$D$200,P195)="","",INDEX('Input Contact Information'!$D$2:$D$200,P195))))</f>
        <v/>
      </c>
      <c r="G195" s="1" t="str">
        <f>IF($C195="","",IF(P195="","",IF(INDEX('Input Contact Information'!$A$2:$A$200,P195)="","",INDEX('Input Contact Information'!$A$2:$A$200,P195))))</f>
        <v/>
      </c>
      <c r="H195" s="1" t="str">
        <f>IF($C195="","",IF(R195="","",IF(INDEX('Accounts Overview'!$I$2:$I$100,R195)="","",INDEX('Accounts Overview'!$I$2:$I$100,R195))))</f>
        <v/>
      </c>
      <c r="I195" s="1" t="str">
        <f t="shared" ca="1" si="44"/>
        <v/>
      </c>
      <c r="J195" s="12" t="str">
        <f>IF($C195="","",IF(P195="","",IF(INDEX('Input Contact Information'!$Q$2:$Q$200,P195)="","",INDEX('Input Contact Information'!$Q$2:$Q$200,P195))))</f>
        <v/>
      </c>
      <c r="K195" s="14" t="str">
        <f t="shared" ca="1" si="45"/>
        <v/>
      </c>
      <c r="L195" s="1" t="str">
        <f t="shared" si="46"/>
        <v/>
      </c>
      <c r="M195" s="1" t="str">
        <f t="shared" si="47"/>
        <v/>
      </c>
      <c r="N195" s="15">
        <f t="shared" ca="1" si="48"/>
        <v>46296</v>
      </c>
      <c r="O195" s="1" t="str">
        <f>IF($C195="","",IF(P195="","",IF(INDEX('Input Contact Information'!$R$2:$R$200,P195)="","",INDEX('Input Contact Information'!$R$2:$R$200,P195))))</f>
        <v/>
      </c>
      <c r="P195" s="1" t="str">
        <f>IF(C195="","",IFERROR(MATCH(C195&amp;"|"&amp;D195,'Input Contact Information'!$W$2:$W$200,0),""))</f>
        <v/>
      </c>
      <c r="Q195" s="1" t="str">
        <f>IF($C195="","",IF((IF(P195="","",IF(INDEX('Input Contact Information'!$N$2:$N$200,P195)="","",INDEX('Input Contact Information'!$N$2:$N$200,P195))))&lt;&gt;"",IF(P195="","",IF(INDEX('Input Contact Information'!$N$2:$N$200,P195)="","",INDEX('Input Contact Information'!$N$2:$N$200,P195))),IF(P195="","",IF(INDEX('Input Contact Information'!$M$2:$M$200,P195)="","",INDEX('Input Contact Information'!$M$2:$M$200,P195)))))</f>
        <v/>
      </c>
      <c r="R195" s="1" t="str">
        <f>IF(D195="","",IFERROR(MATCH(D195,'Accounts Overview'!$B$2:$B$100,0),""))</f>
        <v/>
      </c>
    </row>
    <row r="196" spans="1:18" ht="15" customHeight="1" x14ac:dyDescent="0.35">
      <c r="A196" s="13" t="str">
        <f t="shared" si="42"/>
        <v/>
      </c>
      <c r="B196" s="13" t="str">
        <f t="shared" si="43"/>
        <v/>
      </c>
      <c r="C196" s="1" t="str">
        <f>IFERROR(INDEX('Input Contact Information'!$C$2:$C$200,MATCH(ROW()-1,'Input Contact Information'!$V$2:$V$200,0)),"")</f>
        <v/>
      </c>
      <c r="D196" s="1" t="str">
        <f>IFERROR(INDEX('Input Contact Information'!$B$2:$B$200,MATCH(ROW()-1,'Input Contact Information'!$V$2:$V$200,0)),"")</f>
        <v/>
      </c>
      <c r="E196" s="1" t="str">
        <f>IF($C196="","",IF(R196="","",IF(INDEX('Accounts Overview'!$A$2:$A$100,R196)="","",INDEX('Accounts Overview'!$A$2:$A$100,R196))))</f>
        <v/>
      </c>
      <c r="F196" s="1" t="str">
        <f>IF($C196="","",IF(P196="","",IF(INDEX('Input Contact Information'!$D$2:$D$200,P196)="","",INDEX('Input Contact Information'!$D$2:$D$200,P196))))</f>
        <v/>
      </c>
      <c r="G196" s="1" t="str">
        <f>IF($C196="","",IF(P196="","",IF(INDEX('Input Contact Information'!$A$2:$A$200,P196)="","",INDEX('Input Contact Information'!$A$2:$A$200,P196))))</f>
        <v/>
      </c>
      <c r="H196" s="1" t="str">
        <f>IF($C196="","",IF(R196="","",IF(INDEX('Accounts Overview'!$I$2:$I$100,R196)="","",INDEX('Accounts Overview'!$I$2:$I$100,R196))))</f>
        <v/>
      </c>
      <c r="I196" s="1" t="str">
        <f t="shared" ca="1" si="44"/>
        <v/>
      </c>
      <c r="J196" s="12" t="str">
        <f>IF($C196="","",IF(P196="","",IF(INDEX('Input Contact Information'!$Q$2:$Q$200,P196)="","",INDEX('Input Contact Information'!$Q$2:$Q$200,P196))))</f>
        <v/>
      </c>
      <c r="K196" s="14" t="str">
        <f t="shared" ca="1" si="45"/>
        <v/>
      </c>
      <c r="L196" s="1" t="str">
        <f t="shared" si="46"/>
        <v/>
      </c>
      <c r="M196" s="1" t="str">
        <f t="shared" si="47"/>
        <v/>
      </c>
      <c r="N196" s="15">
        <f t="shared" ca="1" si="48"/>
        <v>46296</v>
      </c>
      <c r="O196" s="1" t="str">
        <f>IF($C196="","",IF(P196="","",IF(INDEX('Input Contact Information'!$R$2:$R$200,P196)="","",INDEX('Input Contact Information'!$R$2:$R$200,P196))))</f>
        <v/>
      </c>
      <c r="P196" s="1" t="str">
        <f>IF(C196="","",IFERROR(MATCH(C196&amp;"|"&amp;D196,'Input Contact Information'!$W$2:$W$200,0),""))</f>
        <v/>
      </c>
      <c r="Q196" s="1" t="str">
        <f>IF($C196="","",IF((IF(P196="","",IF(INDEX('Input Contact Information'!$N$2:$N$200,P196)="","",INDEX('Input Contact Information'!$N$2:$N$200,P196))))&lt;&gt;"",IF(P196="","",IF(INDEX('Input Contact Information'!$N$2:$N$200,P196)="","",INDEX('Input Contact Information'!$N$2:$N$200,P196))),IF(P196="","",IF(INDEX('Input Contact Information'!$M$2:$M$200,P196)="","",INDEX('Input Contact Information'!$M$2:$M$200,P196)))))</f>
        <v/>
      </c>
      <c r="R196" s="1" t="str">
        <f>IF(D196="","",IFERROR(MATCH(D196,'Accounts Overview'!$B$2:$B$100,0),""))</f>
        <v/>
      </c>
    </row>
    <row r="197" spans="1:18" ht="15" customHeight="1" x14ac:dyDescent="0.35">
      <c r="A197" s="13" t="str">
        <f t="shared" si="42"/>
        <v/>
      </c>
      <c r="B197" s="13" t="str">
        <f t="shared" si="43"/>
        <v/>
      </c>
      <c r="C197" s="1" t="str">
        <f>IFERROR(INDEX('Input Contact Information'!$C$2:$C$200,MATCH(ROW()-1,'Input Contact Information'!$V$2:$V$200,0)),"")</f>
        <v/>
      </c>
      <c r="D197" s="1" t="str">
        <f>IFERROR(INDEX('Input Contact Information'!$B$2:$B$200,MATCH(ROW()-1,'Input Contact Information'!$V$2:$V$200,0)),"")</f>
        <v/>
      </c>
      <c r="E197" s="1" t="str">
        <f>IF($C197="","",IF(R197="","",IF(INDEX('Accounts Overview'!$A$2:$A$100,R197)="","",INDEX('Accounts Overview'!$A$2:$A$100,R197))))</f>
        <v/>
      </c>
      <c r="F197" s="1" t="str">
        <f>IF($C197="","",IF(P197="","",IF(INDEX('Input Contact Information'!$D$2:$D$200,P197)="","",INDEX('Input Contact Information'!$D$2:$D$200,P197))))</f>
        <v/>
      </c>
      <c r="G197" s="1" t="str">
        <f>IF($C197="","",IF(P197="","",IF(INDEX('Input Contact Information'!$A$2:$A$200,P197)="","",INDEX('Input Contact Information'!$A$2:$A$200,P197))))</f>
        <v/>
      </c>
      <c r="H197" s="1" t="str">
        <f>IF($C197="","",IF(R197="","",IF(INDEX('Accounts Overview'!$I$2:$I$100,R197)="","",INDEX('Accounts Overview'!$I$2:$I$100,R197))))</f>
        <v/>
      </c>
      <c r="I197" s="1" t="str">
        <f t="shared" ca="1" si="44"/>
        <v/>
      </c>
      <c r="J197" s="12" t="str">
        <f>IF($C197="","",IF(P197="","",IF(INDEX('Input Contact Information'!$Q$2:$Q$200,P197)="","",INDEX('Input Contact Information'!$Q$2:$Q$200,P197))))</f>
        <v/>
      </c>
      <c r="K197" s="14" t="str">
        <f t="shared" ca="1" si="45"/>
        <v/>
      </c>
      <c r="L197" s="1" t="str">
        <f t="shared" si="46"/>
        <v/>
      </c>
      <c r="M197" s="1" t="str">
        <f t="shared" si="47"/>
        <v/>
      </c>
      <c r="N197" s="15">
        <f t="shared" ca="1" si="48"/>
        <v>46296</v>
      </c>
      <c r="O197" s="1" t="str">
        <f>IF($C197="","",IF(P197="","",IF(INDEX('Input Contact Information'!$R$2:$R$200,P197)="","",INDEX('Input Contact Information'!$R$2:$R$200,P197))))</f>
        <v/>
      </c>
      <c r="P197" s="1" t="str">
        <f>IF(C197="","",IFERROR(MATCH(C197&amp;"|"&amp;D197,'Input Contact Information'!$W$2:$W$200,0),""))</f>
        <v/>
      </c>
      <c r="Q197" s="1" t="str">
        <f>IF($C197="","",IF((IF(P197="","",IF(INDEX('Input Contact Information'!$N$2:$N$200,P197)="","",INDEX('Input Contact Information'!$N$2:$N$200,P197))))&lt;&gt;"",IF(P197="","",IF(INDEX('Input Contact Information'!$N$2:$N$200,P197)="","",INDEX('Input Contact Information'!$N$2:$N$200,P197))),IF(P197="","",IF(INDEX('Input Contact Information'!$M$2:$M$200,P197)="","",INDEX('Input Contact Information'!$M$2:$M$200,P197)))))</f>
        <v/>
      </c>
      <c r="R197" s="1" t="str">
        <f>IF(D197="","",IFERROR(MATCH(D197,'Accounts Overview'!$B$2:$B$100,0),""))</f>
        <v/>
      </c>
    </row>
    <row r="198" spans="1:18" ht="15" customHeight="1" x14ac:dyDescent="0.35">
      <c r="A198" s="13" t="str">
        <f t="shared" si="42"/>
        <v/>
      </c>
      <c r="B198" s="13" t="str">
        <f t="shared" si="43"/>
        <v/>
      </c>
      <c r="C198" s="1" t="str">
        <f>IFERROR(INDEX('Input Contact Information'!$C$2:$C$200,MATCH(ROW()-1,'Input Contact Information'!$V$2:$V$200,0)),"")</f>
        <v/>
      </c>
      <c r="D198" s="1" t="str">
        <f>IFERROR(INDEX('Input Contact Information'!$B$2:$B$200,MATCH(ROW()-1,'Input Contact Information'!$V$2:$V$200,0)),"")</f>
        <v/>
      </c>
      <c r="E198" s="1" t="str">
        <f>IF($C198="","",IF(R198="","",IF(INDEX('Accounts Overview'!$A$2:$A$100,R198)="","",INDEX('Accounts Overview'!$A$2:$A$100,R198))))</f>
        <v/>
      </c>
      <c r="F198" s="1" t="str">
        <f>IF($C198="","",IF(P198="","",IF(INDEX('Input Contact Information'!$D$2:$D$200,P198)="","",INDEX('Input Contact Information'!$D$2:$D$200,P198))))</f>
        <v/>
      </c>
      <c r="G198" s="1" t="str">
        <f>IF($C198="","",IF(P198="","",IF(INDEX('Input Contact Information'!$A$2:$A$200,P198)="","",INDEX('Input Contact Information'!$A$2:$A$200,P198))))</f>
        <v/>
      </c>
      <c r="H198" s="1" t="str">
        <f>IF($C198="","",IF(R198="","",IF(INDEX('Accounts Overview'!$I$2:$I$100,R198)="","",INDEX('Accounts Overview'!$I$2:$I$100,R198))))</f>
        <v/>
      </c>
      <c r="I198" s="1" t="str">
        <f t="shared" ca="1" si="44"/>
        <v/>
      </c>
      <c r="J198" s="12" t="str">
        <f>IF($C198="","",IF(P198="","",IF(INDEX('Input Contact Information'!$Q$2:$Q$200,P198)="","",INDEX('Input Contact Information'!$Q$2:$Q$200,P198))))</f>
        <v/>
      </c>
      <c r="K198" s="14" t="str">
        <f t="shared" ca="1" si="45"/>
        <v/>
      </c>
      <c r="L198" s="1" t="str">
        <f t="shared" si="46"/>
        <v/>
      </c>
      <c r="M198" s="1" t="str">
        <f t="shared" si="47"/>
        <v/>
      </c>
      <c r="N198" s="15">
        <f t="shared" ca="1" si="48"/>
        <v>46296</v>
      </c>
      <c r="O198" s="1" t="str">
        <f>IF($C198="","",IF(P198="","",IF(INDEX('Input Contact Information'!$R$2:$R$200,P198)="","",INDEX('Input Contact Information'!$R$2:$R$200,P198))))</f>
        <v/>
      </c>
      <c r="P198" s="1" t="str">
        <f>IF(C198="","",IFERROR(MATCH(C198&amp;"|"&amp;D198,'Input Contact Information'!$W$2:$W$200,0),""))</f>
        <v/>
      </c>
      <c r="Q198" s="1" t="str">
        <f>IF($C198="","",IF((IF(P198="","",IF(INDEX('Input Contact Information'!$N$2:$N$200,P198)="","",INDEX('Input Contact Information'!$N$2:$N$200,P198))))&lt;&gt;"",IF(P198="","",IF(INDEX('Input Contact Information'!$N$2:$N$200,P198)="","",INDEX('Input Contact Information'!$N$2:$N$200,P198))),IF(P198="","",IF(INDEX('Input Contact Information'!$M$2:$M$200,P198)="","",INDEX('Input Contact Information'!$M$2:$M$200,P198)))))</f>
        <v/>
      </c>
      <c r="R198" s="1" t="str">
        <f>IF(D198="","",IFERROR(MATCH(D198,'Accounts Overview'!$B$2:$B$100,0),""))</f>
        <v/>
      </c>
    </row>
    <row r="199" spans="1:18" ht="15" customHeight="1" x14ac:dyDescent="0.35">
      <c r="A199" s="13" t="str">
        <f t="shared" si="42"/>
        <v/>
      </c>
      <c r="B199" s="13" t="str">
        <f t="shared" si="43"/>
        <v/>
      </c>
      <c r="C199" s="1" t="str">
        <f>IFERROR(INDEX('Input Contact Information'!$C$2:$C$200,MATCH(ROW()-1,'Input Contact Information'!$V$2:$V$200,0)),"")</f>
        <v/>
      </c>
      <c r="D199" s="1" t="str">
        <f>IFERROR(INDEX('Input Contact Information'!$B$2:$B$200,MATCH(ROW()-1,'Input Contact Information'!$V$2:$V$200,0)),"")</f>
        <v/>
      </c>
      <c r="E199" s="1" t="str">
        <f>IF($C199="","",IF(R199="","",IF(INDEX('Accounts Overview'!$A$2:$A$100,R199)="","",INDEX('Accounts Overview'!$A$2:$A$100,R199))))</f>
        <v/>
      </c>
      <c r="F199" s="1" t="str">
        <f>IF($C199="","",IF(P199="","",IF(INDEX('Input Contact Information'!$D$2:$D$200,P199)="","",INDEX('Input Contact Information'!$D$2:$D$200,P199))))</f>
        <v/>
      </c>
      <c r="G199" s="1" t="str">
        <f>IF($C199="","",IF(P199="","",IF(INDEX('Input Contact Information'!$A$2:$A$200,P199)="","",INDEX('Input Contact Information'!$A$2:$A$200,P199))))</f>
        <v/>
      </c>
      <c r="H199" s="1" t="str">
        <f>IF($C199="","",IF(R199="","",IF(INDEX('Accounts Overview'!$I$2:$I$100,R199)="","",INDEX('Accounts Overview'!$I$2:$I$100,R199))))</f>
        <v/>
      </c>
      <c r="I199" s="1" t="str">
        <f t="shared" ca="1" si="44"/>
        <v/>
      </c>
      <c r="J199" s="12" t="str">
        <f>IF($C199="","",IF(P199="","",IF(INDEX('Input Contact Information'!$Q$2:$Q$200,P199)="","",INDEX('Input Contact Information'!$Q$2:$Q$200,P199))))</f>
        <v/>
      </c>
      <c r="K199" s="14" t="str">
        <f t="shared" ca="1" si="45"/>
        <v/>
      </c>
      <c r="L199" s="1" t="str">
        <f t="shared" si="46"/>
        <v/>
      </c>
      <c r="M199" s="1" t="str">
        <f t="shared" si="47"/>
        <v/>
      </c>
      <c r="N199" s="15">
        <f t="shared" ca="1" si="48"/>
        <v>46296</v>
      </c>
      <c r="O199" s="1" t="str">
        <f>IF($C199="","",IF(P199="","",IF(INDEX('Input Contact Information'!$R$2:$R$200,P199)="","",INDEX('Input Contact Information'!$R$2:$R$200,P199))))</f>
        <v/>
      </c>
      <c r="P199" s="1" t="str">
        <f>IF(C199="","",IFERROR(MATCH(C199&amp;"|"&amp;D199,'Input Contact Information'!$W$2:$W$200,0),""))</f>
        <v/>
      </c>
      <c r="Q199" s="1" t="str">
        <f>IF($C199="","",IF((IF(P199="","",IF(INDEX('Input Contact Information'!$N$2:$N$200,P199)="","",INDEX('Input Contact Information'!$N$2:$N$200,P199))))&lt;&gt;"",IF(P199="","",IF(INDEX('Input Contact Information'!$N$2:$N$200,P199)="","",INDEX('Input Contact Information'!$N$2:$N$200,P199))),IF(P199="","",IF(INDEX('Input Contact Information'!$M$2:$M$200,P199)="","",INDEX('Input Contact Information'!$M$2:$M$200,P199)))))</f>
        <v/>
      </c>
      <c r="R199" s="1" t="str">
        <f>IF(D199="","",IFERROR(MATCH(D199,'Accounts Overview'!$B$2:$B$100,0),""))</f>
        <v/>
      </c>
    </row>
    <row r="200" spans="1:18" ht="15" customHeight="1" x14ac:dyDescent="0.35">
      <c r="A200" s="13" t="str">
        <f t="shared" si="42"/>
        <v/>
      </c>
      <c r="B200" s="13" t="str">
        <f t="shared" si="43"/>
        <v/>
      </c>
      <c r="C200" s="1" t="str">
        <f>IFERROR(INDEX('Input Contact Information'!$C$2:$C$200,MATCH(ROW()-1,'Input Contact Information'!$V$2:$V$200,0)),"")</f>
        <v/>
      </c>
      <c r="D200" s="1" t="str">
        <f>IFERROR(INDEX('Input Contact Information'!$B$2:$B$200,MATCH(ROW()-1,'Input Contact Information'!$V$2:$V$200,0)),"")</f>
        <v/>
      </c>
      <c r="E200" s="1" t="str">
        <f>IF($C200="","",IF(R200="","",IF(INDEX('Accounts Overview'!$A$2:$A$100,R200)="","",INDEX('Accounts Overview'!$A$2:$A$100,R200))))</f>
        <v/>
      </c>
      <c r="F200" s="1" t="str">
        <f>IF($C200="","",IF(P200="","",IF(INDEX('Input Contact Information'!$D$2:$D$200,P200)="","",INDEX('Input Contact Information'!$D$2:$D$200,P200))))</f>
        <v/>
      </c>
      <c r="G200" s="1" t="str">
        <f>IF($C200="","",IF(P200="","",IF(INDEX('Input Contact Information'!$A$2:$A$200,P200)="","",INDEX('Input Contact Information'!$A$2:$A$200,P200))))</f>
        <v/>
      </c>
      <c r="H200" s="1" t="str">
        <f>IF($C200="","",IF(R200="","",IF(INDEX('Accounts Overview'!$I$2:$I$100,R200)="","",INDEX('Accounts Overview'!$I$2:$I$100,R200))))</f>
        <v/>
      </c>
      <c r="I200" s="1" t="str">
        <f t="shared" ca="1" si="44"/>
        <v/>
      </c>
      <c r="J200" s="12" t="str">
        <f>IF($C200="","",IF(P200="","",IF(INDEX('Input Contact Information'!$Q$2:$Q$200,P200)="","",INDEX('Input Contact Information'!$Q$2:$Q$200,P200))))</f>
        <v/>
      </c>
      <c r="K200" s="14" t="str">
        <f t="shared" ca="1" si="45"/>
        <v/>
      </c>
      <c r="L200" s="1" t="str">
        <f t="shared" si="46"/>
        <v/>
      </c>
      <c r="M200" s="1" t="str">
        <f t="shared" si="47"/>
        <v/>
      </c>
      <c r="N200" s="15">
        <f t="shared" ca="1" si="48"/>
        <v>46296</v>
      </c>
      <c r="O200" s="1" t="str">
        <f>IF($C200="","",IF(P200="","",IF(INDEX('Input Contact Information'!$R$2:$R$200,P200)="","",INDEX('Input Contact Information'!$R$2:$R$200,P200))))</f>
        <v/>
      </c>
      <c r="P200" s="1" t="str">
        <f>IF(C200="","",IFERROR(MATCH(C200&amp;"|"&amp;D200,'Input Contact Information'!$W$2:$W$200,0),""))</f>
        <v/>
      </c>
      <c r="Q200" s="1" t="str">
        <f>IF($C200="","",IF((IF(P200="","",IF(INDEX('Input Contact Information'!$N$2:$N$200,P200)="","",INDEX('Input Contact Information'!$N$2:$N$200,P200))))&lt;&gt;"",IF(P200="","",IF(INDEX('Input Contact Information'!$N$2:$N$200,P200)="","",INDEX('Input Contact Information'!$N$2:$N$200,P200))),IF(P200="","",IF(INDEX('Input Contact Information'!$M$2:$M$200,P200)="","",INDEX('Input Contact Information'!$M$2:$M$200,P200)))))</f>
        <v/>
      </c>
      <c r="R200" s="1" t="str">
        <f>IF(D200="","",IFERROR(MATCH(D200,'Accounts Overview'!$B$2:$B$100,0),""))</f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00"/>
  </sheetPr>
  <dimension ref="A1"/>
  <sheetViews>
    <sheetView zoomScaleNormal="100" workbookViewId="0"/>
  </sheetViews>
  <sheetFormatPr defaultColWidth="8.58203125" defaultRowHeight="15.5" x14ac:dyDescent="0.3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"/>
  <sheetViews>
    <sheetView showGridLines="0" zoomScaleNormal="100" workbookViewId="0">
      <selection activeCell="D2" sqref="D2"/>
    </sheetView>
  </sheetViews>
  <sheetFormatPr defaultColWidth="8.58203125" defaultRowHeight="15.5" x14ac:dyDescent="0.35"/>
  <cols>
    <col min="1" max="1" width="31.08203125" style="1" customWidth="1"/>
    <col min="2" max="2" width="28.83203125" style="1" customWidth="1"/>
    <col min="3" max="3" width="21" style="1" customWidth="1"/>
    <col min="4" max="4" width="21.33203125" style="1" customWidth="1"/>
  </cols>
  <sheetData>
    <row r="1" spans="1:4" ht="15" customHeight="1" x14ac:dyDescent="0.35">
      <c r="A1" s="16" t="s">
        <v>263</v>
      </c>
      <c r="B1" s="16" t="s">
        <v>22</v>
      </c>
      <c r="C1" s="16" t="s">
        <v>264</v>
      </c>
      <c r="D1" s="16" t="s">
        <v>265</v>
      </c>
    </row>
    <row r="2" spans="1:4" ht="15" customHeight="1" x14ac:dyDescent="0.35">
      <c r="A2" s="17" t="s">
        <v>40</v>
      </c>
      <c r="B2" s="17" t="s">
        <v>266</v>
      </c>
      <c r="C2" s="17" t="s">
        <v>267</v>
      </c>
      <c r="D2" s="17" t="s">
        <v>268</v>
      </c>
    </row>
    <row r="3" spans="1:4" ht="15" customHeight="1" x14ac:dyDescent="0.35">
      <c r="A3" s="17" t="s">
        <v>53</v>
      </c>
      <c r="B3" s="17" t="s">
        <v>269</v>
      </c>
      <c r="C3" s="17" t="s">
        <v>270</v>
      </c>
      <c r="D3" s="17" t="s">
        <v>268</v>
      </c>
    </row>
    <row r="4" spans="1:4" ht="15" customHeight="1" x14ac:dyDescent="0.35">
      <c r="A4" s="17" t="s">
        <v>63</v>
      </c>
      <c r="B4" s="17" t="s">
        <v>271</v>
      </c>
      <c r="C4" s="17" t="s">
        <v>270</v>
      </c>
      <c r="D4" s="17" t="s">
        <v>268</v>
      </c>
    </row>
    <row r="5" spans="1:4" ht="15" customHeight="1" x14ac:dyDescent="0.35">
      <c r="A5" s="17" t="s">
        <v>71</v>
      </c>
      <c r="B5" s="17" t="s">
        <v>272</v>
      </c>
      <c r="C5" s="17" t="s">
        <v>270</v>
      </c>
      <c r="D5" s="17" t="s">
        <v>273</v>
      </c>
    </row>
    <row r="6" spans="1:4" ht="15" customHeight="1" x14ac:dyDescent="0.35">
      <c r="A6" s="17" t="s">
        <v>79</v>
      </c>
      <c r="B6" s="17" t="s">
        <v>274</v>
      </c>
      <c r="C6" s="17" t="s">
        <v>270</v>
      </c>
      <c r="D6" s="17" t="s">
        <v>273</v>
      </c>
    </row>
    <row r="7" spans="1:4" ht="15" customHeight="1" x14ac:dyDescent="0.35">
      <c r="A7" s="17" t="s">
        <v>118</v>
      </c>
      <c r="B7" s="17" t="s">
        <v>275</v>
      </c>
      <c r="C7" s="17" t="s">
        <v>270</v>
      </c>
      <c r="D7" s="17" t="s">
        <v>273</v>
      </c>
    </row>
    <row r="8" spans="1:4" ht="15" customHeight="1" x14ac:dyDescent="0.35">
      <c r="A8" s="17" t="s">
        <v>126</v>
      </c>
      <c r="B8" s="17" t="s">
        <v>276</v>
      </c>
      <c r="C8" s="17" t="s">
        <v>277</v>
      </c>
      <c r="D8" s="17" t="s">
        <v>268</v>
      </c>
    </row>
    <row r="9" spans="1:4" ht="15" customHeight="1" x14ac:dyDescent="0.35">
      <c r="A9" s="17" t="s">
        <v>134</v>
      </c>
      <c r="B9" s="17" t="s">
        <v>278</v>
      </c>
      <c r="C9" s="17" t="s">
        <v>277</v>
      </c>
      <c r="D9" s="17" t="s">
        <v>273</v>
      </c>
    </row>
    <row r="10" spans="1:4" ht="15" customHeight="1" x14ac:dyDescent="0.35">
      <c r="A10" s="17" t="s">
        <v>142</v>
      </c>
      <c r="B10" s="17" t="s">
        <v>279</v>
      </c>
      <c r="C10" s="17" t="s">
        <v>277</v>
      </c>
      <c r="D10" s="17" t="s">
        <v>273</v>
      </c>
    </row>
    <row r="11" spans="1:4" ht="15" customHeight="1" x14ac:dyDescent="0.35">
      <c r="A11" s="17" t="s">
        <v>152</v>
      </c>
      <c r="B11" s="17" t="s">
        <v>280</v>
      </c>
      <c r="C11" s="17" t="s">
        <v>277</v>
      </c>
      <c r="D11" s="17" t="s">
        <v>273</v>
      </c>
    </row>
    <row r="12" spans="1:4" ht="15" customHeight="1" x14ac:dyDescent="0.35">
      <c r="A12" s="17" t="s">
        <v>160</v>
      </c>
      <c r="B12" s="17" t="s">
        <v>281</v>
      </c>
      <c r="C12" s="17" t="s">
        <v>277</v>
      </c>
      <c r="D12" s="17" t="s">
        <v>273</v>
      </c>
    </row>
    <row r="13" spans="1:4" ht="15" customHeight="1" x14ac:dyDescent="0.35">
      <c r="A13" s="17" t="s">
        <v>221</v>
      </c>
      <c r="B13" s="17" t="s">
        <v>282</v>
      </c>
      <c r="C13" s="17" t="s">
        <v>283</v>
      </c>
      <c r="D13" s="17" t="s">
        <v>273</v>
      </c>
    </row>
    <row r="14" spans="1:4" ht="15" customHeight="1" x14ac:dyDescent="0.35">
      <c r="A14" s="17" t="s">
        <v>226</v>
      </c>
      <c r="B14" s="17" t="s">
        <v>284</v>
      </c>
      <c r="C14" s="17" t="s">
        <v>283</v>
      </c>
      <c r="D14" s="17" t="s">
        <v>273</v>
      </c>
    </row>
    <row r="15" spans="1:4" ht="15" customHeight="1" x14ac:dyDescent="0.35">
      <c r="A15" s="17" t="s">
        <v>230</v>
      </c>
      <c r="B15" s="17" t="s">
        <v>285</v>
      </c>
      <c r="C15" s="17" t="s">
        <v>283</v>
      </c>
      <c r="D15" s="17" t="s">
        <v>273</v>
      </c>
    </row>
    <row r="16" spans="1:4" ht="15" customHeight="1" x14ac:dyDescent="0.35">
      <c r="A16" s="17" t="s">
        <v>234</v>
      </c>
      <c r="B16" s="17" t="s">
        <v>286</v>
      </c>
      <c r="C16" s="17" t="s">
        <v>283</v>
      </c>
      <c r="D16" s="17" t="s">
        <v>273</v>
      </c>
    </row>
    <row r="17" spans="1:4" ht="15" customHeight="1" x14ac:dyDescent="0.35">
      <c r="A17" s="17" t="s">
        <v>237</v>
      </c>
      <c r="B17" s="17" t="s">
        <v>287</v>
      </c>
      <c r="C17" s="17" t="s">
        <v>283</v>
      </c>
      <c r="D17" s="17" t="s">
        <v>273</v>
      </c>
    </row>
    <row r="18" spans="1:4" ht="15" customHeight="1" x14ac:dyDescent="0.35">
      <c r="B18" s="1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G14"/>
  <sheetViews>
    <sheetView showGridLines="0" zoomScaleNormal="100" workbookViewId="0">
      <pane ySplit="2" topLeftCell="A3" activePane="bottomLeft" state="frozen"/>
      <selection pane="bottomLeft" activeCell="A10" sqref="A10"/>
    </sheetView>
  </sheetViews>
  <sheetFormatPr defaultColWidth="8.58203125" defaultRowHeight="15.5" x14ac:dyDescent="0.35"/>
  <cols>
    <col min="1" max="1" width="20" style="1" customWidth="1"/>
    <col min="2" max="2" width="16" style="1" customWidth="1"/>
    <col min="3" max="3" width="49.33203125" style="1" customWidth="1"/>
    <col min="4" max="4" width="21.4140625" style="1" customWidth="1"/>
    <col min="5" max="5" width="13" style="1" customWidth="1"/>
    <col min="6" max="7" width="12.75" style="1" customWidth="1"/>
  </cols>
  <sheetData>
    <row r="1" spans="1:7" ht="21.75" customHeight="1" x14ac:dyDescent="0.5">
      <c r="A1" s="25" t="s">
        <v>288</v>
      </c>
      <c r="B1" s="26"/>
      <c r="C1" s="26"/>
    </row>
    <row r="2" spans="1:7" ht="15.75" customHeight="1" x14ac:dyDescent="0.35">
      <c r="A2" s="27" t="s">
        <v>289</v>
      </c>
      <c r="B2" s="26"/>
      <c r="C2" s="26"/>
    </row>
    <row r="3" spans="1:7" ht="15.75" customHeight="1" x14ac:dyDescent="0.35">
      <c r="A3" s="3"/>
      <c r="B3" s="3"/>
      <c r="C3" s="3"/>
    </row>
    <row r="4" spans="1:7" ht="19.5" customHeight="1" x14ac:dyDescent="0.35">
      <c r="A4" s="34" t="s">
        <v>290</v>
      </c>
      <c r="B4" s="34" t="s">
        <v>291</v>
      </c>
      <c r="C4" s="34" t="s">
        <v>292</v>
      </c>
      <c r="D4" s="28" t="s">
        <v>249</v>
      </c>
      <c r="E4" s="30" t="s">
        <v>293</v>
      </c>
      <c r="F4" s="26"/>
      <c r="G4" s="31"/>
    </row>
    <row r="5" spans="1:7" ht="19.5" customHeight="1" x14ac:dyDescent="0.35">
      <c r="A5" s="29"/>
      <c r="B5" s="29"/>
      <c r="C5" s="29"/>
      <c r="D5" s="29"/>
      <c r="E5" s="20" t="s">
        <v>294</v>
      </c>
      <c r="F5" s="20" t="s">
        <v>295</v>
      </c>
      <c r="G5" s="20" t="s">
        <v>183</v>
      </c>
    </row>
    <row r="6" spans="1:7" ht="30" customHeight="1" x14ac:dyDescent="0.35">
      <c r="A6" s="32" t="s">
        <v>296</v>
      </c>
      <c r="B6" s="21" t="s">
        <v>297</v>
      </c>
      <c r="C6" s="21" t="s">
        <v>298</v>
      </c>
      <c r="D6" s="21" t="s">
        <v>299</v>
      </c>
      <c r="E6" s="21" t="s">
        <v>300</v>
      </c>
      <c r="F6" s="21" t="s">
        <v>301</v>
      </c>
      <c r="G6" s="21" t="s">
        <v>302</v>
      </c>
    </row>
    <row r="7" spans="1:7" ht="30" customHeight="1" x14ac:dyDescent="0.35">
      <c r="A7" s="33"/>
      <c r="B7" s="21" t="s">
        <v>303</v>
      </c>
      <c r="C7" s="21" t="s">
        <v>304</v>
      </c>
      <c r="D7" s="21" t="s">
        <v>305</v>
      </c>
      <c r="E7" s="21" t="s">
        <v>306</v>
      </c>
      <c r="F7" s="21" t="s">
        <v>307</v>
      </c>
      <c r="G7" s="21" t="s">
        <v>308</v>
      </c>
    </row>
    <row r="8" spans="1:7" ht="30" customHeight="1" x14ac:dyDescent="0.35">
      <c r="A8" s="29"/>
      <c r="B8" s="21" t="s">
        <v>309</v>
      </c>
      <c r="C8" s="21" t="s">
        <v>310</v>
      </c>
      <c r="D8" s="21" t="s">
        <v>311</v>
      </c>
      <c r="E8" s="21" t="s">
        <v>312</v>
      </c>
      <c r="F8" s="21" t="s">
        <v>313</v>
      </c>
      <c r="G8" s="21" t="s">
        <v>314</v>
      </c>
    </row>
    <row r="9" spans="1:7" ht="15" customHeight="1" x14ac:dyDescent="0.35">
      <c r="A9" s="22"/>
      <c r="B9" s="22"/>
      <c r="C9" s="22"/>
      <c r="D9" s="22"/>
      <c r="E9" s="22"/>
      <c r="F9" s="22"/>
      <c r="G9" s="22"/>
    </row>
    <row r="10" spans="1:7" ht="30" customHeight="1" x14ac:dyDescent="0.35">
      <c r="A10" s="19" t="s">
        <v>290</v>
      </c>
      <c r="B10" s="19" t="s">
        <v>291</v>
      </c>
      <c r="C10" s="19" t="s">
        <v>292</v>
      </c>
      <c r="D10" s="22"/>
      <c r="E10" s="22"/>
      <c r="F10" s="22"/>
      <c r="G10" s="22"/>
    </row>
    <row r="11" spans="1:7" ht="30" customHeight="1" x14ac:dyDescent="0.35">
      <c r="A11" s="32" t="s">
        <v>250</v>
      </c>
      <c r="B11" s="21" t="s">
        <v>181</v>
      </c>
      <c r="C11" s="21" t="s">
        <v>315</v>
      </c>
      <c r="D11" s="22"/>
      <c r="E11" s="22"/>
      <c r="F11" s="22"/>
      <c r="G11" s="22"/>
    </row>
    <row r="12" spans="1:7" ht="30" customHeight="1" x14ac:dyDescent="0.35">
      <c r="A12" s="33"/>
      <c r="B12" s="21" t="s">
        <v>182</v>
      </c>
      <c r="C12" s="21" t="s">
        <v>316</v>
      </c>
      <c r="D12" s="22"/>
      <c r="E12" s="22"/>
      <c r="F12" s="22"/>
      <c r="G12" s="22"/>
    </row>
    <row r="13" spans="1:7" ht="30" customHeight="1" x14ac:dyDescent="0.35">
      <c r="A13" s="33"/>
      <c r="B13" s="21" t="s">
        <v>183</v>
      </c>
      <c r="C13" s="21" t="s">
        <v>317</v>
      </c>
      <c r="D13" s="22"/>
      <c r="E13" s="22"/>
      <c r="F13" s="22"/>
      <c r="G13" s="22"/>
    </row>
    <row r="14" spans="1:7" ht="30" customHeight="1" x14ac:dyDescent="0.35">
      <c r="A14" s="29"/>
      <c r="B14" s="21" t="s">
        <v>318</v>
      </c>
      <c r="C14" s="21" t="s">
        <v>319</v>
      </c>
      <c r="D14" s="22"/>
      <c r="E14" s="22"/>
      <c r="F14" s="22"/>
      <c r="G14" s="22"/>
    </row>
  </sheetData>
  <mergeCells count="9">
    <mergeCell ref="A1:C1"/>
    <mergeCell ref="C4:C5"/>
    <mergeCell ref="A4:A5"/>
    <mergeCell ref="D4:D5"/>
    <mergeCell ref="E4:G4"/>
    <mergeCell ref="A11:A14"/>
    <mergeCell ref="A6:A8"/>
    <mergeCell ref="A2:C2"/>
    <mergeCell ref="B4:B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Input sheet&gt;&gt;</vt:lpstr>
      <vt:lpstr>Input Contact Information</vt:lpstr>
      <vt:lpstr>Auto populate sheets&gt;&gt;</vt:lpstr>
      <vt:lpstr>Accounts Overview</vt:lpstr>
      <vt:lpstr>Contacts Overview</vt:lpstr>
      <vt:lpstr>Engagements Overview</vt:lpstr>
      <vt:lpstr>Appendix&gt;&gt;</vt:lpstr>
      <vt:lpstr>Bain_POCs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Pathivada, Sindhuja</cp:lastModifiedBy>
  <cp:revision>0</cp:revision>
  <dcterms:created xsi:type="dcterms:W3CDTF">2026-09-23T10:03:55Z</dcterms:created>
  <dcterms:modified xsi:type="dcterms:W3CDTF">2026-10-01T08:13:34Z</dcterms:modified>
  <dc:language>en-US</dc:language>
</cp:coreProperties>
</file>